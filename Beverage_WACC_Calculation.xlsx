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afnasahibo/Library/Containers/net.whatsapp.WhatsApp/Data/tmp/documents/70C2BCC5-CB82-4ACB-A74B-6C13394A13A5/"/>
    </mc:Choice>
  </mc:AlternateContent>
  <xr:revisionPtr revIDLastSave="0" documentId="13_ncr:1_{F25B41EA-C879-314E-A653-AC19CCEEA29C}" xr6:coauthVersionLast="47" xr6:coauthVersionMax="47" xr10:uidLastSave="{00000000-0000-0000-0000-000000000000}"/>
  <bookViews>
    <workbookView xWindow="0" yWindow="780" windowWidth="34200" windowHeight="20000" tabRatio="500" xr2:uid="{00000000-000D-0000-FFFF-FFFF00000000}"/>
  </bookViews>
  <sheets>
    <sheet name="WACC Summary" sheetId="1" r:id="rId1"/>
    <sheet name="Payout Summary" sheetId="7" r:id="rId2"/>
    <sheet name="KO WACC" sheetId="2" r:id="rId3"/>
    <sheet name="PEP WACC" sheetId="3" r:id="rId4"/>
    <sheet name="MNST WACC" sheetId="4" r:id="rId5"/>
    <sheet name="KDP WACC" sheetId="5" r:id="rId6"/>
    <sheet name="CELH WACC" sheetId="6" r:id="rId7"/>
  </sheets>
  <definedNames>
    <definedName name="hdwppxojiay22red">'KO WACC'!$A$1:$C$61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7" l="1"/>
  <c r="I8" i="7"/>
  <c r="K14" i="4"/>
  <c r="F3" i="7" l="1"/>
  <c r="H3" i="7"/>
  <c r="J3" i="7"/>
  <c r="K3" i="7"/>
  <c r="L3" i="7"/>
  <c r="M3" i="7"/>
  <c r="N3" i="7"/>
  <c r="F4" i="7"/>
  <c r="H4" i="7"/>
  <c r="J4" i="7"/>
  <c r="K4" i="7"/>
  <c r="L4" i="7"/>
  <c r="M4" i="7" s="1"/>
  <c r="F5" i="7"/>
  <c r="H5" i="7"/>
  <c r="J5" i="7"/>
  <c r="K5" i="7"/>
  <c r="L5" i="7"/>
  <c r="N5" i="7" s="1"/>
  <c r="M5" i="7"/>
  <c r="F6" i="7"/>
  <c r="H6" i="7"/>
  <c r="J6" i="7"/>
  <c r="K6" i="7"/>
  <c r="L6" i="7"/>
  <c r="M6" i="7" s="1"/>
  <c r="N6" i="7"/>
  <c r="F7" i="7"/>
  <c r="H7" i="7"/>
  <c r="J7" i="7"/>
  <c r="F8" i="7"/>
  <c r="H8" i="7"/>
  <c r="J8" i="7"/>
  <c r="K8" i="7"/>
  <c r="L8" i="7"/>
  <c r="M8" i="7" s="1"/>
  <c r="F9" i="7"/>
  <c r="H9" i="7"/>
  <c r="J9" i="7"/>
  <c r="K9" i="7"/>
  <c r="L9" i="7"/>
  <c r="N9" i="7" s="1"/>
  <c r="M9" i="7"/>
  <c r="F10" i="7"/>
  <c r="H10" i="7"/>
  <c r="J10" i="7"/>
  <c r="K10" i="7"/>
  <c r="L10" i="7"/>
  <c r="M10" i="7"/>
  <c r="N10" i="7"/>
  <c r="F11" i="7"/>
  <c r="H11" i="7"/>
  <c r="I11" i="7"/>
  <c r="J11" i="7"/>
  <c r="K11" i="7"/>
  <c r="L11" i="7"/>
  <c r="N11" i="7" s="1"/>
  <c r="F12" i="7"/>
  <c r="H12" i="7"/>
  <c r="J12" i="7"/>
  <c r="K12" i="7"/>
  <c r="L12" i="7"/>
  <c r="N12" i="7" s="1"/>
  <c r="M12" i="7"/>
  <c r="E61" i="6"/>
  <c r="G61" i="6" s="1"/>
  <c r="F60" i="6"/>
  <c r="E60" i="6"/>
  <c r="G60" i="6" s="1"/>
  <c r="G59" i="6"/>
  <c r="F59" i="6"/>
  <c r="E59" i="6"/>
  <c r="G58" i="6"/>
  <c r="E58" i="6"/>
  <c r="F58" i="6" s="1"/>
  <c r="E57" i="6"/>
  <c r="G56" i="6"/>
  <c r="E56" i="6"/>
  <c r="F56" i="6" s="1"/>
  <c r="G55" i="6"/>
  <c r="F55" i="6"/>
  <c r="E55" i="6"/>
  <c r="E54" i="6"/>
  <c r="G54" i="6" s="1"/>
  <c r="E53" i="6"/>
  <c r="G53" i="6" s="1"/>
  <c r="G52" i="6"/>
  <c r="E52" i="6"/>
  <c r="F52" i="6" s="1"/>
  <c r="F51" i="6"/>
  <c r="E51" i="6"/>
  <c r="G51" i="6" s="1"/>
  <c r="E50" i="6"/>
  <c r="G50" i="6" s="1"/>
  <c r="E49" i="6"/>
  <c r="F49" i="6" s="1"/>
  <c r="F48" i="6"/>
  <c r="E48" i="6"/>
  <c r="G48" i="6" s="1"/>
  <c r="E47" i="6"/>
  <c r="G47" i="6" s="1"/>
  <c r="E46" i="6"/>
  <c r="F46" i="6" s="1"/>
  <c r="E45" i="6"/>
  <c r="G45" i="6" s="1"/>
  <c r="F44" i="6"/>
  <c r="E44" i="6"/>
  <c r="G44" i="6" s="1"/>
  <c r="G43" i="6"/>
  <c r="E43" i="6"/>
  <c r="F43" i="6" s="1"/>
  <c r="F42" i="6"/>
  <c r="E42" i="6"/>
  <c r="G42" i="6" s="1"/>
  <c r="E41" i="6"/>
  <c r="G41" i="6" s="1"/>
  <c r="G40" i="6"/>
  <c r="F40" i="6"/>
  <c r="E40" i="6"/>
  <c r="G39" i="6"/>
  <c r="E39" i="6"/>
  <c r="F39" i="6" s="1"/>
  <c r="E38" i="6"/>
  <c r="E37" i="6"/>
  <c r="G37" i="6" s="1"/>
  <c r="G36" i="6"/>
  <c r="F36" i="6"/>
  <c r="E36" i="6"/>
  <c r="E35" i="6"/>
  <c r="G35" i="6" s="1"/>
  <c r="K16" i="6"/>
  <c r="L21" i="6" s="1"/>
  <c r="G34" i="6"/>
  <c r="E34" i="6"/>
  <c r="F34" i="6" s="1"/>
  <c r="G33" i="6"/>
  <c r="F33" i="6"/>
  <c r="E33" i="6"/>
  <c r="E32" i="6"/>
  <c r="G32" i="6" s="1"/>
  <c r="E31" i="6"/>
  <c r="G31" i="6" s="1"/>
  <c r="G30" i="6"/>
  <c r="E30" i="6"/>
  <c r="F30" i="6" s="1"/>
  <c r="F29" i="6"/>
  <c r="E29" i="6"/>
  <c r="G29" i="6" s="1"/>
  <c r="E28" i="6"/>
  <c r="G28" i="6" s="1"/>
  <c r="G27" i="6"/>
  <c r="F27" i="6"/>
  <c r="E27" i="6"/>
  <c r="G26" i="6"/>
  <c r="E26" i="6"/>
  <c r="F26" i="6" s="1"/>
  <c r="E25" i="6"/>
  <c r="E24" i="6"/>
  <c r="G24" i="6" s="1"/>
  <c r="G23" i="6"/>
  <c r="F23" i="6"/>
  <c r="E23" i="6"/>
  <c r="E22" i="6"/>
  <c r="G22" i="6" s="1"/>
  <c r="G21" i="6"/>
  <c r="F21" i="6"/>
  <c r="E21" i="6"/>
  <c r="E20" i="6"/>
  <c r="F20" i="6" s="1"/>
  <c r="F19" i="6"/>
  <c r="E19" i="6"/>
  <c r="G19" i="6" s="1"/>
  <c r="F18" i="6"/>
  <c r="E18" i="6"/>
  <c r="G18" i="6" s="1"/>
  <c r="G17" i="6"/>
  <c r="F17" i="6"/>
  <c r="E17" i="6"/>
  <c r="G16" i="6"/>
  <c r="E16" i="6"/>
  <c r="F16" i="6" s="1"/>
  <c r="E15" i="6"/>
  <c r="G15" i="6" s="1"/>
  <c r="G14" i="6"/>
  <c r="F14" i="6"/>
  <c r="E14" i="6"/>
  <c r="G13" i="6"/>
  <c r="F13" i="6"/>
  <c r="E13" i="6"/>
  <c r="E12" i="6"/>
  <c r="E11" i="6"/>
  <c r="G11" i="6" s="1"/>
  <c r="E10" i="6"/>
  <c r="F10" i="6" s="1"/>
  <c r="F9" i="6"/>
  <c r="E9" i="6"/>
  <c r="G9" i="6" s="1"/>
  <c r="G8" i="6"/>
  <c r="F8" i="6"/>
  <c r="E8" i="6"/>
  <c r="G7" i="6"/>
  <c r="F7" i="6"/>
  <c r="E7" i="6"/>
  <c r="G6" i="6"/>
  <c r="E6" i="6"/>
  <c r="F6" i="6" s="1"/>
  <c r="E5" i="6"/>
  <c r="G5" i="6" s="1"/>
  <c r="G4" i="6"/>
  <c r="F4" i="6"/>
  <c r="E4" i="6"/>
  <c r="G3" i="6"/>
  <c r="E3" i="6"/>
  <c r="F3" i="6" s="1"/>
  <c r="L2" i="6"/>
  <c r="L5" i="6" s="1"/>
  <c r="L20" i="6" s="1"/>
  <c r="E2" i="6"/>
  <c r="G2" i="6" s="1"/>
  <c r="G61" i="5"/>
  <c r="F61" i="5"/>
  <c r="E61" i="5"/>
  <c r="G60" i="5"/>
  <c r="E60" i="5"/>
  <c r="F60" i="5" s="1"/>
  <c r="F59" i="5"/>
  <c r="E59" i="5"/>
  <c r="G59" i="5" s="1"/>
  <c r="E58" i="5"/>
  <c r="G58" i="5" s="1"/>
  <c r="G57" i="5"/>
  <c r="F57" i="5"/>
  <c r="E57" i="5"/>
  <c r="E56" i="5"/>
  <c r="E55" i="5"/>
  <c r="F55" i="5" s="1"/>
  <c r="G54" i="5"/>
  <c r="E54" i="5"/>
  <c r="F54" i="5" s="1"/>
  <c r="F53" i="5"/>
  <c r="E53" i="5"/>
  <c r="G53" i="5" s="1"/>
  <c r="G52" i="5"/>
  <c r="E52" i="5"/>
  <c r="F52" i="5" s="1"/>
  <c r="G51" i="5"/>
  <c r="F51" i="5"/>
  <c r="E51" i="5"/>
  <c r="F50" i="5"/>
  <c r="E50" i="5"/>
  <c r="G50" i="5" s="1"/>
  <c r="G49" i="5"/>
  <c r="F49" i="5"/>
  <c r="E49" i="5"/>
  <c r="G48" i="5"/>
  <c r="F48" i="5"/>
  <c r="E48" i="5"/>
  <c r="G47" i="5"/>
  <c r="E47" i="5"/>
  <c r="F47" i="5" s="1"/>
  <c r="F46" i="5"/>
  <c r="E46" i="5"/>
  <c r="G46" i="5" s="1"/>
  <c r="E45" i="5"/>
  <c r="F45" i="5" s="1"/>
  <c r="F44" i="5"/>
  <c r="E44" i="5"/>
  <c r="G44" i="5" s="1"/>
  <c r="G43" i="5"/>
  <c r="F43" i="5"/>
  <c r="E43" i="5"/>
  <c r="G42" i="5"/>
  <c r="F42" i="5"/>
  <c r="E42" i="5"/>
  <c r="G41" i="5"/>
  <c r="E41" i="5"/>
  <c r="F41" i="5" s="1"/>
  <c r="E40" i="5"/>
  <c r="G40" i="5" s="1"/>
  <c r="G39" i="5"/>
  <c r="F39" i="5"/>
  <c r="E39" i="5"/>
  <c r="G38" i="5"/>
  <c r="F38" i="5"/>
  <c r="E38" i="5"/>
  <c r="E37" i="5"/>
  <c r="N18" i="5"/>
  <c r="L23" i="5" s="1"/>
  <c r="E36" i="5"/>
  <c r="G36" i="5" s="1"/>
  <c r="G35" i="5"/>
  <c r="F35" i="5"/>
  <c r="E35" i="5"/>
  <c r="E34" i="5"/>
  <c r="G33" i="5"/>
  <c r="E33" i="5"/>
  <c r="F33" i="5" s="1"/>
  <c r="E32" i="5"/>
  <c r="F32" i="5" s="1"/>
  <c r="F31" i="5"/>
  <c r="E31" i="5"/>
  <c r="G31" i="5" s="1"/>
  <c r="E30" i="5"/>
  <c r="G30" i="5" s="1"/>
  <c r="G29" i="5"/>
  <c r="F29" i="5"/>
  <c r="E29" i="5"/>
  <c r="G28" i="5"/>
  <c r="E28" i="5"/>
  <c r="F28" i="5" s="1"/>
  <c r="E27" i="5"/>
  <c r="G27" i="5" s="1"/>
  <c r="E26" i="5"/>
  <c r="G26" i="5" s="1"/>
  <c r="G25" i="5"/>
  <c r="F25" i="5"/>
  <c r="E25" i="5"/>
  <c r="E24" i="5"/>
  <c r="E23" i="5"/>
  <c r="G23" i="5" s="1"/>
  <c r="E22" i="5"/>
  <c r="F22" i="5" s="1"/>
  <c r="F21" i="5"/>
  <c r="E21" i="5"/>
  <c r="G21" i="5" s="1"/>
  <c r="F20" i="5"/>
  <c r="E20" i="5"/>
  <c r="G20" i="5" s="1"/>
  <c r="G19" i="5"/>
  <c r="F19" i="5"/>
  <c r="E19" i="5"/>
  <c r="G18" i="5"/>
  <c r="E18" i="5"/>
  <c r="F18" i="5" s="1"/>
  <c r="F17" i="5"/>
  <c r="E17" i="5"/>
  <c r="G17" i="5" s="1"/>
  <c r="F16" i="5"/>
  <c r="E16" i="5"/>
  <c r="G16" i="5" s="1"/>
  <c r="G15" i="5"/>
  <c r="F15" i="5"/>
  <c r="E15" i="5"/>
  <c r="E14" i="5"/>
  <c r="G13" i="5"/>
  <c r="F13" i="5"/>
  <c r="E13" i="5"/>
  <c r="E12" i="5"/>
  <c r="F12" i="5" s="1"/>
  <c r="F11" i="5"/>
  <c r="E11" i="5"/>
  <c r="G11" i="5" s="1"/>
  <c r="G10" i="5"/>
  <c r="F10" i="5"/>
  <c r="E10" i="5"/>
  <c r="G9" i="5"/>
  <c r="F9" i="5"/>
  <c r="E9" i="5"/>
  <c r="G8" i="5"/>
  <c r="E8" i="5"/>
  <c r="F8" i="5" s="1"/>
  <c r="E7" i="5"/>
  <c r="G7" i="5" s="1"/>
  <c r="G6" i="5"/>
  <c r="F6" i="5"/>
  <c r="E6" i="5"/>
  <c r="G5" i="5"/>
  <c r="E5" i="5"/>
  <c r="F5" i="5" s="1"/>
  <c r="F4" i="5"/>
  <c r="E4" i="5"/>
  <c r="G4" i="5" s="1"/>
  <c r="E3" i="5"/>
  <c r="G3" i="5" s="1"/>
  <c r="L2" i="5"/>
  <c r="L5" i="5" s="1"/>
  <c r="L22" i="5" s="1"/>
  <c r="G2" i="5"/>
  <c r="E2" i="5"/>
  <c r="F2" i="5" s="1"/>
  <c r="E61" i="4"/>
  <c r="G61" i="4" s="1"/>
  <c r="E60" i="4"/>
  <c r="F60" i="4" s="1"/>
  <c r="E59" i="4"/>
  <c r="G59" i="4" s="1"/>
  <c r="E58" i="4"/>
  <c r="E57" i="4"/>
  <c r="G57" i="4" s="1"/>
  <c r="G56" i="4"/>
  <c r="E56" i="4"/>
  <c r="F56" i="4" s="1"/>
  <c r="E55" i="4"/>
  <c r="G55" i="4" s="1"/>
  <c r="E54" i="4"/>
  <c r="F54" i="4" s="1"/>
  <c r="E53" i="4"/>
  <c r="G53" i="4" s="1"/>
  <c r="E52" i="4"/>
  <c r="F52" i="4" s="1"/>
  <c r="F51" i="4"/>
  <c r="E51" i="4"/>
  <c r="G51" i="4" s="1"/>
  <c r="E50" i="4"/>
  <c r="G50" i="4" s="1"/>
  <c r="E49" i="4"/>
  <c r="F49" i="4" s="1"/>
  <c r="E48" i="4"/>
  <c r="G48" i="4" s="1"/>
  <c r="E47" i="4"/>
  <c r="G47" i="4" s="1"/>
  <c r="G46" i="4"/>
  <c r="E46" i="4"/>
  <c r="F46" i="4" s="1"/>
  <c r="E45" i="4"/>
  <c r="G45" i="4" s="1"/>
  <c r="E44" i="4"/>
  <c r="G44" i="4" s="1"/>
  <c r="E43" i="4"/>
  <c r="F43" i="4" s="1"/>
  <c r="E42" i="4"/>
  <c r="G42" i="4" s="1"/>
  <c r="E41" i="4"/>
  <c r="G41" i="4" s="1"/>
  <c r="G40" i="4"/>
  <c r="E40" i="4"/>
  <c r="F40" i="4" s="1"/>
  <c r="E39" i="4"/>
  <c r="E38" i="4"/>
  <c r="G38" i="4" s="1"/>
  <c r="E37" i="4"/>
  <c r="F37" i="4" s="1"/>
  <c r="E36" i="4"/>
  <c r="G36" i="4" s="1"/>
  <c r="E35" i="4"/>
  <c r="G35" i="4" s="1"/>
  <c r="G34" i="4"/>
  <c r="E34" i="4"/>
  <c r="F34" i="4" s="1"/>
  <c r="L19" i="4"/>
  <c r="E33" i="4"/>
  <c r="G33" i="4" s="1"/>
  <c r="E32" i="4"/>
  <c r="F32" i="4" s="1"/>
  <c r="G31" i="4"/>
  <c r="F31" i="4"/>
  <c r="E31" i="4"/>
  <c r="E30" i="4"/>
  <c r="F30" i="4" s="1"/>
  <c r="E29" i="4"/>
  <c r="G29" i="4" s="1"/>
  <c r="E28" i="4"/>
  <c r="F28" i="4" s="1"/>
  <c r="E27" i="4"/>
  <c r="G27" i="4" s="1"/>
  <c r="E26" i="4"/>
  <c r="E25" i="4"/>
  <c r="G25" i="4" s="1"/>
  <c r="E24" i="4"/>
  <c r="F24" i="4" s="1"/>
  <c r="E23" i="4"/>
  <c r="G23" i="4" s="1"/>
  <c r="E22" i="4"/>
  <c r="F22" i="4" s="1"/>
  <c r="E21" i="4"/>
  <c r="G21" i="4" s="1"/>
  <c r="G20" i="4"/>
  <c r="E20" i="4"/>
  <c r="F20" i="4" s="1"/>
  <c r="E19" i="4"/>
  <c r="G19" i="4" s="1"/>
  <c r="E18" i="4"/>
  <c r="G18" i="4" s="1"/>
  <c r="E17" i="4"/>
  <c r="G17" i="4" s="1"/>
  <c r="E16" i="4"/>
  <c r="E15" i="4"/>
  <c r="G15" i="4" s="1"/>
  <c r="E14" i="4"/>
  <c r="F14" i="4" s="1"/>
  <c r="E13" i="4"/>
  <c r="G13" i="4" s="1"/>
  <c r="E12" i="4"/>
  <c r="G12" i="4" s="1"/>
  <c r="E11" i="4"/>
  <c r="G11" i="4" s="1"/>
  <c r="G10" i="4"/>
  <c r="E10" i="4"/>
  <c r="F10" i="4" s="1"/>
  <c r="E9" i="4"/>
  <c r="G9" i="4" s="1"/>
  <c r="E8" i="4"/>
  <c r="G8" i="4" s="1"/>
  <c r="E7" i="4"/>
  <c r="G7" i="4" s="1"/>
  <c r="E6" i="4"/>
  <c r="E5" i="4"/>
  <c r="G5" i="4" s="1"/>
  <c r="E4" i="4"/>
  <c r="G4" i="4" s="1"/>
  <c r="E3" i="4"/>
  <c r="L2" i="4"/>
  <c r="L5" i="4" s="1"/>
  <c r="L18" i="4" s="1"/>
  <c r="E2" i="4"/>
  <c r="F2" i="4" s="1"/>
  <c r="G61" i="2"/>
  <c r="F61" i="2"/>
  <c r="E61" i="2"/>
  <c r="E60" i="2"/>
  <c r="F59" i="2"/>
  <c r="E59" i="2"/>
  <c r="G59" i="2" s="1"/>
  <c r="E58" i="2"/>
  <c r="G58" i="2" s="1"/>
  <c r="F57" i="2"/>
  <c r="E57" i="2"/>
  <c r="G57" i="2" s="1"/>
  <c r="G56" i="2"/>
  <c r="F56" i="2"/>
  <c r="E56" i="2"/>
  <c r="E55" i="2"/>
  <c r="G55" i="2" s="1"/>
  <c r="G54" i="2"/>
  <c r="E54" i="2"/>
  <c r="F54" i="2" s="1"/>
  <c r="E53" i="2"/>
  <c r="G53" i="2" s="1"/>
  <c r="G52" i="2"/>
  <c r="F52" i="2"/>
  <c r="E52" i="2"/>
  <c r="G51" i="2"/>
  <c r="E51" i="2"/>
  <c r="F51" i="2" s="1"/>
  <c r="E50" i="2"/>
  <c r="G50" i="2" s="1"/>
  <c r="E49" i="2"/>
  <c r="G49" i="2" s="1"/>
  <c r="G48" i="2"/>
  <c r="F48" i="2"/>
  <c r="E48" i="2"/>
  <c r="E47" i="2"/>
  <c r="G47" i="2" s="1"/>
  <c r="L45" i="2"/>
  <c r="E46" i="2"/>
  <c r="G46" i="2" s="1"/>
  <c r="G45" i="2"/>
  <c r="E45" i="2"/>
  <c r="F45" i="2" s="1"/>
  <c r="E44" i="2"/>
  <c r="G44" i="2" s="1"/>
  <c r="E43" i="2"/>
  <c r="F43" i="2" s="1"/>
  <c r="G42" i="2"/>
  <c r="F42" i="2"/>
  <c r="E42" i="2"/>
  <c r="N41" i="2"/>
  <c r="L46" i="2" s="1"/>
  <c r="F41" i="2"/>
  <c r="E41" i="2"/>
  <c r="G41" i="2" s="1"/>
  <c r="E40" i="2"/>
  <c r="G40" i="2" s="1"/>
  <c r="G39" i="2"/>
  <c r="F39" i="2"/>
  <c r="E39" i="2"/>
  <c r="E38" i="2"/>
  <c r="G37" i="2"/>
  <c r="F37" i="2"/>
  <c r="E37" i="2"/>
  <c r="E36" i="2"/>
  <c r="G36" i="2" s="1"/>
  <c r="F35" i="2"/>
  <c r="E35" i="2"/>
  <c r="G35" i="2" s="1"/>
  <c r="E34" i="2"/>
  <c r="G34" i="2" s="1"/>
  <c r="G33" i="2"/>
  <c r="E33" i="2"/>
  <c r="F33" i="2" s="1"/>
  <c r="G32" i="2"/>
  <c r="E32" i="2"/>
  <c r="F32" i="2" s="1"/>
  <c r="E31" i="2"/>
  <c r="G31" i="2" s="1"/>
  <c r="E30" i="2"/>
  <c r="G30" i="2" s="1"/>
  <c r="G29" i="2"/>
  <c r="F29" i="2"/>
  <c r="E29" i="2"/>
  <c r="E28" i="2"/>
  <c r="E27" i="2"/>
  <c r="G27" i="2" s="1"/>
  <c r="E26" i="2"/>
  <c r="G26" i="2" s="1"/>
  <c r="F25" i="2"/>
  <c r="E25" i="2"/>
  <c r="G25" i="2" s="1"/>
  <c r="E24" i="2"/>
  <c r="G24" i="2" s="1"/>
  <c r="L23" i="2"/>
  <c r="G23" i="2"/>
  <c r="E23" i="2"/>
  <c r="F23" i="2" s="1"/>
  <c r="F22" i="2"/>
  <c r="E22" i="2"/>
  <c r="G22" i="2" s="1"/>
  <c r="F21" i="2"/>
  <c r="E21" i="2"/>
  <c r="G21" i="2" s="1"/>
  <c r="E20" i="2"/>
  <c r="G20" i="2" s="1"/>
  <c r="G19" i="2"/>
  <c r="E19" i="2"/>
  <c r="F19" i="2" s="1"/>
  <c r="F18" i="2"/>
  <c r="E18" i="2"/>
  <c r="G18" i="2" s="1"/>
  <c r="L17" i="2"/>
  <c r="E17" i="2"/>
  <c r="G17" i="2" s="1"/>
  <c r="G16" i="2"/>
  <c r="E16" i="2"/>
  <c r="F16" i="2" s="1"/>
  <c r="E15" i="2"/>
  <c r="G15" i="2" s="1"/>
  <c r="G14" i="2"/>
  <c r="F14" i="2"/>
  <c r="E14" i="2"/>
  <c r="G13" i="2"/>
  <c r="F13" i="2"/>
  <c r="E13" i="2"/>
  <c r="E12" i="2"/>
  <c r="L11" i="2"/>
  <c r="E11" i="2"/>
  <c r="G11" i="2" s="1"/>
  <c r="G10" i="2"/>
  <c r="F10" i="2"/>
  <c r="E10" i="2"/>
  <c r="E9" i="2"/>
  <c r="E8" i="2"/>
  <c r="G8" i="2" s="1"/>
  <c r="E7" i="2"/>
  <c r="G7" i="2" s="1"/>
  <c r="F6" i="2"/>
  <c r="E6" i="2"/>
  <c r="G6" i="2" s="1"/>
  <c r="L5" i="2"/>
  <c r="E5" i="2"/>
  <c r="F5" i="2" s="1"/>
  <c r="E4" i="2"/>
  <c r="G4" i="2" s="1"/>
  <c r="F3" i="2"/>
  <c r="E3" i="2"/>
  <c r="G3" i="2" s="1"/>
  <c r="L2" i="2"/>
  <c r="E2" i="2"/>
  <c r="G2" i="2" s="1"/>
  <c r="G8" i="1"/>
  <c r="G7" i="1"/>
  <c r="G6" i="1"/>
  <c r="G5" i="1"/>
  <c r="G4" i="1"/>
  <c r="F61" i="3"/>
  <c r="E61" i="3"/>
  <c r="G61" i="3" s="1"/>
  <c r="E60" i="3"/>
  <c r="G60" i="3" s="1"/>
  <c r="E59" i="3"/>
  <c r="G59" i="3" s="1"/>
  <c r="E58" i="3"/>
  <c r="E57" i="3"/>
  <c r="F57" i="3" s="1"/>
  <c r="E56" i="3"/>
  <c r="G56" i="3" s="1"/>
  <c r="E55" i="3"/>
  <c r="G55" i="3" s="1"/>
  <c r="E54" i="3"/>
  <c r="F54" i="3" s="1"/>
  <c r="E53" i="3"/>
  <c r="F53" i="3" s="1"/>
  <c r="E52" i="3"/>
  <c r="F52" i="3" s="1"/>
  <c r="E51" i="3"/>
  <c r="G51" i="3" s="1"/>
  <c r="E50" i="3"/>
  <c r="G50" i="3" s="1"/>
  <c r="E49" i="3"/>
  <c r="F49" i="3" s="1"/>
  <c r="E48" i="3"/>
  <c r="G48" i="3" s="1"/>
  <c r="E47" i="3"/>
  <c r="G47" i="3" s="1"/>
  <c r="E46" i="3"/>
  <c r="F46" i="3" s="1"/>
  <c r="E45" i="3"/>
  <c r="G45" i="3" s="1"/>
  <c r="E44" i="3"/>
  <c r="G44" i="3" s="1"/>
  <c r="E43" i="3"/>
  <c r="F43" i="3" s="1"/>
  <c r="E42" i="3"/>
  <c r="G42" i="3" s="1"/>
  <c r="N23" i="3"/>
  <c r="L28" i="3" s="1"/>
  <c r="E41" i="3"/>
  <c r="G41" i="3" s="1"/>
  <c r="E40" i="3"/>
  <c r="F40" i="3" s="1"/>
  <c r="E39" i="3"/>
  <c r="G39" i="3" s="1"/>
  <c r="E38" i="3"/>
  <c r="G38" i="3" s="1"/>
  <c r="E37" i="3"/>
  <c r="G37" i="3" s="1"/>
  <c r="E36" i="3"/>
  <c r="E35" i="3"/>
  <c r="G35" i="3" s="1"/>
  <c r="E34" i="3"/>
  <c r="F34" i="3" s="1"/>
  <c r="E33" i="3"/>
  <c r="G33" i="3" s="1"/>
  <c r="E32" i="3"/>
  <c r="G32" i="3" s="1"/>
  <c r="E31" i="3"/>
  <c r="F31" i="3" s="1"/>
  <c r="E30" i="3"/>
  <c r="F30" i="3" s="1"/>
  <c r="E29" i="3"/>
  <c r="G29" i="3" s="1"/>
  <c r="E28" i="3"/>
  <c r="F28" i="3" s="1"/>
  <c r="E27" i="3"/>
  <c r="G27" i="3" s="1"/>
  <c r="E26" i="3"/>
  <c r="E25" i="3"/>
  <c r="G25" i="3" s="1"/>
  <c r="E24" i="3"/>
  <c r="G24" i="3" s="1"/>
  <c r="E23" i="3"/>
  <c r="G23" i="3" s="1"/>
  <c r="E22" i="3"/>
  <c r="F22" i="3" s="1"/>
  <c r="E21" i="3"/>
  <c r="G21" i="3" s="1"/>
  <c r="E20" i="3"/>
  <c r="F20" i="3" s="1"/>
  <c r="E19" i="3"/>
  <c r="G19" i="3" s="1"/>
  <c r="E18" i="3"/>
  <c r="F18" i="3" s="1"/>
  <c r="E17" i="3"/>
  <c r="G17" i="3" s="1"/>
  <c r="E16" i="3"/>
  <c r="E15" i="3"/>
  <c r="F15" i="3" s="1"/>
  <c r="E14" i="3"/>
  <c r="F14" i="3" s="1"/>
  <c r="E13" i="3"/>
  <c r="G13" i="3" s="1"/>
  <c r="E12" i="3"/>
  <c r="G12" i="3" s="1"/>
  <c r="E11" i="3"/>
  <c r="G11" i="3" s="1"/>
  <c r="E10" i="3"/>
  <c r="F10" i="3" s="1"/>
  <c r="E9" i="3"/>
  <c r="G9" i="3" s="1"/>
  <c r="E8" i="3"/>
  <c r="G8" i="3" s="1"/>
  <c r="E7" i="3"/>
  <c r="G7" i="3" s="1"/>
  <c r="E6" i="3"/>
  <c r="E5" i="3"/>
  <c r="F5" i="3" s="1"/>
  <c r="E4" i="3"/>
  <c r="G4" i="3" s="1"/>
  <c r="E3" i="3"/>
  <c r="L2" i="3"/>
  <c r="L5" i="3" s="1"/>
  <c r="L27" i="3" s="1"/>
  <c r="E2" i="3"/>
  <c r="G2" i="3" s="1"/>
  <c r="L50" i="2" l="1"/>
  <c r="F11" i="4"/>
  <c r="F27" i="4"/>
  <c r="F48" i="4"/>
  <c r="F59" i="4"/>
  <c r="G60" i="4"/>
  <c r="F15" i="4"/>
  <c r="F35" i="4"/>
  <c r="G32" i="4"/>
  <c r="F36" i="4"/>
  <c r="G43" i="4"/>
  <c r="G49" i="4"/>
  <c r="F8" i="4"/>
  <c r="F33" i="4"/>
  <c r="F4" i="4"/>
  <c r="F23" i="4"/>
  <c r="F50" i="4"/>
  <c r="F55" i="4"/>
  <c r="G52" i="4"/>
  <c r="F7" i="4"/>
  <c r="F21" i="4"/>
  <c r="F53" i="4"/>
  <c r="F17" i="4"/>
  <c r="F12" i="4"/>
  <c r="G28" i="4"/>
  <c r="F44" i="4"/>
  <c r="F9" i="4"/>
  <c r="F13" i="4"/>
  <c r="F19" i="4"/>
  <c r="G24" i="4"/>
  <c r="G30" i="4"/>
  <c r="F2" i="3"/>
  <c r="G30" i="3"/>
  <c r="F45" i="3"/>
  <c r="G14" i="3"/>
  <c r="G22" i="3"/>
  <c r="F55" i="3"/>
  <c r="F4" i="3"/>
  <c r="G18" i="3"/>
  <c r="F50" i="3"/>
  <c r="F11" i="3"/>
  <c r="F42" i="3"/>
  <c r="G34" i="3"/>
  <c r="G20" i="3"/>
  <c r="G46" i="3"/>
  <c r="G10" i="3"/>
  <c r="F19" i="3"/>
  <c r="G57" i="3"/>
  <c r="G15" i="3"/>
  <c r="F25" i="3"/>
  <c r="F37" i="3"/>
  <c r="F47" i="3"/>
  <c r="G52" i="3"/>
  <c r="G40" i="3"/>
  <c r="G53" i="3"/>
  <c r="F59" i="3"/>
  <c r="F7" i="3"/>
  <c r="F17" i="3"/>
  <c r="F27" i="3"/>
  <c r="F38" i="3"/>
  <c r="F29" i="3"/>
  <c r="G5" i="3"/>
  <c r="F21" i="3"/>
  <c r="F33" i="3"/>
  <c r="G49" i="3"/>
  <c r="F9" i="3"/>
  <c r="G43" i="3"/>
  <c r="L27" i="5"/>
  <c r="L23" i="4"/>
  <c r="N4" i="7"/>
  <c r="M11" i="7"/>
  <c r="K7" i="7"/>
  <c r="L7" i="7"/>
  <c r="L32" i="3"/>
  <c r="N8" i="7"/>
  <c r="G6" i="3"/>
  <c r="F6" i="3"/>
  <c r="G26" i="3"/>
  <c r="F26" i="3"/>
  <c r="G60" i="2"/>
  <c r="F60" i="2"/>
  <c r="G16" i="4"/>
  <c r="F16" i="4"/>
  <c r="G34" i="5"/>
  <c r="F34" i="5"/>
  <c r="F57" i="6"/>
  <c r="G57" i="6"/>
  <c r="F61" i="4"/>
  <c r="F26" i="5"/>
  <c r="F30" i="5"/>
  <c r="F5" i="6"/>
  <c r="F31" i="6"/>
  <c r="F53" i="6"/>
  <c r="G58" i="3"/>
  <c r="F58" i="3"/>
  <c r="F7" i="2"/>
  <c r="F11" i="2"/>
  <c r="F26" i="2"/>
  <c r="F30" i="2"/>
  <c r="F34" i="2"/>
  <c r="G38" i="2"/>
  <c r="F38" i="2"/>
  <c r="F49" i="2"/>
  <c r="F25" i="4"/>
  <c r="F29" i="4"/>
  <c r="F41" i="4"/>
  <c r="F45" i="4"/>
  <c r="F57" i="4"/>
  <c r="G31" i="3"/>
  <c r="F35" i="3"/>
  <c r="F39" i="3"/>
  <c r="G54" i="3"/>
  <c r="F4" i="2"/>
  <c r="F15" i="2"/>
  <c r="F46" i="2"/>
  <c r="F53" i="2"/>
  <c r="F5" i="4"/>
  <c r="G37" i="4"/>
  <c r="G14" i="5"/>
  <c r="F14" i="5"/>
  <c r="G22" i="5"/>
  <c r="F58" i="5"/>
  <c r="F2" i="6"/>
  <c r="G49" i="6"/>
  <c r="F50" i="6"/>
  <c r="F28" i="6"/>
  <c r="F41" i="6"/>
  <c r="G46" i="6"/>
  <c r="G58" i="4"/>
  <c r="F58" i="4"/>
  <c r="G54" i="4"/>
  <c r="F36" i="5"/>
  <c r="F8" i="3"/>
  <c r="F12" i="3"/>
  <c r="F41" i="3"/>
  <c r="F48" i="3"/>
  <c r="F56" i="3"/>
  <c r="F60" i="3"/>
  <c r="F2" i="2"/>
  <c r="G5" i="2"/>
  <c r="G9" i="2"/>
  <c r="F9" i="2"/>
  <c r="F17" i="2"/>
  <c r="F24" i="2"/>
  <c r="G28" i="2"/>
  <c r="F28" i="2"/>
  <c r="F36" i="2"/>
  <c r="F40" i="2"/>
  <c r="G43" i="2"/>
  <c r="F47" i="2"/>
  <c r="F55" i="2"/>
  <c r="G39" i="4"/>
  <c r="F39" i="4"/>
  <c r="F47" i="4"/>
  <c r="F3" i="5"/>
  <c r="F7" i="5"/>
  <c r="G24" i="5"/>
  <c r="F24" i="5"/>
  <c r="G32" i="5"/>
  <c r="F40" i="5"/>
  <c r="G55" i="5"/>
  <c r="F11" i="6"/>
  <c r="F15" i="6"/>
  <c r="F24" i="6"/>
  <c r="F37" i="6"/>
  <c r="F24" i="3"/>
  <c r="F32" i="3"/>
  <c r="G36" i="3"/>
  <c r="F36" i="3"/>
  <c r="F44" i="3"/>
  <c r="F51" i="3"/>
  <c r="F8" i="2"/>
  <c r="F20" i="2"/>
  <c r="F27" i="2"/>
  <c r="F50" i="2"/>
  <c r="F58" i="2"/>
  <c r="F18" i="4"/>
  <c r="F38" i="4"/>
  <c r="F23" i="5"/>
  <c r="L25" i="6"/>
  <c r="G10" i="6"/>
  <c r="F16" i="3"/>
  <c r="G16" i="3"/>
  <c r="G28" i="3"/>
  <c r="G2" i="4"/>
  <c r="G6" i="4"/>
  <c r="F6" i="4"/>
  <c r="G14" i="4"/>
  <c r="G22" i="4"/>
  <c r="G3" i="4"/>
  <c r="F3" i="4"/>
  <c r="G56" i="5"/>
  <c r="F56" i="5"/>
  <c r="G20" i="6"/>
  <c r="F3" i="3"/>
  <c r="G3" i="3"/>
  <c r="G26" i="4"/>
  <c r="F26" i="4"/>
  <c r="G12" i="2"/>
  <c r="F12" i="2"/>
  <c r="F31" i="2"/>
  <c r="F42" i="4"/>
  <c r="F27" i="5"/>
  <c r="F44" i="2"/>
  <c r="G12" i="5"/>
  <c r="G37" i="5"/>
  <c r="F37" i="5"/>
  <c r="G45" i="5"/>
  <c r="G12" i="6"/>
  <c r="F12" i="6"/>
  <c r="F25" i="6"/>
  <c r="G25" i="6"/>
  <c r="F38" i="6"/>
  <c r="G38" i="6"/>
  <c r="F47" i="6"/>
  <c r="F22" i="6"/>
  <c r="F32" i="6"/>
  <c r="F35" i="6"/>
  <c r="F45" i="6"/>
  <c r="F54" i="6"/>
  <c r="F61" i="6"/>
  <c r="F13" i="3"/>
  <c r="F23" i="3"/>
  <c r="M7" i="7" l="1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3" authorId="0" shapeId="0" xr:uid="{00000000-0006-0000-0100-000001000000}">
      <text>
        <r>
          <rPr>
            <b/>
            <sz val="11"/>
            <color rgb="FF000000"/>
            <rFont val="Calibri"/>
            <family val="2"/>
          </rPr>
          <t xml:space="preserve">Safna Sahibo:
</t>
        </r>
        <r>
          <rPr>
            <b/>
            <sz val="11"/>
            <color rgb="FF000000"/>
            <rFont val="Calibri"/>
            <family val="2"/>
          </rPr>
          <t>Source: U.S. Department of the Treasury, Daily Treasury Par Yield Curve Rates (10 Yr CMT), 04/17/2026, https://home.treasury.gov/resource-center/data-chart-center/interest-rates/TextView?type=daily_treasury_yield_curve&amp;field_tdr_date_value=2026</t>
        </r>
      </text>
    </comment>
    <comment ref="L4" authorId="0" shapeId="0" xr:uid="{00000000-0006-0000-0100-000002000000}">
      <text>
        <r>
          <rPr>
            <b/>
            <sz val="11"/>
            <color rgb="FF000000"/>
            <rFont val="Calibri"/>
            <family val="2"/>
          </rPr>
          <t xml:space="preserve">Safna Sahibo:
</t>
        </r>
        <r>
          <rPr>
            <b/>
            <sz val="11"/>
            <color rgb="FF000000"/>
            <rFont val="Calibri"/>
            <family val="2"/>
          </rPr>
          <t>Source: Fernandez, P., Garcia de la Garza, D., &amp; Fernández Acín, L. (2025). "Survey: Market Risk Premium and Risk-Free Rate used for 54 countries in 2025." IESE Business School Working Paper. Average MRP for the U.S. = 5.5%. https://papers.ssrn.com/sol3/papers.cfm?abstract_id=5260463</t>
        </r>
      </text>
    </comment>
    <comment ref="L8" authorId="0" shapeId="0" xr:uid="{00000000-0006-0000-0100-000003000000}">
      <text>
        <r>
          <rPr>
            <b/>
            <sz val="11"/>
            <color rgb="FF000000"/>
            <rFont val="Calibri"/>
            <family val="2"/>
          </rPr>
          <t xml:space="preserve">Safna Sahibo:
</t>
        </r>
        <r>
          <rPr>
            <b/>
            <sz val="11"/>
            <color rgb="FF000000"/>
            <rFont val="Calibri"/>
            <family val="2"/>
          </rPr>
          <t>Source: Robinhood/Yahoo Finance, KO closing price ~$75.36 as of 04/15/2026. https://finance.yahoo.com/quote/KO/history/</t>
        </r>
      </text>
    </comment>
    <comment ref="L9" authorId="0" shapeId="0" xr:uid="{00000000-0006-0000-0100-000004000000}">
      <text>
        <r>
          <rPr>
            <b/>
            <sz val="11"/>
            <color rgb="FF000000"/>
            <rFont val="Calibri"/>
            <family val="2"/>
          </rPr>
          <t xml:space="preserve">Safna Sahibo:
</t>
        </r>
        <r>
          <rPr>
            <b/>
            <sz val="11"/>
            <color rgb="FF000000"/>
            <rFont val="Calibri"/>
            <family val="2"/>
          </rPr>
          <t xml:space="preserve">D1 = D0 </t>
        </r>
        <r>
          <rPr>
            <b/>
            <sz val="11"/>
            <color rgb="FF000000"/>
            <rFont val="Calibri"/>
            <family val="2"/>
          </rPr>
          <t>×</t>
        </r>
        <r>
          <rPr>
            <b/>
            <sz val="11"/>
            <color rgb="FF000000"/>
            <rFont val="Calibri"/>
            <family val="2"/>
          </rPr>
          <t xml:space="preserve"> (1+g) = $2.12 </t>
        </r>
        <r>
          <rPr>
            <b/>
            <sz val="11"/>
            <color rgb="FF000000"/>
            <rFont val="Calibri"/>
            <family val="2"/>
          </rPr>
          <t>×</t>
        </r>
        <r>
          <rPr>
            <b/>
            <sz val="11"/>
            <color rgb="FF000000"/>
            <rFont val="Calibri"/>
            <family val="2"/>
          </rPr>
          <t xml:space="preserve"> 1.046 = $2.22. D0 ($2.12 annual, $0.53/quarter) from Coca-Cola IR. Growth rate (g=4.60%) is 5-year avg dividend growth. Sources: https://investors.coca-colacompany.com/stock-info/dividends</t>
        </r>
      </text>
    </comment>
    <comment ref="L10" authorId="0" shapeId="0" xr:uid="{00000000-0006-0000-0100-000005000000}">
      <text>
        <r>
          <rPr>
            <b/>
            <sz val="11"/>
            <color theme="1"/>
            <rFont val="Calibri"/>
            <family val="2"/>
          </rPr>
          <t xml:space="preserve">Safna Sahibo:
</t>
        </r>
        <r>
          <rPr>
            <b/>
            <sz val="11"/>
            <color theme="1"/>
            <rFont val="Calibri"/>
            <family val="2"/>
          </rPr>
          <t>Source: 5-year average dividend growth rate for KO. Annual dividends: $2.12 (2026), $2.04 (2025). https://www.koyfin.com/company/ko/dividends/</t>
        </r>
      </text>
    </comment>
    <comment ref="N41" authorId="0" shapeId="0" xr:uid="{00000000-0006-0000-0100-00000F000000}">
      <text>
        <r>
          <rPr>
            <sz val="10"/>
            <color rgb="FF000000"/>
            <rFont val="Arial"/>
            <family val="2"/>
          </rPr>
          <t xml:space="preserve">Safna Sahibo:
</t>
        </r>
        <r>
          <rPr>
            <sz val="10"/>
            <color rgb="FF000000"/>
            <rFont val="Arial"/>
            <family val="2"/>
          </rPr>
          <t>Source: FINRA Fixed Income Data (via TradingView/FINRA TRACE). Average YTM of 12 Coca-Cola Company straight USD bonds with maturity &gt; 7 years. Data as of ~April 2026. https://www.finra.org/finra-data/fixed-income/corp-and-agency</t>
        </r>
      </text>
    </comment>
    <comment ref="L45" authorId="0" shapeId="0" xr:uid="{00000000-0006-0000-0100-00000A000000}">
      <text>
        <r>
          <rPr>
            <sz val="10"/>
            <color rgb="FF000000"/>
            <rFont val="Arial"/>
            <family val="2"/>
          </rPr>
          <t xml:space="preserve">Safna Sahibo:
</t>
        </r>
        <r>
          <rPr>
            <sz val="10"/>
            <color rgb="FF000000"/>
            <rFont val="Arial"/>
            <family val="2"/>
          </rPr>
          <t>Cost of Equity from CAPM (Sheet3!C5)</t>
        </r>
      </text>
    </comment>
    <comment ref="L46" authorId="0" shapeId="0" xr:uid="{00000000-0006-0000-0100-00000B000000}">
      <text>
        <r>
          <rPr>
            <sz val="10"/>
            <color rgb="FF000000"/>
            <rFont val="Arial"/>
            <family val="2"/>
          </rPr>
          <t xml:space="preserve">Safna Sahibo:
</t>
        </r>
        <r>
          <rPr>
            <sz val="10"/>
            <color rgb="FF000000"/>
            <rFont val="Arial"/>
            <family val="2"/>
          </rPr>
          <t>Cost of Debt = Average YTM of KO bonds (Sheet3!I16)</t>
        </r>
      </text>
    </comment>
    <comment ref="L47" authorId="0" shapeId="0" xr:uid="{00000000-0006-0000-0100-00000C000000}">
      <text>
        <r>
          <rPr>
            <sz val="10"/>
            <color rgb="FF000000"/>
            <rFont val="Arial"/>
            <family val="2"/>
          </rPr>
          <t xml:space="preserve">Safna Sahibo:
</t>
        </r>
        <r>
          <rPr>
            <sz val="10"/>
            <color rgb="FF000000"/>
            <rFont val="Arial"/>
            <family val="2"/>
          </rPr>
          <t xml:space="preserve">Source: Market capitalization as of April 2026 (~$326.0B). Shares outstanding 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 xml:space="preserve"> market price. https://companiesmarketcap.com/coca-cola/marketcap/</t>
        </r>
      </text>
    </comment>
    <comment ref="L48" authorId="0" shapeId="0" xr:uid="{00000000-0006-0000-0100-00000D000000}">
      <text>
        <r>
          <rPr>
            <sz val="10"/>
            <rFont val="Arial"/>
            <family val="2"/>
          </rPr>
          <t>Safna Sahibo:
Source: KO 10-K (FY2025, Dec 31, 2025). Total Debt = Loans &amp; notes payable ($1,551M) + Current maturities of LT debt ($1,822M) + Long-term debt ($42,119M) = $45,492M. https://investors.coca-colacompany.com/filings-reports/all-sec-filings/content/0001628280-26-010047/ko-20251231.htm</t>
        </r>
      </text>
    </comment>
    <comment ref="L49" authorId="0" shapeId="0" xr:uid="{00000000-0006-0000-0100-00000E000000}">
      <text>
        <r>
          <rPr>
            <sz val="10"/>
            <rFont val="Arial"/>
            <family val="2"/>
          </rPr>
          <t>Safna Sahibo:
Marginal corporate tax rate per assignment instructions (21%)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18" authorId="0" shapeId="0" xr:uid="{00000000-0006-0000-0400-000008000000}">
      <text>
        <r>
          <rPr>
            <sz val="10"/>
            <color rgb="FF000000"/>
            <rFont val="Arial"/>
            <family val="2"/>
          </rPr>
          <t xml:space="preserve">Safna Sahibo:
</t>
        </r>
        <r>
          <rPr>
            <sz val="10"/>
            <color rgb="FF000000"/>
            <rFont val="Arial"/>
            <family val="2"/>
          </rPr>
          <t>Source: FINRA TRACE via TradingView, KDP straight USD bonds &gt;7yr maturity, Apr 2026. https://www.tradingview.com/symbols/NASDAQ-KDP/bonds/</t>
        </r>
      </text>
    </comment>
  </commentList>
</comments>
</file>

<file path=xl/sharedStrings.xml><?xml version="1.0" encoding="utf-8"?>
<sst xmlns="http://schemas.openxmlformats.org/spreadsheetml/2006/main" count="478" uniqueCount="207">
  <si>
    <t>Risk-free rate: 4.26%  |  Market Risk Premium: 5.50%  |  Tax rate: 21%  |  Industry WACC (NYU Stern): 6.33%</t>
  </si>
  <si>
    <t>Company</t>
  </si>
  <si>
    <t>Beta</t>
  </si>
  <si>
    <t>Re (%)</t>
  </si>
  <si>
    <t>Rd (%)</t>
  </si>
  <si>
    <t>E / (E+D)</t>
  </si>
  <si>
    <t>WACC (%)</t>
  </si>
  <si>
    <t>vs. 6.33%</t>
  </si>
  <si>
    <t>Rd Method</t>
  </si>
  <si>
    <t>PepsiCo (PEP)</t>
  </si>
  <si>
    <t>Coca-Cola (KO)</t>
  </si>
  <si>
    <t>Keurig Dr Pepper (KDP)</t>
  </si>
  <si>
    <t>Monster Beverage (MNST)</t>
  </si>
  <si>
    <t>Synthetic (Aaa/AAA)</t>
  </si>
  <si>
    <t>Celsius Holdings (CELH)</t>
  </si>
  <si>
    <t>Industry Avg (NYU Stern)</t>
  </si>
  <si>
    <t>benchmark</t>
  </si>
  <si>
    <t>Rd After-tax (%)</t>
  </si>
  <si>
    <t>Industry Avg</t>
  </si>
  <si>
    <t>Notes: Re estimated via CAPM. Rd via YTM for KO &amp; PEP (bond market data); synthetic Damodaran rating (Aaa/AAA, +40bps spread) for MNST &amp; CELH. E and D values in $M from market cap and book debt. Tax rate 21% applied to all firms.</t>
  </si>
  <si>
    <t>Names Date</t>
  </si>
  <si>
    <t>RKO</t>
  </si>
  <si>
    <t>RM</t>
  </si>
  <si>
    <t>Rf (annual, not percentage)</t>
  </si>
  <si>
    <t>Rf (monthly, %)</t>
  </si>
  <si>
    <t>X = Rm - Rf</t>
  </si>
  <si>
    <t xml:space="preserve"> Capital Asset Pricing Model (CAPM)</t>
  </si>
  <si>
    <t>b</t>
  </si>
  <si>
    <t>RF</t>
  </si>
  <si>
    <t>Risk-free rate (government bond yield)</t>
  </si>
  <si>
    <t>RM-RF</t>
  </si>
  <si>
    <t xml:space="preserve">Market Risk Premium </t>
  </si>
  <si>
    <t>RE</t>
  </si>
  <si>
    <t>Cost of Equity (Required Rate of Return)</t>
  </si>
  <si>
    <t xml:space="preserve"> Dividend Discount Model (DDM)</t>
  </si>
  <si>
    <t>P0</t>
  </si>
  <si>
    <t>Current price of the stock</t>
  </si>
  <si>
    <t>D1</t>
  </si>
  <si>
    <t xml:space="preserve">Expected dividend amount </t>
  </si>
  <si>
    <t>g</t>
  </si>
  <si>
    <t xml:space="preserve">Expected growth rate </t>
  </si>
  <si>
    <t xml:space="preserve"> Cost of Debt (RD) - Coca-Cola Company</t>
  </si>
  <si>
    <t>Bond</t>
  </si>
  <si>
    <t>Coupon (%)</t>
  </si>
  <si>
    <t>Maturity</t>
  </si>
  <si>
    <t>Yrs to Mat</t>
  </si>
  <si>
    <t>YTM (%)</t>
  </si>
  <si>
    <t>Volume</t>
  </si>
  <si>
    <t>KO 5.40% 2064</t>
  </si>
  <si>
    <t>578 K</t>
  </si>
  <si>
    <t>KO 5.30% 2054</t>
  </si>
  <si>
    <t>7.26 M</t>
  </si>
  <si>
    <t>KO 2.75% 2060</t>
  </si>
  <si>
    <t>1.01 M</t>
  </si>
  <si>
    <t>KO 3.00% 2051</t>
  </si>
  <si>
    <t>10.44 M</t>
  </si>
  <si>
    <t>KO 5.20% 2055</t>
  </si>
  <si>
    <t>403 K</t>
  </si>
  <si>
    <t>KO 4.20% 2050</t>
  </si>
  <si>
    <t>208 K</t>
  </si>
  <si>
    <t>KO 7.375% 2093</t>
  </si>
  <si>
    <t>50 K</t>
  </si>
  <si>
    <t>KO 2.60% 2050</t>
  </si>
  <si>
    <t>382 K</t>
  </si>
  <si>
    <t>KO 2.50% 2040</t>
  </si>
  <si>
    <t>560 K</t>
  </si>
  <si>
    <t>KO 4.125% 2040</t>
  </si>
  <si>
    <t>106 K</t>
  </si>
  <si>
    <t>KO 5.00% 2034</t>
  </si>
  <si>
    <t>508 K</t>
  </si>
  <si>
    <t>KO 4.65% 2034</t>
  </si>
  <si>
    <t>912 K</t>
  </si>
  <si>
    <t>Average YTM (Cost of Debt, RD)</t>
  </si>
  <si>
    <t>Weighted Average Cost of Capital (WACC)</t>
  </si>
  <si>
    <t xml:space="preserve">Cost of Equity </t>
  </si>
  <si>
    <t>RD</t>
  </si>
  <si>
    <t>Cost of Debt</t>
  </si>
  <si>
    <t>E</t>
  </si>
  <si>
    <t xml:space="preserve">Value of Equity </t>
  </si>
  <si>
    <t>D</t>
  </si>
  <si>
    <t xml:space="preserve">Value of Debt </t>
  </si>
  <si>
    <t>Tax</t>
  </si>
  <si>
    <t xml:space="preserve">Marginal tax rate </t>
  </si>
  <si>
    <t>WACC</t>
  </si>
  <si>
    <t xml:space="preserve">Weighted Average Cost of Capital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</si>
  <si>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</si>
  <si>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</si>
  <si>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</si>
  <si>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</si>
  <si>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</si>
  <si>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</si>
  <si>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</si>
  <si>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</si>
  <si>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</si>
  <si>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</si>
  <si>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</si>
  <si>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</si>
  <si>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</si>
  <si>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</si>
  <si>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</si>
  <si>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</si>
  <si>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</si>
  <si>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</si>
  <si>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</si>
  <si>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</si>
  <si>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</si>
  <si>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</si>
  <si>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</si>
  <si>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</si>
  <si>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RPEP</t>
  </si>
  <si>
    <t>Beta of the stock</t>
  </si>
  <si>
    <t>Market Risk Premium</t>
  </si>
  <si>
    <t xml:space="preserve"> Cost of Debt (RD) - PepsiCo Bond Analysis</t>
  </si>
  <si>
    <t>Outstanding</t>
  </si>
  <si>
    <t>PEP 3.375% 2049</t>
  </si>
  <si>
    <t>492M</t>
  </si>
  <si>
    <t>PEP 4.65% 2053</t>
  </si>
  <si>
    <t>500M</t>
  </si>
  <si>
    <t>PEP 4.20% 2052</t>
  </si>
  <si>
    <t>PEP 2.75% 2051</t>
  </si>
  <si>
    <t>1B</t>
  </si>
  <si>
    <t>PEP 2.875% 2049</t>
  </si>
  <si>
    <t>PEP 3.625% 2050</t>
  </si>
  <si>
    <t>889M</t>
  </si>
  <si>
    <t>PEP 4.60% 2045</t>
  </si>
  <si>
    <t>297M</t>
  </si>
  <si>
    <t>PEP 4.00% 2047</t>
  </si>
  <si>
    <t>538M</t>
  </si>
  <si>
    <t>PEP 3.45% 2046</t>
  </si>
  <si>
    <t>878M</t>
  </si>
  <si>
    <t>PEP 5.25% 2054</t>
  </si>
  <si>
    <t>750M</t>
  </si>
  <si>
    <t>PEP 4.45% 2046</t>
  </si>
  <si>
    <t>968M</t>
  </si>
  <si>
    <t>PEP 4.00% 2042</t>
  </si>
  <si>
    <t>489M</t>
  </si>
  <si>
    <t>Average YTM (RD)</t>
  </si>
  <si>
    <t xml:space="preserve"> Weighted Average Cost of Capital (WACC)</t>
  </si>
  <si>
    <t>Cost of Equity</t>
  </si>
  <si>
    <t>Value of Equity</t>
  </si>
  <si>
    <t>Value of Debt</t>
  </si>
  <si>
    <t>t</t>
  </si>
  <si>
    <t>Marginal tax rate</t>
  </si>
  <si>
    <t>Weighted Average Cost of Capital</t>
  </si>
  <si>
    <t>RMON</t>
  </si>
  <si>
    <t xml:space="preserve"> Cost of Debt (RD) - Synthetic Rating Approach</t>
  </si>
  <si>
    <t>Monster Beverage is effectively debt-free (D/E ≈ 0%). No public bonds outstanding.</t>
  </si>
  <si>
    <t>RD = RF + Default Spread = 4.26% + 0.40% = 4.66%</t>
  </si>
  <si>
    <t>Synthetic Rating</t>
  </si>
  <si>
    <t>Aaa/AAA</t>
  </si>
  <si>
    <t>Default Spread</t>
  </si>
  <si>
    <t>Cost of Debt (RD)</t>
  </si>
  <si>
    <t xml:space="preserve"> Cost of Debt (RD) - Keurig Dr Pepper Bond Analysis</t>
  </si>
  <si>
    <t>KDP 3.80% 2050</t>
  </si>
  <si>
    <t>KDP 4.50% 2052</t>
  </si>
  <si>
    <t>1.15B</t>
  </si>
  <si>
    <t>KDP 5.085% 2048</t>
  </si>
  <si>
    <t>391M</t>
  </si>
  <si>
    <t>KDP 3.35% 2051</t>
  </si>
  <si>
    <t>KDP 4.985% 2038</t>
  </si>
  <si>
    <t>211M</t>
  </si>
  <si>
    <t>KDP 5.15% 2035</t>
  </si>
  <si>
    <t>KDP 5.30% 2034</t>
  </si>
  <si>
    <t>650M</t>
  </si>
  <si>
    <t>Celsius has no public bonds outstanding. Debt from Alani Nu + Rockstar acquisitions (2025).</t>
  </si>
  <si>
    <t>Interest Coverage (EBIT/Int)</t>
  </si>
  <si>
    <t>WACC Comparison - Beverage Peers vs. Industry Average</t>
  </si>
  <si>
    <t>YTM - traded bonds</t>
  </si>
  <si>
    <t>-</t>
  </si>
  <si>
    <t>MNST</t>
  </si>
  <si>
    <t>Monster Beverage Corporation</t>
  </si>
  <si>
    <t>CELH</t>
  </si>
  <si>
    <t>Celsius Holdings, Inc.</t>
  </si>
  <si>
    <t>KDP</t>
  </si>
  <si>
    <t>Keurig Dr Pepper Inc.</t>
  </si>
  <si>
    <t>PEP</t>
  </si>
  <si>
    <t>PepsiCo, Inc.</t>
  </si>
  <si>
    <t>KO</t>
  </si>
  <si>
    <t>The Coca-Cola Company</t>
  </si>
  <si>
    <t>Total Cash Payout Yield</t>
  </si>
  <si>
    <t>Total Payout Ratio</t>
  </si>
  <si>
    <t>Total Cash Payout ($mm)</t>
  </si>
  <si>
    <t>Repurchase Yield</t>
  </si>
  <si>
    <t>Repurchase Payout Ratio</t>
  </si>
  <si>
    <t>Repurchases ($mm)</t>
  </si>
  <si>
    <t>Dividend Yield</t>
  </si>
  <si>
    <t>Market Value of Equity ($mm)</t>
  </si>
  <si>
    <t>Dividend Payout Ratio</t>
  </si>
  <si>
    <t>Dividends ($mm)</t>
  </si>
  <si>
    <t>Net Income ($mm)</t>
  </si>
  <si>
    <t>Fiscal Year</t>
  </si>
  <si>
    <t>Ticker</t>
  </si>
  <si>
    <t>Shareholder Cash Payout Summary (USD millions) - KO, PEP, KDP, CELH, MNST</t>
  </si>
  <si>
    <t>Beta of the stock (Yahoo)</t>
  </si>
  <si>
    <t>Beta of the stock (BBG)</t>
  </si>
  <si>
    <t>Using Damodaran synthetic rating: Interest coverage &gt; 8.5x -- Aaa/AAA rating</t>
  </si>
  <si>
    <t>BB+</t>
  </si>
  <si>
    <t>Beta of the stock (Regression)</t>
  </si>
  <si>
    <t>RMNST</t>
  </si>
  <si>
    <t>RKDP</t>
  </si>
  <si>
    <t>Y = Rkdp - Rf</t>
  </si>
  <si>
    <t>Y = Rmnst - Rf</t>
  </si>
  <si>
    <t>Y = Rpep - Rf</t>
  </si>
  <si>
    <t>Y = Rko - Rf</t>
  </si>
  <si>
    <t>Y = Rcelh - Rf</t>
  </si>
  <si>
    <t>RCELH</t>
  </si>
  <si>
    <t>Using Damodaran synthetic rating: EBIT/Interest = 468,523/48,977 will give you  9.5x  BB+ rating (&gt;2.5x)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</si>
</sst>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"/>
    <numFmt numFmtId="165" formatCode="0.00\%"/>
    <numFmt numFmtId="166" formatCode="0.0\%"/>
    <numFmt numFmtId="167" formatCode="\+0.00\%;\-0.00\%"/>
    <numFmt numFmtId="168" formatCode="m/d/yyyy"/>
    <numFmt numFmtId="169" formatCode="_(* #,##0.00_);_(* \(#,##0.00\);_(* \-??_);_(@_)"/>
    <numFmt numFmtId="170" formatCode="0.000%"/>
    <numFmt numFmtId="171" formatCode="mm/dd/yyyy"/>
    <numFmt numFmtId="172" formatCode="0.0"/>
    <numFmt numFmtId="173" formatCode="_(* #,##0.00000_);_(* \(#,##0.00000\);_(* \-??_);_(@_)"/>
    <numFmt numFmtId="174" formatCode="_(\$* #,##0_);_(\$* \(#,##0\);_(\$* \-??_);_(@_)"/>
    <numFmt numFmtId="175" formatCode="0.0%"/>
    <numFmt numFmtId="176" formatCode="\$#,##0.0;[Red]\(\$#,##0.0\);\-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375623"/>
      <name val="Calibri"/>
      <family val="2"/>
    </font>
    <font>
      <b/>
      <sz val="11"/>
      <color rgb="FF854F0B"/>
      <name val="Calibri"/>
      <family val="2"/>
    </font>
    <font>
      <b/>
      <sz val="11"/>
      <color rgb="FFA32D2D"/>
      <name val="Calibri"/>
      <family val="2"/>
    </font>
    <font>
      <b/>
      <sz val="11"/>
      <color rgb="FF1F3864"/>
      <name val="Calibri"/>
      <family val="2"/>
    </font>
    <font>
      <i/>
      <sz val="9"/>
      <color rgb="FF595959"/>
      <name val="Calibri"/>
      <family val="2"/>
    </font>
    <font>
      <b/>
      <sz val="11"/>
      <color theme="1"/>
      <name val="Calibri"/>
      <family val="2"/>
      <charset val="1"/>
    </font>
    <font>
      <sz val="11"/>
      <color theme="1"/>
      <name val="Symbol"/>
      <family val="1"/>
      <charset val="2"/>
    </font>
    <font>
      <i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00FF"/>
      <name val="Calibri"/>
      <family val="2"/>
    </font>
    <font>
      <sz val="11"/>
      <color rgb="FF666666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0"/>
      <name val="Calibri"/>
      <family val="2"/>
      <charset val="1"/>
    </font>
    <font>
      <b/>
      <i/>
      <sz val="11"/>
      <color theme="0"/>
      <name val="Calibri"/>
      <family val="2"/>
      <charset val="1"/>
    </font>
    <font>
      <sz val="14"/>
      <color rgb="FF232A3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002060"/>
        <bgColor rgb="FF333399"/>
      </patternFill>
    </fill>
    <fill>
      <patternFill patternType="solid">
        <fgColor theme="4" tint="0.79998168889431442"/>
        <bgColor rgb="FFE6E0EC"/>
      </patternFill>
    </fill>
    <fill>
      <patternFill patternType="solid">
        <fgColor rgb="FF002060"/>
        <bgColor rgb="FF0066CC"/>
      </patternFill>
    </fill>
    <fill>
      <patternFill patternType="solid">
        <fgColor theme="3" tint="0.79998168889431442"/>
        <bgColor rgb="FFE6E0EC"/>
      </patternFill>
    </fill>
    <fill>
      <patternFill patternType="solid">
        <fgColor rgb="FF002060"/>
        <bgColor indexed="64"/>
      </patternFill>
    </fill>
    <fill>
      <patternFill patternType="solid">
        <fgColor rgb="FFFFFFFF"/>
      </patternFill>
    </fill>
    <fill>
      <patternFill patternType="solid">
        <fgColor rgb="FFFFFBE6"/>
      </patternFill>
    </fill>
    <fill>
      <patternFill patternType="solid">
        <fgColor rgb="FFFBFBFB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theme="4" tint="0.79998168889431442"/>
        <bgColor rgb="FFE4DFEC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9" fontId="15" fillId="0" borderId="0"/>
    <xf numFmtId="9" fontId="15" fillId="0" borderId="0"/>
  </cellStyleXfs>
  <cellXfs count="99">
    <xf numFmtId="0" fontId="0" fillId="0" borderId="0" xfId="0"/>
    <xf numFmtId="0" fontId="14" fillId="0" borderId="3" xfId="0" applyFont="1" applyBorder="1" applyAlignment="1">
      <alignment horizontal="center"/>
    </xf>
    <xf numFmtId="168" fontId="0" fillId="0" borderId="0" xfId="0" applyNumberFormat="1"/>
    <xf numFmtId="10" fontId="15" fillId="0" borderId="0" xfId="2" applyNumberFormat="1"/>
    <xf numFmtId="2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12" fillId="0" borderId="4" xfId="0" applyFont="1" applyBorder="1"/>
    <xf numFmtId="169" fontId="15" fillId="0" borderId="4" xfId="1" applyBorder="1"/>
    <xf numFmtId="173" fontId="15" fillId="0" borderId="0" xfId="1" applyNumberFormat="1"/>
    <xf numFmtId="173" fontId="15" fillId="0" borderId="4" xfId="1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6" fillId="8" borderId="9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left" vertical="center"/>
    </xf>
    <xf numFmtId="164" fontId="6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166" fontId="6" fillId="2" borderId="12" xfId="0" applyNumberFormat="1" applyFont="1" applyFill="1" applyBorder="1" applyAlignment="1">
      <alignment horizontal="center" vertical="center"/>
    </xf>
    <xf numFmtId="167" fontId="7" fillId="2" borderId="12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left" vertical="center"/>
    </xf>
    <xf numFmtId="164" fontId="6" fillId="3" borderId="12" xfId="0" applyNumberFormat="1" applyFont="1" applyFill="1" applyBorder="1" applyAlignment="1">
      <alignment horizontal="center" vertical="center"/>
    </xf>
    <xf numFmtId="165" fontId="6" fillId="3" borderId="12" xfId="0" applyNumberFormat="1" applyFont="1" applyFill="1" applyBorder="1" applyAlignment="1">
      <alignment horizontal="center" vertical="center"/>
    </xf>
    <xf numFmtId="166" fontId="6" fillId="3" borderId="12" xfId="0" applyNumberFormat="1" applyFont="1" applyFill="1" applyBorder="1" applyAlignment="1">
      <alignment horizontal="center" vertical="center"/>
    </xf>
    <xf numFmtId="167" fontId="7" fillId="3" borderId="12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67" fontId="8" fillId="2" borderId="12" xfId="0" applyNumberFormat="1" applyFont="1" applyFill="1" applyBorder="1" applyAlignment="1">
      <alignment horizontal="center" vertical="center"/>
    </xf>
    <xf numFmtId="167" fontId="8" fillId="3" borderId="12" xfId="0" applyNumberFormat="1" applyFont="1" applyFill="1" applyBorder="1" applyAlignment="1">
      <alignment horizontal="center" vertical="center"/>
    </xf>
    <xf numFmtId="167" fontId="9" fillId="2" borderId="12" xfId="0" applyNumberFormat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left" vertical="center"/>
    </xf>
    <xf numFmtId="0" fontId="10" fillId="7" borderId="12" xfId="0" applyFont="1" applyFill="1" applyBorder="1" applyAlignment="1">
      <alignment horizontal="center" vertical="center"/>
    </xf>
    <xf numFmtId="165" fontId="10" fillId="7" borderId="12" xfId="0" applyNumberFormat="1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/>
    </xf>
    <xf numFmtId="175" fontId="6" fillId="9" borderId="8" xfId="0" applyNumberFormat="1" applyFont="1" applyFill="1" applyBorder="1" applyAlignment="1">
      <alignment vertical="top"/>
    </xf>
    <xf numFmtId="175" fontId="6" fillId="9" borderId="2" xfId="0" applyNumberFormat="1" applyFont="1" applyFill="1" applyBorder="1" applyAlignment="1">
      <alignment vertical="top"/>
    </xf>
    <xf numFmtId="176" fontId="6" fillId="9" borderId="2" xfId="0" applyNumberFormat="1" applyFont="1" applyFill="1" applyBorder="1" applyAlignment="1">
      <alignment vertical="top"/>
    </xf>
    <xf numFmtId="176" fontId="17" fillId="10" borderId="2" xfId="0" applyNumberFormat="1" applyFont="1" applyFill="1" applyBorder="1" applyAlignment="1">
      <alignment vertical="top"/>
    </xf>
    <xf numFmtId="0" fontId="18" fillId="0" borderId="2" xfId="0" applyFont="1" applyBorder="1" applyAlignment="1">
      <alignment vertical="top"/>
    </xf>
    <xf numFmtId="0" fontId="18" fillId="0" borderId="7" xfId="0" applyFont="1" applyBorder="1" applyAlignment="1">
      <alignment vertical="top"/>
    </xf>
    <xf numFmtId="175" fontId="6" fillId="9" borderId="6" xfId="0" applyNumberFormat="1" applyFont="1" applyFill="1" applyBorder="1" applyAlignment="1">
      <alignment vertical="top"/>
    </xf>
    <xf numFmtId="175" fontId="6" fillId="9" borderId="0" xfId="0" applyNumberFormat="1" applyFont="1" applyFill="1" applyAlignment="1">
      <alignment vertical="top"/>
    </xf>
    <xf numFmtId="176" fontId="6" fillId="9" borderId="0" xfId="0" applyNumberFormat="1" applyFont="1" applyFill="1" applyAlignment="1">
      <alignment vertical="top"/>
    </xf>
    <xf numFmtId="176" fontId="17" fillId="10" borderId="0" xfId="0" applyNumberFormat="1" applyFont="1" applyFill="1" applyAlignment="1">
      <alignment vertical="top"/>
    </xf>
    <xf numFmtId="0" fontId="18" fillId="11" borderId="0" xfId="0" applyFont="1" applyFill="1" applyAlignment="1">
      <alignment vertical="top"/>
    </xf>
    <xf numFmtId="0" fontId="18" fillId="11" borderId="5" xfId="0" applyFont="1" applyFill="1" applyBorder="1" applyAlignment="1">
      <alignment vertical="top"/>
    </xf>
    <xf numFmtId="0" fontId="18" fillId="0" borderId="0" xfId="0" applyFont="1" applyAlignment="1">
      <alignment vertical="top"/>
    </xf>
    <xf numFmtId="0" fontId="18" fillId="0" borderId="5" xfId="0" applyFont="1" applyBorder="1" applyAlignment="1">
      <alignment vertical="top"/>
    </xf>
    <xf numFmtId="0" fontId="19" fillId="12" borderId="11" xfId="0" applyFont="1" applyFill="1" applyBorder="1" applyAlignment="1">
      <alignment horizontal="left" vertical="center"/>
    </xf>
    <xf numFmtId="0" fontId="19" fillId="12" borderId="10" xfId="0" applyFont="1" applyFill="1" applyBorder="1" applyAlignment="1">
      <alignment horizontal="left" vertical="center"/>
    </xf>
    <xf numFmtId="0" fontId="19" fillId="12" borderId="9" xfId="0" applyFont="1" applyFill="1" applyBorder="1" applyAlignment="1">
      <alignment horizontal="left" vertical="center"/>
    </xf>
    <xf numFmtId="0" fontId="20" fillId="8" borderId="13" xfId="0" applyFont="1" applyFill="1" applyBorder="1" applyAlignment="1">
      <alignment horizontal="centerContinuous"/>
    </xf>
    <xf numFmtId="0" fontId="20" fillId="8" borderId="1" xfId="0" applyFont="1" applyFill="1" applyBorder="1" applyAlignment="1">
      <alignment horizontal="centerContinuous"/>
    </xf>
    <xf numFmtId="0" fontId="21" fillId="8" borderId="14" xfId="0" applyFont="1" applyFill="1" applyBorder="1" applyAlignment="1">
      <alignment horizontal="centerContinuous"/>
    </xf>
    <xf numFmtId="0" fontId="23" fillId="13" borderId="0" xfId="0" applyFont="1" applyFill="1" applyAlignment="1">
      <alignment horizontal="center" vertical="center"/>
    </xf>
    <xf numFmtId="10" fontId="23" fillId="13" borderId="0" xfId="2" applyNumberFormat="1" applyFont="1" applyFill="1" applyAlignment="1">
      <alignment horizontal="center" vertical="center"/>
    </xf>
    <xf numFmtId="0" fontId="13" fillId="0" borderId="14" xfId="0" applyFont="1" applyBorder="1"/>
    <xf numFmtId="169" fontId="15" fillId="0" borderId="13" xfId="1" applyBorder="1"/>
    <xf numFmtId="10" fontId="15" fillId="0" borderId="6" xfId="2" applyNumberFormat="1" applyBorder="1"/>
    <xf numFmtId="0" fontId="12" fillId="0" borderId="5" xfId="0" applyFont="1" applyBorder="1"/>
    <xf numFmtId="10" fontId="0" fillId="0" borderId="6" xfId="0" applyNumberFormat="1" applyBorder="1"/>
    <xf numFmtId="174" fontId="0" fillId="0" borderId="6" xfId="0" applyNumberFormat="1" applyBorder="1"/>
    <xf numFmtId="9" fontId="0" fillId="0" borderId="6" xfId="0" applyNumberFormat="1" applyBorder="1"/>
    <xf numFmtId="0" fontId="24" fillId="8" borderId="14" xfId="0" applyFont="1" applyFill="1" applyBorder="1" applyAlignment="1">
      <alignment horizontal="centerContinuous" vertical="center"/>
    </xf>
    <xf numFmtId="0" fontId="16" fillId="8" borderId="1" xfId="0" applyFont="1" applyFill="1" applyBorder="1" applyAlignment="1">
      <alignment horizontal="centerContinuous" vertical="center"/>
    </xf>
    <xf numFmtId="0" fontId="16" fillId="8" borderId="13" xfId="0" applyFont="1" applyFill="1" applyBorder="1" applyAlignment="1">
      <alignment horizontal="centerContinuous" vertical="center"/>
    </xf>
    <xf numFmtId="0" fontId="24" fillId="8" borderId="9" xfId="0" applyFont="1" applyFill="1" applyBorder="1" applyAlignment="1">
      <alignment horizontal="centerContinuous"/>
    </xf>
    <xf numFmtId="0" fontId="16" fillId="8" borderId="11" xfId="0" applyFont="1" applyFill="1" applyBorder="1" applyAlignment="1">
      <alignment horizontal="centerContinuous"/>
    </xf>
    <xf numFmtId="0" fontId="16" fillId="8" borderId="10" xfId="0" applyFont="1" applyFill="1" applyBorder="1" applyAlignment="1">
      <alignment horizontal="centerContinuous"/>
    </xf>
    <xf numFmtId="0" fontId="19" fillId="14" borderId="9" xfId="0" applyFont="1" applyFill="1" applyBorder="1"/>
    <xf numFmtId="0" fontId="19" fillId="14" borderId="10" xfId="0" applyFont="1" applyFill="1" applyBorder="1"/>
    <xf numFmtId="10" fontId="19" fillId="14" borderId="11" xfId="2" applyNumberFormat="1" applyFont="1" applyFill="1" applyBorder="1"/>
    <xf numFmtId="0" fontId="23" fillId="8" borderId="2" xfId="0" applyFont="1" applyFill="1" applyBorder="1"/>
    <xf numFmtId="0" fontId="24" fillId="8" borderId="14" xfId="0" applyFont="1" applyFill="1" applyBorder="1" applyAlignment="1">
      <alignment horizontal="centerContinuous"/>
    </xf>
    <xf numFmtId="0" fontId="16" fillId="8" borderId="1" xfId="0" applyFont="1" applyFill="1" applyBorder="1" applyAlignment="1">
      <alignment horizontal="centerContinuous"/>
    </xf>
    <xf numFmtId="0" fontId="16" fillId="8" borderId="13" xfId="0" applyFont="1" applyFill="1" applyBorder="1" applyAlignment="1">
      <alignment horizontal="centerContinuous"/>
    </xf>
    <xf numFmtId="0" fontId="23" fillId="8" borderId="7" xfId="0" applyFont="1" applyFill="1" applyBorder="1"/>
    <xf numFmtId="0" fontId="23" fillId="8" borderId="8" xfId="0" applyFont="1" applyFill="1" applyBorder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19" fillId="5" borderId="9" xfId="0" applyFont="1" applyFill="1" applyBorder="1"/>
    <xf numFmtId="0" fontId="19" fillId="5" borderId="10" xfId="0" applyFont="1" applyFill="1" applyBorder="1"/>
    <xf numFmtId="10" fontId="19" fillId="5" borderId="10" xfId="0" applyNumberFormat="1" applyFont="1" applyFill="1" applyBorder="1"/>
    <xf numFmtId="0" fontId="19" fillId="5" borderId="11" xfId="0" applyFont="1" applyFill="1" applyBorder="1"/>
    <xf numFmtId="0" fontId="19" fillId="0" borderId="6" xfId="0" applyFont="1" applyBorder="1" applyAlignment="1">
      <alignment horizontal="right"/>
    </xf>
    <xf numFmtId="3" fontId="25" fillId="0" borderId="0" xfId="0" applyNumberFormat="1" applyFont="1"/>
    <xf numFmtId="0" fontId="19" fillId="0" borderId="6" xfId="0" applyFont="1" applyBorder="1"/>
    <xf numFmtId="10" fontId="19" fillId="0" borderId="6" xfId="0" applyNumberFormat="1" applyFont="1" applyBorder="1"/>
    <xf numFmtId="0" fontId="14" fillId="0" borderId="3" xfId="0" applyFont="1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08080"/>
      <rgbColor rgb="FFBFBFBF"/>
      <rgbColor rgb="FF878787"/>
      <rgbColor rgb="FF7F77DD"/>
      <rgbColor rgb="FF7030A0"/>
      <rgbColor rgb="FFEBF1DE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6E0EC"/>
      <rgbColor rgb="FFFFFF99"/>
      <rgbColor rgb="FF99CCFF"/>
      <rgbColor rgb="FFFF99CC"/>
      <rgbColor rgb="FFCC99FF"/>
      <rgbColor rgb="FFE4DFEC"/>
      <rgbColor rgb="FF2E75B6"/>
      <rgbColor rgb="FF33CCCC"/>
      <rgbColor rgb="FF99CC00"/>
      <rgbColor rgb="FFFFCC00"/>
      <rgbColor rgb="FFFF9900"/>
      <rgbColor rgb="FFE24B4A"/>
      <rgbColor rgb="FF595959"/>
      <rgbColor rgb="FF969696"/>
      <rgbColor rgb="FF1F3864"/>
      <rgbColor rgb="FF1D9E75"/>
      <rgbColor rgb="FF003300"/>
      <rgbColor rgb="FF333300"/>
      <rgbColor rgb="FFA32D2D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WACC, Cost of Equity &amp; After-Tax Cost of Debt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'WACC Summary'!$K$1</c:f>
              <c:strCache>
                <c:ptCount val="1"/>
                <c:pt idx="0">
                  <c:v>WACC (%)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'WACC Summary'!$J$2:$J$6</c:f>
              <c:strCache>
                <c:ptCount val="5"/>
                <c:pt idx="0">
                  <c:v>PepsiCo (PEP)</c:v>
                </c:pt>
                <c:pt idx="1">
                  <c:v>Coca-Cola (KO)</c:v>
                </c:pt>
                <c:pt idx="2">
                  <c:v>Keurig Dr Pepper (KDP)</c:v>
                </c:pt>
                <c:pt idx="3">
                  <c:v>Monster Beverage (MNST)</c:v>
                </c:pt>
                <c:pt idx="4">
                  <c:v>Celsius Holdings (CELH)</c:v>
                </c:pt>
              </c:strCache>
            </c:strRef>
          </c:cat>
          <c:val>
            <c:numRef>
              <c:f>'WACC Summary'!$K$2:$K$6</c:f>
              <c:numCache>
                <c:formatCode>General</c:formatCode>
                <c:ptCount val="5"/>
                <c:pt idx="0">
                  <c:v>6.72</c:v>
                </c:pt>
                <c:pt idx="1">
                  <c:v>7.17</c:v>
                </c:pt>
                <c:pt idx="2">
                  <c:v>8</c:v>
                </c:pt>
                <c:pt idx="3">
                  <c:v>8.34</c:v>
                </c:pt>
                <c:pt idx="4">
                  <c:v>13.75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7-6D48-92E4-5CC42B1A00DC}"/>
            </c:ext>
          </c:extLst>
        </c:ser>
        <c:ser>
          <c:idx val="1"/>
          <c:order val="1"/>
          <c:tx>
            <c:strRef>
              <c:f>'WACC Summary'!$L$1</c:f>
              <c:strCache>
                <c:ptCount val="1"/>
                <c:pt idx="0">
                  <c:v>Re (%)</c:v>
                </c:pt>
              </c:strCache>
            </c:strRef>
          </c:tx>
          <c:spPr>
            <a:solidFill>
              <a:srgbClr val="E24B4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'WACC Summary'!$J$2:$J$6</c:f>
              <c:strCache>
                <c:ptCount val="5"/>
                <c:pt idx="0">
                  <c:v>PepsiCo (PEP)</c:v>
                </c:pt>
                <c:pt idx="1">
                  <c:v>Coca-Cola (KO)</c:v>
                </c:pt>
                <c:pt idx="2">
                  <c:v>Keurig Dr Pepper (KDP)</c:v>
                </c:pt>
                <c:pt idx="3">
                  <c:v>Monster Beverage (MNST)</c:v>
                </c:pt>
                <c:pt idx="4">
                  <c:v>Celsius Holdings (CELH)</c:v>
                </c:pt>
              </c:strCache>
            </c:strRef>
          </c:cat>
          <c:val>
            <c:numRef>
              <c:f>'WACC Summary'!$L$2:$L$6</c:f>
              <c:numCache>
                <c:formatCode>General</c:formatCode>
                <c:ptCount val="5"/>
                <c:pt idx="0">
                  <c:v>7.23</c:v>
                </c:pt>
                <c:pt idx="1">
                  <c:v>7.61</c:v>
                </c:pt>
                <c:pt idx="2">
                  <c:v>9.42</c:v>
                </c:pt>
                <c:pt idx="3">
                  <c:v>8.35</c:v>
                </c:pt>
                <c:pt idx="4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7-6D48-92E4-5CC42B1A00DC}"/>
            </c:ext>
          </c:extLst>
        </c:ser>
        <c:ser>
          <c:idx val="2"/>
          <c:order val="2"/>
          <c:tx>
            <c:strRef>
              <c:f>'WACC Summary'!$M$1</c:f>
              <c:strCache>
                <c:ptCount val="1"/>
                <c:pt idx="0">
                  <c:v>Rd After-tax (%)</c:v>
                </c:pt>
              </c:strCache>
            </c:strRef>
          </c:tx>
          <c:spPr>
            <a:solidFill>
              <a:srgbClr val="1D9E7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'WACC Summary'!$J$2:$J$6</c:f>
              <c:strCache>
                <c:ptCount val="5"/>
                <c:pt idx="0">
                  <c:v>PepsiCo (PEP)</c:v>
                </c:pt>
                <c:pt idx="1">
                  <c:v>Coca-Cola (KO)</c:v>
                </c:pt>
                <c:pt idx="2">
                  <c:v>Keurig Dr Pepper (KDP)</c:v>
                </c:pt>
                <c:pt idx="3">
                  <c:v>Monster Beverage (MNST)</c:v>
                </c:pt>
                <c:pt idx="4">
                  <c:v>Celsius Holdings (CELH)</c:v>
                </c:pt>
              </c:strCache>
            </c:strRef>
          </c:cat>
          <c:val>
            <c:numRef>
              <c:f>'WACC Summary'!$M$2:$M$6</c:f>
              <c:numCache>
                <c:formatCode>General</c:formatCode>
                <c:ptCount val="5"/>
                <c:pt idx="0">
                  <c:v>4.3924000000000003</c:v>
                </c:pt>
                <c:pt idx="1">
                  <c:v>3.9895</c:v>
                </c:pt>
                <c:pt idx="2">
                  <c:v>4.4318999999999997</c:v>
                </c:pt>
                <c:pt idx="3">
                  <c:v>3.6814</c:v>
                </c:pt>
                <c:pt idx="4">
                  <c:v>3.6814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7-6D48-92E4-5CC42B1A0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1419"/>
        <c:axId val="43900398"/>
      </c:barChart>
      <c:catAx>
        <c:axId val="430514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00398"/>
        <c:crosses val="autoZero"/>
        <c:auto val="1"/>
        <c:lblAlgn val="ctr"/>
        <c:lblOffset val="100"/>
        <c:noMultiLvlLbl val="0"/>
      </c:catAx>
      <c:valAx>
        <c:axId val="43900398"/>
        <c:scaling>
          <c:orientation val="minMax"/>
          <c:max val="1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0514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Beta (Systematic Risk) by Company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'WACC Summary'!$N$1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rgbClr val="7F77D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'WACC Summary'!$J$2:$J$6</c:f>
              <c:strCache>
                <c:ptCount val="5"/>
                <c:pt idx="0">
                  <c:v>PepsiCo (PEP)</c:v>
                </c:pt>
                <c:pt idx="1">
                  <c:v>Coca-Cola (KO)</c:v>
                </c:pt>
                <c:pt idx="2">
                  <c:v>Keurig Dr Pepper (KDP)</c:v>
                </c:pt>
                <c:pt idx="3">
                  <c:v>Monster Beverage (MNST)</c:v>
                </c:pt>
                <c:pt idx="4">
                  <c:v>Celsius Holdings (CELH)</c:v>
                </c:pt>
              </c:strCache>
            </c:strRef>
          </c:cat>
          <c:val>
            <c:numRef>
              <c:f>'WACC Summary'!$N$2:$N$6</c:f>
              <c:numCache>
                <c:formatCode>General</c:formatCode>
                <c:ptCount val="5"/>
                <c:pt idx="0">
                  <c:v>0.53990000000000005</c:v>
                </c:pt>
                <c:pt idx="1">
                  <c:v>0.60940000000000005</c:v>
                </c:pt>
                <c:pt idx="2">
                  <c:v>0.93889999999999996</c:v>
                </c:pt>
                <c:pt idx="3">
                  <c:v>0.74280000000000002</c:v>
                </c:pt>
                <c:pt idx="4">
                  <c:v>1.8079000000000001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C-8941-B15D-6806F1584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46547"/>
        <c:axId val="37809496"/>
      </c:barChart>
      <c:catAx>
        <c:axId val="15146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809496"/>
        <c:crosses val="autoZero"/>
        <c:auto val="1"/>
        <c:lblAlgn val="ctr"/>
        <c:lblOffset val="100"/>
        <c:noMultiLvlLbl val="0"/>
      </c:catAx>
      <c:valAx>
        <c:axId val="37809496"/>
        <c:scaling>
          <c:orientation val="minMax"/>
          <c:max val="2.200000000000000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Beta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46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774700</xdr:colOff>
      <xdr:row>9</xdr:row>
      <xdr:rowOff>177800</xdr:rowOff>
    </xdr:from>
    <xdr:to>
      <xdr:col>18</xdr:col>
      <xdr:colOff>151260</xdr:colOff>
      <xdr:row>31</xdr:row>
      <xdr:rowOff>115820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177800</xdr:colOff>
      <xdr:row>10</xdr:row>
      <xdr:rowOff>88900</xdr:rowOff>
    </xdr:from>
    <xdr:to>
      <xdr:col>7</xdr:col>
      <xdr:colOff>595760</xdr:colOff>
      <xdr:row>29</xdr:row>
      <xdr:rowOff>68980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showGridLines="0" tabSelected="1" zoomScaleNormal="100" workbookViewId="0">
      <selection activeCell="I19" sqref="I19"/>
    </sheetView>
  </sheetViews>
  <sheetFormatPr baseColWidth="10" defaultColWidth="8.6640625" defaultRowHeight="15" x14ac:dyDescent="0.2"/>
  <cols>
    <col min="1" max="1" width="24" customWidth="1"/>
    <col min="2" max="4" width="10" customWidth="1"/>
    <col min="5" max="5" width="12" customWidth="1"/>
    <col min="6" max="7" width="10" customWidth="1"/>
    <col min="8" max="8" width="17.1640625" bestFit="1" customWidth="1"/>
    <col min="10" max="10" width="20.33203125" bestFit="1" customWidth="1"/>
    <col min="11" max="12" width="9.1640625" customWidth="1"/>
    <col min="13" max="13" width="14.1640625" customWidth="1"/>
    <col min="14" max="14" width="9.1640625" customWidth="1"/>
    <col min="15" max="15" width="11.6640625" customWidth="1"/>
  </cols>
  <sheetData>
    <row r="1" spans="1:15" ht="27.75" customHeight="1" x14ac:dyDescent="0.2">
      <c r="A1" s="96" t="s">
        <v>166</v>
      </c>
      <c r="B1" s="96"/>
      <c r="C1" s="96"/>
      <c r="D1" s="96"/>
      <c r="E1" s="96"/>
      <c r="F1" s="96"/>
      <c r="G1" s="96"/>
      <c r="H1" s="96"/>
      <c r="J1" s="17" t="s">
        <v>1</v>
      </c>
      <c r="K1" s="18" t="s">
        <v>6</v>
      </c>
      <c r="L1" s="18" t="s">
        <v>3</v>
      </c>
      <c r="M1" s="18" t="s">
        <v>17</v>
      </c>
      <c r="N1" s="18" t="s">
        <v>2</v>
      </c>
      <c r="O1" s="19" t="s">
        <v>18</v>
      </c>
    </row>
    <row r="2" spans="1:15" ht="18" customHeight="1" x14ac:dyDescent="0.2">
      <c r="A2" s="97" t="s">
        <v>0</v>
      </c>
      <c r="B2" s="97"/>
      <c r="C2" s="97"/>
      <c r="D2" s="97"/>
      <c r="E2" s="97"/>
      <c r="F2" s="97"/>
      <c r="G2" s="97"/>
      <c r="H2" s="97"/>
      <c r="J2" s="13" t="s">
        <v>9</v>
      </c>
      <c r="K2">
        <v>6.72</v>
      </c>
      <c r="L2">
        <v>7.23</v>
      </c>
      <c r="M2">
        <v>4.3924000000000003</v>
      </c>
      <c r="N2">
        <v>0.53990000000000005</v>
      </c>
      <c r="O2" s="14">
        <v>6.33</v>
      </c>
    </row>
    <row r="3" spans="1:15" ht="21.75" customHeight="1" x14ac:dyDescent="0.2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J3" s="13" t="s">
        <v>10</v>
      </c>
      <c r="K3">
        <v>7.17</v>
      </c>
      <c r="L3">
        <v>7.61</v>
      </c>
      <c r="M3">
        <v>3.9895</v>
      </c>
      <c r="N3">
        <v>0.60940000000000005</v>
      </c>
      <c r="O3" s="14">
        <v>6.33</v>
      </c>
    </row>
    <row r="4" spans="1:15" ht="19.5" customHeight="1" x14ac:dyDescent="0.2">
      <c r="A4" s="21" t="s">
        <v>9</v>
      </c>
      <c r="B4" s="22">
        <v>0.53990000000000005</v>
      </c>
      <c r="C4" s="23">
        <v>7.23</v>
      </c>
      <c r="D4" s="23">
        <v>5.56</v>
      </c>
      <c r="E4" s="24">
        <v>82</v>
      </c>
      <c r="F4" s="23">
        <v>6.72</v>
      </c>
      <c r="G4" s="25">
        <f>F4-6.33</f>
        <v>0.38999999999999968</v>
      </c>
      <c r="H4" s="26" t="s">
        <v>167</v>
      </c>
      <c r="J4" s="13" t="s">
        <v>11</v>
      </c>
      <c r="K4">
        <v>8</v>
      </c>
      <c r="L4">
        <v>9.42</v>
      </c>
      <c r="M4">
        <v>4.4318999999999997</v>
      </c>
      <c r="N4">
        <v>0.93889999999999996</v>
      </c>
      <c r="O4" s="14">
        <v>6.33</v>
      </c>
    </row>
    <row r="5" spans="1:15" ht="19.5" customHeight="1" x14ac:dyDescent="0.2">
      <c r="A5" s="27" t="s">
        <v>10</v>
      </c>
      <c r="B5" s="28">
        <v>0.60940000000000005</v>
      </c>
      <c r="C5" s="29">
        <v>7.61</v>
      </c>
      <c r="D5" s="29">
        <v>5.05</v>
      </c>
      <c r="E5" s="30">
        <v>87.8</v>
      </c>
      <c r="F5" s="29">
        <v>7.17</v>
      </c>
      <c r="G5" s="31">
        <f>F5-6.33</f>
        <v>0.83999999999999986</v>
      </c>
      <c r="H5" s="32" t="s">
        <v>167</v>
      </c>
      <c r="J5" s="13" t="s">
        <v>12</v>
      </c>
      <c r="K5">
        <v>8.34</v>
      </c>
      <c r="L5">
        <v>8.35</v>
      </c>
      <c r="M5">
        <v>3.6814</v>
      </c>
      <c r="N5">
        <v>0.74280000000000002</v>
      </c>
      <c r="O5" s="14">
        <v>6.33</v>
      </c>
    </row>
    <row r="6" spans="1:15" ht="19.5" customHeight="1" x14ac:dyDescent="0.2">
      <c r="A6" s="21" t="s">
        <v>11</v>
      </c>
      <c r="B6" s="22">
        <v>0.93889999999999996</v>
      </c>
      <c r="C6" s="23">
        <v>9.42</v>
      </c>
      <c r="D6" s="23">
        <v>5.61</v>
      </c>
      <c r="E6" s="24">
        <v>71.400000000000006</v>
      </c>
      <c r="F6" s="23">
        <v>8</v>
      </c>
      <c r="G6" s="33">
        <f>F6-6.33</f>
        <v>1.67</v>
      </c>
      <c r="H6" s="26" t="s">
        <v>167</v>
      </c>
      <c r="J6" s="15" t="s">
        <v>14</v>
      </c>
      <c r="K6" s="7">
        <v>13.75</v>
      </c>
      <c r="L6" s="7">
        <v>14.2</v>
      </c>
      <c r="M6" s="7">
        <v>3.6814</v>
      </c>
      <c r="N6" s="7">
        <v>1.8079000000000001</v>
      </c>
      <c r="O6" s="16">
        <v>6.33</v>
      </c>
    </row>
    <row r="7" spans="1:15" ht="19.5" customHeight="1" x14ac:dyDescent="0.2">
      <c r="A7" s="27" t="s">
        <v>12</v>
      </c>
      <c r="B7" s="28">
        <v>0.74280000000000002</v>
      </c>
      <c r="C7" s="29">
        <v>8.35</v>
      </c>
      <c r="D7" s="29">
        <v>4.66</v>
      </c>
      <c r="E7" s="30">
        <v>99.9</v>
      </c>
      <c r="F7" s="29">
        <v>8.34</v>
      </c>
      <c r="G7" s="34">
        <f>F7-6.33</f>
        <v>2.0099999999999998</v>
      </c>
      <c r="H7" s="32" t="s">
        <v>13</v>
      </c>
    </row>
    <row r="8" spans="1:15" ht="19.5" customHeight="1" x14ac:dyDescent="0.2">
      <c r="A8" s="21" t="s">
        <v>14</v>
      </c>
      <c r="B8" s="22">
        <v>1.8079000000000001</v>
      </c>
      <c r="C8" s="23">
        <v>14.2</v>
      </c>
      <c r="D8" s="23">
        <v>5.64</v>
      </c>
      <c r="E8" s="24">
        <v>95.4</v>
      </c>
      <c r="F8" s="23">
        <v>13.75</v>
      </c>
      <c r="G8" s="35">
        <f>F8-6.33</f>
        <v>7.42</v>
      </c>
      <c r="H8" s="26" t="s">
        <v>13</v>
      </c>
    </row>
    <row r="9" spans="1:15" ht="19.5" customHeight="1" x14ac:dyDescent="0.2">
      <c r="A9" s="36" t="s">
        <v>15</v>
      </c>
      <c r="B9" s="37" t="s">
        <v>168</v>
      </c>
      <c r="C9" s="37" t="s">
        <v>168</v>
      </c>
      <c r="D9" s="37" t="s">
        <v>168</v>
      </c>
      <c r="E9" s="37" t="s">
        <v>168</v>
      </c>
      <c r="F9" s="38">
        <v>6.33</v>
      </c>
      <c r="G9" s="39" t="s">
        <v>16</v>
      </c>
      <c r="H9" s="37" t="s">
        <v>168</v>
      </c>
    </row>
    <row r="31" spans="1:8" ht="30" customHeight="1" x14ac:dyDescent="0.2">
      <c r="A31" s="98" t="s">
        <v>19</v>
      </c>
      <c r="B31" s="98"/>
      <c r="C31" s="98"/>
      <c r="D31" s="98"/>
      <c r="E31" s="98"/>
      <c r="F31" s="98"/>
      <c r="G31" s="98"/>
      <c r="H31" s="98"/>
    </row>
  </sheetData>
  <mergeCells count="3">
    <mergeCell ref="A1:H1"/>
    <mergeCell ref="A2:H2"/>
    <mergeCell ref="A31:H3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75DD-98F5-DB4B-86EE-40AD976853C4}">
  <dimension ref="A1:N12"/>
  <sheetViews>
    <sheetView showGridLines="0" workbookViewId="0">
      <selection sqref="A1:XFD1048576"/>
    </sheetView>
  </sheetViews>
  <sheetFormatPr baseColWidth="10" defaultRowHeight="15" x14ac:dyDescent="0.2"/>
  <cols>
    <col min="1" max="1" width="24.5" bestFit="1" customWidth="1"/>
    <col min="2" max="2" width="5.83203125" bestFit="1" customWidth="1"/>
    <col min="3" max="3" width="9.1640625" bestFit="1" customWidth="1"/>
    <col min="4" max="4" width="15.5" bestFit="1" customWidth="1"/>
    <col min="5" max="5" width="14.1640625" bestFit="1" customWidth="1"/>
    <col min="6" max="6" width="18.33203125" bestFit="1" customWidth="1"/>
    <col min="7" max="7" width="24.33203125" bestFit="1" customWidth="1"/>
    <col min="8" max="8" width="12.5" bestFit="1" customWidth="1"/>
    <col min="9" max="9" width="16.33203125" bestFit="1" customWidth="1"/>
    <col min="10" max="10" width="20.33203125" bestFit="1" customWidth="1"/>
    <col min="11" max="11" width="14.5" bestFit="1" customWidth="1"/>
    <col min="12" max="12" width="20" bestFit="1" customWidth="1"/>
    <col min="13" max="13" width="15" bestFit="1" customWidth="1"/>
    <col min="14" max="14" width="19" bestFit="1" customWidth="1"/>
  </cols>
  <sheetData>
    <row r="1" spans="1:14" ht="19" x14ac:dyDescent="0.25">
      <c r="A1" s="59" t="s">
        <v>192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7"/>
    </row>
    <row r="2" spans="1:14" x14ac:dyDescent="0.2">
      <c r="A2" s="56" t="s">
        <v>1</v>
      </c>
      <c r="B2" s="55" t="s">
        <v>191</v>
      </c>
      <c r="C2" s="55" t="s">
        <v>190</v>
      </c>
      <c r="D2" s="55" t="s">
        <v>189</v>
      </c>
      <c r="E2" s="55" t="s">
        <v>188</v>
      </c>
      <c r="F2" s="55" t="s">
        <v>187</v>
      </c>
      <c r="G2" s="55" t="s">
        <v>186</v>
      </c>
      <c r="H2" s="55" t="s">
        <v>185</v>
      </c>
      <c r="I2" s="55" t="s">
        <v>184</v>
      </c>
      <c r="J2" s="55" t="s">
        <v>183</v>
      </c>
      <c r="K2" s="55" t="s">
        <v>182</v>
      </c>
      <c r="L2" s="55" t="s">
        <v>181</v>
      </c>
      <c r="M2" s="55" t="s">
        <v>180</v>
      </c>
      <c r="N2" s="54" t="s">
        <v>179</v>
      </c>
    </row>
    <row r="3" spans="1:14" x14ac:dyDescent="0.2">
      <c r="A3" s="51" t="s">
        <v>178</v>
      </c>
      <c r="B3" s="50" t="s">
        <v>177</v>
      </c>
      <c r="C3" s="50">
        <v>2024</v>
      </c>
      <c r="D3" s="49">
        <v>10631</v>
      </c>
      <c r="E3" s="49">
        <v>8359</v>
      </c>
      <c r="F3" s="47">
        <f t="shared" ref="F3:F12" si="0">IFERROR(E3/D3,0)</f>
        <v>0.78628539177876022</v>
      </c>
      <c r="G3" s="49">
        <v>267840</v>
      </c>
      <c r="H3" s="47">
        <f t="shared" ref="H3:H12" si="1">IFERROR(E3/G3,0)</f>
        <v>3.1208930704898448E-2</v>
      </c>
      <c r="I3" s="49">
        <v>1694</v>
      </c>
      <c r="J3" s="47">
        <f t="shared" ref="J3:J12" si="2">IFERROR(I3/D3,0)</f>
        <v>0.15934531088326592</v>
      </c>
      <c r="K3" s="47">
        <f t="shared" ref="K3:K12" si="3">IFERROR(I3/G3,0)</f>
        <v>6.3246714456391875E-3</v>
      </c>
      <c r="L3" s="48">
        <f t="shared" ref="L3:L12" si="4">E3+I3</f>
        <v>10053</v>
      </c>
      <c r="M3" s="47">
        <f t="shared" ref="M3:M12" si="5">IFERROR(L3/D3,0)</f>
        <v>0.9456307026620262</v>
      </c>
      <c r="N3" s="46">
        <f t="shared" ref="N3:N12" si="6">IFERROR(L3/G3,0)</f>
        <v>3.7533602150537637E-2</v>
      </c>
    </row>
    <row r="4" spans="1:14" x14ac:dyDescent="0.2">
      <c r="A4" s="53" t="s">
        <v>178</v>
      </c>
      <c r="B4" s="52" t="s">
        <v>177</v>
      </c>
      <c r="C4" s="52">
        <v>2025</v>
      </c>
      <c r="D4" s="49">
        <v>13107</v>
      </c>
      <c r="E4" s="49">
        <v>8779</v>
      </c>
      <c r="F4" s="47">
        <f t="shared" si="0"/>
        <v>0.66979476615548939</v>
      </c>
      <c r="G4" s="49">
        <v>300730</v>
      </c>
      <c r="H4" s="47">
        <f t="shared" si="1"/>
        <v>2.9192298739733315E-2</v>
      </c>
      <c r="I4" s="49">
        <v>634</v>
      </c>
      <c r="J4" s="47">
        <f t="shared" si="2"/>
        <v>4.8371099412527659E-2</v>
      </c>
      <c r="K4" s="47">
        <f t="shared" si="3"/>
        <v>2.108203371795298E-3</v>
      </c>
      <c r="L4" s="48">
        <f t="shared" si="4"/>
        <v>9413</v>
      </c>
      <c r="M4" s="47">
        <f t="shared" si="5"/>
        <v>0.71816586556801709</v>
      </c>
      <c r="N4" s="46">
        <f t="shared" si="6"/>
        <v>3.1300502111528614E-2</v>
      </c>
    </row>
    <row r="5" spans="1:14" x14ac:dyDescent="0.2">
      <c r="A5" s="51" t="s">
        <v>176</v>
      </c>
      <c r="B5" s="50" t="s">
        <v>175</v>
      </c>
      <c r="C5" s="50">
        <v>2024</v>
      </c>
      <c r="D5" s="49">
        <v>9578</v>
      </c>
      <c r="E5" s="49">
        <v>7229</v>
      </c>
      <c r="F5" s="47">
        <f t="shared" si="0"/>
        <v>0.75475046982668614</v>
      </c>
      <c r="G5" s="49">
        <v>199702.7916</v>
      </c>
      <c r="H5" s="47">
        <f t="shared" si="1"/>
        <v>3.6198792926638287E-2</v>
      </c>
      <c r="I5" s="49">
        <v>1000</v>
      </c>
      <c r="J5" s="47">
        <f t="shared" si="2"/>
        <v>0.10440593025683859</v>
      </c>
      <c r="K5" s="47">
        <f t="shared" si="3"/>
        <v>5.0074412680368363E-3</v>
      </c>
      <c r="L5" s="48">
        <f t="shared" si="4"/>
        <v>8229</v>
      </c>
      <c r="M5" s="47">
        <f t="shared" si="5"/>
        <v>0.85915640008352478</v>
      </c>
      <c r="N5" s="46">
        <f t="shared" si="6"/>
        <v>4.1206234194675125E-2</v>
      </c>
    </row>
    <row r="6" spans="1:14" x14ac:dyDescent="0.2">
      <c r="A6" s="53" t="s">
        <v>176</v>
      </c>
      <c r="B6" s="52" t="s">
        <v>175</v>
      </c>
      <c r="C6" s="52">
        <v>2025</v>
      </c>
      <c r="D6" s="49">
        <v>8240</v>
      </c>
      <c r="E6" s="49">
        <v>7638</v>
      </c>
      <c r="F6" s="47">
        <f t="shared" si="0"/>
        <v>0.92694174757281556</v>
      </c>
      <c r="G6" s="49">
        <v>196241</v>
      </c>
      <c r="H6" s="47">
        <f t="shared" si="1"/>
        <v>3.8921530159344887E-2</v>
      </c>
      <c r="I6" s="49">
        <v>1000</v>
      </c>
      <c r="J6" s="47">
        <f t="shared" si="2"/>
        <v>0.12135922330097088</v>
      </c>
      <c r="K6" s="47">
        <f t="shared" si="3"/>
        <v>5.0957750928705007E-3</v>
      </c>
      <c r="L6" s="48">
        <f t="shared" si="4"/>
        <v>8638</v>
      </c>
      <c r="M6" s="47">
        <f t="shared" si="5"/>
        <v>1.0483009708737865</v>
      </c>
      <c r="N6" s="46">
        <f t="shared" si="6"/>
        <v>4.4017305252215387E-2</v>
      </c>
    </row>
    <row r="7" spans="1:14" x14ac:dyDescent="0.2">
      <c r="A7" s="51" t="s">
        <v>174</v>
      </c>
      <c r="B7" s="50" t="s">
        <v>173</v>
      </c>
      <c r="C7" s="50">
        <v>2024</v>
      </c>
      <c r="D7" s="49">
        <v>1441</v>
      </c>
      <c r="E7" s="49">
        <v>1194</v>
      </c>
      <c r="F7" s="47">
        <f t="shared" si="0"/>
        <v>0.8285912560721721</v>
      </c>
      <c r="G7" s="49">
        <v>43569</v>
      </c>
      <c r="H7" s="47">
        <f t="shared" si="1"/>
        <v>2.7404806169524204E-2</v>
      </c>
      <c r="I7" s="49">
        <f>1100/101*100</f>
        <v>1089.1089108910892</v>
      </c>
      <c r="J7" s="47">
        <f t="shared" si="2"/>
        <v>0.75580077091678644</v>
      </c>
      <c r="K7" s="47">
        <f t="shared" si="3"/>
        <v>2.4997335511283005E-2</v>
      </c>
      <c r="L7" s="48">
        <f t="shared" si="4"/>
        <v>2283.1089108910892</v>
      </c>
      <c r="M7" s="47">
        <f t="shared" si="5"/>
        <v>1.5843920269889584</v>
      </c>
      <c r="N7" s="46">
        <f t="shared" si="6"/>
        <v>5.2402141680807209E-2</v>
      </c>
    </row>
    <row r="8" spans="1:14" x14ac:dyDescent="0.2">
      <c r="A8" s="53" t="s">
        <v>174</v>
      </c>
      <c r="B8" s="52" t="s">
        <v>173</v>
      </c>
      <c r="C8" s="52">
        <v>2025</v>
      </c>
      <c r="D8" s="49">
        <v>2079</v>
      </c>
      <c r="E8" s="49">
        <v>1250</v>
      </c>
      <c r="F8" s="47">
        <f t="shared" si="0"/>
        <v>0.60125060125060126</v>
      </c>
      <c r="G8" s="49">
        <v>38054</v>
      </c>
      <c r="H8" s="47">
        <f t="shared" si="1"/>
        <v>3.2848058022809691E-2</v>
      </c>
      <c r="I8" s="49">
        <f>9/101*100</f>
        <v>8.9108910891089099</v>
      </c>
      <c r="J8" s="47">
        <f t="shared" si="2"/>
        <v>4.2861429000042861E-3</v>
      </c>
      <c r="K8" s="47">
        <f t="shared" si="3"/>
        <v>2.3416437402398984E-4</v>
      </c>
      <c r="L8" s="48">
        <f t="shared" si="4"/>
        <v>1258.9108910891089</v>
      </c>
      <c r="M8" s="47">
        <f t="shared" si="5"/>
        <v>0.60553674415060554</v>
      </c>
      <c r="N8" s="46">
        <f t="shared" si="6"/>
        <v>3.3082222396833678E-2</v>
      </c>
    </row>
    <row r="9" spans="1:14" x14ac:dyDescent="0.2">
      <c r="A9" s="51" t="s">
        <v>172</v>
      </c>
      <c r="B9" s="50" t="s">
        <v>171</v>
      </c>
      <c r="C9" s="50">
        <v>2024</v>
      </c>
      <c r="D9" s="49">
        <v>107.5</v>
      </c>
      <c r="E9" s="49">
        <v>0</v>
      </c>
      <c r="F9" s="47">
        <f t="shared" si="0"/>
        <v>0</v>
      </c>
      <c r="G9" s="49">
        <v>6191</v>
      </c>
      <c r="H9" s="47">
        <f t="shared" si="1"/>
        <v>0</v>
      </c>
      <c r="I9" s="49">
        <v>0</v>
      </c>
      <c r="J9" s="47">
        <f t="shared" si="2"/>
        <v>0</v>
      </c>
      <c r="K9" s="47">
        <f t="shared" si="3"/>
        <v>0</v>
      </c>
      <c r="L9" s="48">
        <f t="shared" si="4"/>
        <v>0</v>
      </c>
      <c r="M9" s="47">
        <f t="shared" si="5"/>
        <v>0</v>
      </c>
      <c r="N9" s="46">
        <f t="shared" si="6"/>
        <v>0</v>
      </c>
    </row>
    <row r="10" spans="1:14" x14ac:dyDescent="0.2">
      <c r="A10" s="53" t="s">
        <v>172</v>
      </c>
      <c r="B10" s="52" t="s">
        <v>171</v>
      </c>
      <c r="C10" s="52">
        <v>2025</v>
      </c>
      <c r="D10" s="49">
        <v>63.8</v>
      </c>
      <c r="E10" s="49">
        <v>0</v>
      </c>
      <c r="F10" s="47">
        <f t="shared" si="0"/>
        <v>0</v>
      </c>
      <c r="G10" s="49">
        <v>11791</v>
      </c>
      <c r="H10" s="47">
        <f t="shared" si="1"/>
        <v>0</v>
      </c>
      <c r="I10" s="49">
        <v>39.799999999999997</v>
      </c>
      <c r="J10" s="47">
        <f t="shared" si="2"/>
        <v>0.62382445141065834</v>
      </c>
      <c r="K10" s="47">
        <f t="shared" si="3"/>
        <v>3.3754558561614788E-3</v>
      </c>
      <c r="L10" s="48">
        <f t="shared" si="4"/>
        <v>39.799999999999997</v>
      </c>
      <c r="M10" s="47">
        <f t="shared" si="5"/>
        <v>0.62382445141065834</v>
      </c>
      <c r="N10" s="46">
        <f t="shared" si="6"/>
        <v>3.3754558561614788E-3</v>
      </c>
    </row>
    <row r="11" spans="1:14" x14ac:dyDescent="0.2">
      <c r="A11" s="51" t="s">
        <v>170</v>
      </c>
      <c r="B11" s="50" t="s">
        <v>169</v>
      </c>
      <c r="C11" s="50">
        <v>2024</v>
      </c>
      <c r="D11" s="49">
        <v>1509.048</v>
      </c>
      <c r="E11" s="49">
        <v>0</v>
      </c>
      <c r="F11" s="47">
        <f t="shared" si="0"/>
        <v>0</v>
      </c>
      <c r="G11" s="49">
        <v>51150</v>
      </c>
      <c r="H11" s="47">
        <f t="shared" si="1"/>
        <v>0</v>
      </c>
      <c r="I11" s="49">
        <f>239.6+500</f>
        <v>739.6</v>
      </c>
      <c r="J11" s="47">
        <f t="shared" si="2"/>
        <v>0.49011032120913317</v>
      </c>
      <c r="K11" s="47">
        <f t="shared" si="3"/>
        <v>1.4459433040078202E-2</v>
      </c>
      <c r="L11" s="48">
        <f t="shared" si="4"/>
        <v>739.6</v>
      </c>
      <c r="M11" s="47">
        <f t="shared" si="5"/>
        <v>0.49011032120913317</v>
      </c>
      <c r="N11" s="46">
        <f t="shared" si="6"/>
        <v>1.4459433040078202E-2</v>
      </c>
    </row>
    <row r="12" spans="1:14" x14ac:dyDescent="0.2">
      <c r="A12" s="45" t="s">
        <v>170</v>
      </c>
      <c r="B12" s="44" t="s">
        <v>169</v>
      </c>
      <c r="C12" s="44">
        <v>2025</v>
      </c>
      <c r="D12" s="43">
        <v>1905.432</v>
      </c>
      <c r="E12" s="43">
        <v>0</v>
      </c>
      <c r="F12" s="41">
        <f t="shared" si="0"/>
        <v>0</v>
      </c>
      <c r="G12" s="43">
        <v>74990</v>
      </c>
      <c r="H12" s="41">
        <f t="shared" si="1"/>
        <v>0</v>
      </c>
      <c r="I12" s="43"/>
      <c r="J12" s="41">
        <f t="shared" si="2"/>
        <v>0</v>
      </c>
      <c r="K12" s="41">
        <f t="shared" si="3"/>
        <v>0</v>
      </c>
      <c r="L12" s="42">
        <f t="shared" si="4"/>
        <v>0</v>
      </c>
      <c r="M12" s="41">
        <f t="shared" si="5"/>
        <v>0</v>
      </c>
      <c r="N12" s="40">
        <f t="shared" si="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showGridLines="0" zoomScaleNormal="100" workbookViewId="0">
      <selection activeCell="G17" sqref="G17"/>
    </sheetView>
  </sheetViews>
  <sheetFormatPr baseColWidth="10" defaultColWidth="8.83203125" defaultRowHeight="15" x14ac:dyDescent="0.2"/>
  <cols>
    <col min="1" max="1" width="11" customWidth="1"/>
    <col min="2" max="3" width="12.6640625" customWidth="1"/>
    <col min="4" max="4" width="22.1640625" customWidth="1"/>
    <col min="5" max="5" width="12.6640625" customWidth="1"/>
    <col min="6" max="7" width="12" customWidth="1"/>
    <col min="9" max="9" width="8.83203125" customWidth="1"/>
    <col min="10" max="10" width="30" customWidth="1"/>
    <col min="11" max="11" width="31.1640625" customWidth="1"/>
    <col min="12" max="12" width="12.1640625" customWidth="1"/>
    <col min="13" max="13" width="9" bestFit="1" customWidth="1"/>
    <col min="14" max="14" width="16" customWidth="1"/>
    <col min="16" max="16" width="10.5" customWidth="1"/>
  </cols>
  <sheetData>
    <row r="1" spans="1:12" ht="35" customHeight="1" x14ac:dyDescent="0.2">
      <c r="A1" s="61" t="s">
        <v>20</v>
      </c>
      <c r="B1" s="61" t="s">
        <v>21</v>
      </c>
      <c r="C1" s="61" t="s">
        <v>22</v>
      </c>
      <c r="D1" s="60" t="s">
        <v>23</v>
      </c>
      <c r="E1" s="61" t="s">
        <v>24</v>
      </c>
      <c r="F1" s="61" t="s">
        <v>203</v>
      </c>
      <c r="G1" s="61" t="s">
        <v>25</v>
      </c>
      <c r="J1" s="69" t="s">
        <v>26</v>
      </c>
      <c r="K1" s="70"/>
      <c r="L1" s="71"/>
    </row>
    <row r="2" spans="1:12" ht="15.75" customHeight="1" x14ac:dyDescent="0.2">
      <c r="A2" s="2">
        <v>43861</v>
      </c>
      <c r="B2" s="3">
        <v>5.5103942751884502E-2</v>
      </c>
      <c r="C2" s="3">
        <v>-1.62809E-3</v>
      </c>
      <c r="D2" s="4">
        <v>1.76</v>
      </c>
      <c r="E2" s="3">
        <f t="shared" ref="E2:E33" si="0">(D2/12)/100</f>
        <v>1.4666666666666667E-3</v>
      </c>
      <c r="F2" s="5">
        <f t="shared" ref="F2:F33" si="1">B2-E2</f>
        <v>5.3637276085217837E-2</v>
      </c>
      <c r="G2" s="5">
        <f t="shared" ref="G2:G33" si="2">C2-E2</f>
        <v>-3.0947566666666669E-3</v>
      </c>
      <c r="J2" s="62" t="s">
        <v>27</v>
      </c>
      <c r="K2" s="6" t="s">
        <v>197</v>
      </c>
      <c r="L2" s="63">
        <f>'KO WACC'!B83</f>
        <v>0.60935327765286695</v>
      </c>
    </row>
    <row r="3" spans="1:12" ht="16.5" customHeight="1" x14ac:dyDescent="0.2">
      <c r="A3" s="2">
        <v>43889</v>
      </c>
      <c r="B3" s="3">
        <v>-8.4075339138507801E-2</v>
      </c>
      <c r="C3" s="3">
        <v>-8.4110470000000007E-2</v>
      </c>
      <c r="D3" s="4">
        <v>1.5</v>
      </c>
      <c r="E3" s="3">
        <f t="shared" si="0"/>
        <v>1.25E-3</v>
      </c>
      <c r="F3" s="5">
        <f t="shared" si="1"/>
        <v>-8.5325339138507802E-2</v>
      </c>
      <c r="G3" s="5">
        <f t="shared" si="2"/>
        <v>-8.5360470000000008E-2</v>
      </c>
      <c r="J3" s="13" t="s">
        <v>28</v>
      </c>
      <c r="K3" t="s">
        <v>29</v>
      </c>
      <c r="L3" s="64">
        <v>4.2599999999999999E-2</v>
      </c>
    </row>
    <row r="4" spans="1:12" ht="16.5" customHeight="1" x14ac:dyDescent="0.2">
      <c r="A4" s="2">
        <v>43921</v>
      </c>
      <c r="B4" s="3">
        <v>-0.16507761180400901</v>
      </c>
      <c r="C4" s="3">
        <v>-0.12511929999999999</v>
      </c>
      <c r="D4" s="4">
        <v>0.87</v>
      </c>
      <c r="E4" s="3">
        <f t="shared" si="0"/>
        <v>7.2499999999999995E-4</v>
      </c>
      <c r="F4" s="5">
        <f t="shared" si="1"/>
        <v>-0.16580261180400901</v>
      </c>
      <c r="G4" s="5">
        <f t="shared" si="2"/>
        <v>-0.12584429999999999</v>
      </c>
      <c r="J4" s="13" t="s">
        <v>30</v>
      </c>
      <c r="K4" t="s">
        <v>31</v>
      </c>
      <c r="L4" s="64">
        <v>5.5E-2</v>
      </c>
    </row>
    <row r="5" spans="1:12" ht="18" customHeight="1" x14ac:dyDescent="0.2">
      <c r="A5" s="2">
        <v>43951</v>
      </c>
      <c r="B5" s="3">
        <v>3.7062134593725198E-2</v>
      </c>
      <c r="C5" s="3">
        <v>0.12684409999999999</v>
      </c>
      <c r="D5" s="4">
        <v>0.66</v>
      </c>
      <c r="E5" s="3">
        <f t="shared" si="0"/>
        <v>5.5000000000000003E-4</v>
      </c>
      <c r="F5" s="5">
        <f t="shared" si="1"/>
        <v>3.6512134593725196E-2</v>
      </c>
      <c r="G5" s="5">
        <f t="shared" si="2"/>
        <v>0.12629409999999999</v>
      </c>
      <c r="J5" s="75" t="s">
        <v>32</v>
      </c>
      <c r="K5" s="76" t="s">
        <v>33</v>
      </c>
      <c r="L5" s="77">
        <f>L3+L2*L4</f>
        <v>7.6114430270907682E-2</v>
      </c>
    </row>
    <row r="6" spans="1:12" x14ac:dyDescent="0.2">
      <c r="A6" s="2">
        <v>43980</v>
      </c>
      <c r="B6" s="3">
        <v>1.7215099185705199E-2</v>
      </c>
      <c r="C6" s="3">
        <v>4.5281780000000001E-2</v>
      </c>
      <c r="D6" s="4">
        <v>0.67</v>
      </c>
      <c r="E6" s="3">
        <f t="shared" si="0"/>
        <v>5.5833333333333342E-4</v>
      </c>
      <c r="F6" s="5">
        <f t="shared" si="1"/>
        <v>1.6656765852371865E-2</v>
      </c>
      <c r="G6" s="5">
        <f t="shared" si="2"/>
        <v>4.4723446666666666E-2</v>
      </c>
    </row>
    <row r="7" spans="1:12" x14ac:dyDescent="0.2">
      <c r="A7" s="2">
        <v>44012</v>
      </c>
      <c r="B7" s="3">
        <v>-3.4061696380376802E-2</v>
      </c>
      <c r="C7" s="3">
        <v>1.8388399999999999E-2</v>
      </c>
      <c r="D7" s="4">
        <v>0.73</v>
      </c>
      <c r="E7" s="3">
        <f t="shared" si="0"/>
        <v>6.0833333333333334E-4</v>
      </c>
      <c r="F7" s="5">
        <f t="shared" si="1"/>
        <v>-3.4670029713710138E-2</v>
      </c>
      <c r="G7" s="5">
        <f t="shared" si="2"/>
        <v>1.7780066666666667E-2</v>
      </c>
      <c r="J7" s="69" t="s">
        <v>34</v>
      </c>
      <c r="K7" s="70"/>
      <c r="L7" s="71"/>
    </row>
    <row r="8" spans="1:12" ht="16.5" customHeight="1" x14ac:dyDescent="0.2">
      <c r="A8" s="2">
        <v>44043</v>
      </c>
      <c r="B8" s="3">
        <v>5.7296358048915898E-2</v>
      </c>
      <c r="C8" s="3">
        <v>5.5101299999999999E-2</v>
      </c>
      <c r="D8" s="4">
        <v>0.62</v>
      </c>
      <c r="E8" s="3">
        <f t="shared" si="0"/>
        <v>5.1666666666666668E-4</v>
      </c>
      <c r="F8" s="5">
        <f t="shared" si="1"/>
        <v>5.6779691382249232E-2</v>
      </c>
      <c r="G8" s="5">
        <f t="shared" si="2"/>
        <v>5.4584633333333334E-2</v>
      </c>
      <c r="J8" s="62" t="s">
        <v>35</v>
      </c>
      <c r="K8" s="6" t="s">
        <v>36</v>
      </c>
      <c r="L8" s="63">
        <v>75.36</v>
      </c>
    </row>
    <row r="9" spans="1:12" ht="16.5" customHeight="1" x14ac:dyDescent="0.2">
      <c r="A9" s="2">
        <v>44074</v>
      </c>
      <c r="B9" s="3">
        <v>4.8475805670022999E-2</v>
      </c>
      <c r="C9" s="3">
        <v>7.0064689999999999E-2</v>
      </c>
      <c r="D9" s="4">
        <v>0.65</v>
      </c>
      <c r="E9" s="3">
        <f t="shared" si="0"/>
        <v>5.4166666666666664E-4</v>
      </c>
      <c r="F9" s="5">
        <f t="shared" si="1"/>
        <v>4.793413900335633E-2</v>
      </c>
      <c r="G9" s="5">
        <f t="shared" si="2"/>
        <v>6.9523023333333336E-2</v>
      </c>
      <c r="J9" s="13" t="s">
        <v>37</v>
      </c>
      <c r="K9" t="s">
        <v>38</v>
      </c>
      <c r="L9" s="64">
        <v>2.2200000000000002</v>
      </c>
    </row>
    <row r="10" spans="1:12" x14ac:dyDescent="0.2">
      <c r="A10" s="2">
        <v>44104</v>
      </c>
      <c r="B10" s="3">
        <v>5.0474489107727996E-3</v>
      </c>
      <c r="C10" s="3">
        <v>-3.9227959999999999E-2</v>
      </c>
      <c r="D10" s="4">
        <v>0.68</v>
      </c>
      <c r="E10" s="3">
        <f t="shared" si="0"/>
        <v>5.6666666666666671E-4</v>
      </c>
      <c r="F10" s="5">
        <f t="shared" si="1"/>
        <v>4.4807822441061329E-3</v>
      </c>
      <c r="G10" s="5">
        <f t="shared" si="2"/>
        <v>-3.9794626666666666E-2</v>
      </c>
      <c r="J10" s="13" t="s">
        <v>39</v>
      </c>
      <c r="K10" t="s">
        <v>40</v>
      </c>
      <c r="L10" s="64">
        <v>4.5999999999999999E-2</v>
      </c>
    </row>
    <row r="11" spans="1:12" ht="18" customHeight="1" x14ac:dyDescent="0.2">
      <c r="A11" s="2">
        <v>44134</v>
      </c>
      <c r="B11" s="3">
        <v>-2.6534283533692402E-2</v>
      </c>
      <c r="C11" s="3">
        <v>-2.7665780000000001E-2</v>
      </c>
      <c r="D11" s="4">
        <v>0.79</v>
      </c>
      <c r="E11" s="3">
        <f t="shared" si="0"/>
        <v>6.5833333333333336E-4</v>
      </c>
      <c r="F11" s="5">
        <f t="shared" si="1"/>
        <v>-2.7192616867025735E-2</v>
      </c>
      <c r="G11" s="5">
        <f t="shared" si="2"/>
        <v>-2.8324113333333335E-2</v>
      </c>
      <c r="J11" s="75" t="s">
        <v>32</v>
      </c>
      <c r="K11" s="76" t="s">
        <v>33</v>
      </c>
      <c r="L11" s="77">
        <f>(L9/L8)+L10</f>
        <v>7.5458598726114656E-2</v>
      </c>
    </row>
    <row r="12" spans="1:12" x14ac:dyDescent="0.2">
      <c r="A12" s="2">
        <v>44165</v>
      </c>
      <c r="B12" s="3">
        <v>8.2188867032527896E-2</v>
      </c>
      <c r="C12" s="3">
        <v>0.10754569999999999</v>
      </c>
      <c r="D12" s="4">
        <v>0.87</v>
      </c>
      <c r="E12" s="3">
        <f t="shared" si="0"/>
        <v>7.2499999999999995E-4</v>
      </c>
      <c r="F12" s="5">
        <f t="shared" si="1"/>
        <v>8.1463867032527892E-2</v>
      </c>
      <c r="G12" s="5">
        <f t="shared" si="2"/>
        <v>0.10682069999999999</v>
      </c>
    </row>
    <row r="13" spans="1:12" x14ac:dyDescent="0.2">
      <c r="A13" s="2">
        <v>44196</v>
      </c>
      <c r="B13" s="3">
        <v>6.2790729105472606E-2</v>
      </c>
      <c r="C13" s="3">
        <v>3.7121410000000001E-2</v>
      </c>
      <c r="D13" s="4">
        <v>0.93</v>
      </c>
      <c r="E13" s="3">
        <f t="shared" si="0"/>
        <v>7.7499999999999997E-4</v>
      </c>
      <c r="F13" s="5">
        <f t="shared" si="1"/>
        <v>6.2015729105472608E-2</v>
      </c>
      <c r="G13" s="5">
        <f t="shared" si="2"/>
        <v>3.6346410000000003E-2</v>
      </c>
      <c r="J13" s="69" t="s">
        <v>26</v>
      </c>
      <c r="K13" s="70"/>
      <c r="L13" s="71"/>
    </row>
    <row r="14" spans="1:12" x14ac:dyDescent="0.2">
      <c r="A14" s="2">
        <v>44225</v>
      </c>
      <c r="B14" s="3">
        <v>-0.121991224586964</v>
      </c>
      <c r="C14" s="3">
        <v>-1.113664E-2</v>
      </c>
      <c r="D14" s="4">
        <v>1.08</v>
      </c>
      <c r="E14" s="3">
        <f t="shared" si="0"/>
        <v>9.0000000000000008E-4</v>
      </c>
      <c r="F14" s="5">
        <f t="shared" si="1"/>
        <v>-0.122891224586964</v>
      </c>
      <c r="G14" s="5">
        <f t="shared" si="2"/>
        <v>-1.2036639999999999E-2</v>
      </c>
      <c r="J14" s="62" t="s">
        <v>27</v>
      </c>
      <c r="K14" s="6" t="s">
        <v>193</v>
      </c>
      <c r="L14" s="63">
        <v>0.36</v>
      </c>
    </row>
    <row r="15" spans="1:12" ht="16.5" customHeight="1" x14ac:dyDescent="0.2">
      <c r="A15" s="2">
        <v>44253</v>
      </c>
      <c r="B15" s="3">
        <v>1.7445486038923302E-2</v>
      </c>
      <c r="C15" s="3">
        <v>2.609148E-2</v>
      </c>
      <c r="D15" s="4">
        <v>1.26</v>
      </c>
      <c r="E15" s="3">
        <f t="shared" si="0"/>
        <v>1.0499999999999999E-3</v>
      </c>
      <c r="F15" s="5">
        <f t="shared" si="1"/>
        <v>1.6395486038923303E-2</v>
      </c>
      <c r="G15" s="5">
        <f t="shared" si="2"/>
        <v>2.5041480000000001E-2</v>
      </c>
      <c r="J15" s="13" t="s">
        <v>28</v>
      </c>
      <c r="K15" t="s">
        <v>29</v>
      </c>
      <c r="L15" s="64">
        <v>4.2599999999999999E-2</v>
      </c>
    </row>
    <row r="16" spans="1:12" ht="16.5" customHeight="1" x14ac:dyDescent="0.2">
      <c r="A16" s="2">
        <v>44286</v>
      </c>
      <c r="B16" s="3">
        <v>8.4506988525390597E-2</v>
      </c>
      <c r="C16" s="3">
        <v>4.2438629999999998E-2</v>
      </c>
      <c r="D16" s="4">
        <v>1.61</v>
      </c>
      <c r="E16" s="3">
        <f t="shared" si="0"/>
        <v>1.3416666666666668E-3</v>
      </c>
      <c r="F16" s="5">
        <f t="shared" si="1"/>
        <v>8.3165321858723926E-2</v>
      </c>
      <c r="G16" s="5">
        <f t="shared" si="2"/>
        <v>4.1096963333333333E-2</v>
      </c>
      <c r="J16" s="13" t="s">
        <v>30</v>
      </c>
      <c r="K16" t="s">
        <v>31</v>
      </c>
      <c r="L16" s="64">
        <v>5.5E-2</v>
      </c>
    </row>
    <row r="17" spans="1:15" ht="18" customHeight="1" x14ac:dyDescent="0.2">
      <c r="A17" s="2">
        <v>44316</v>
      </c>
      <c r="B17" s="3">
        <v>2.4094108492136002E-2</v>
      </c>
      <c r="C17" s="3">
        <v>5.2425310000000003E-2</v>
      </c>
      <c r="D17" s="4">
        <v>1.64</v>
      </c>
      <c r="E17" s="3">
        <f t="shared" si="0"/>
        <v>1.3666666666666666E-3</v>
      </c>
      <c r="F17" s="5">
        <f t="shared" si="1"/>
        <v>2.2727441825469336E-2</v>
      </c>
      <c r="G17" s="5">
        <f t="shared" si="2"/>
        <v>5.1058643333333334E-2</v>
      </c>
      <c r="J17" s="75" t="s">
        <v>32</v>
      </c>
      <c r="K17" s="76" t="s">
        <v>33</v>
      </c>
      <c r="L17" s="77">
        <f>L15+L14*L16</f>
        <v>6.2399999999999997E-2</v>
      </c>
    </row>
    <row r="18" spans="1:15" x14ac:dyDescent="0.2">
      <c r="A18" s="2">
        <v>44344</v>
      </c>
      <c r="B18" s="3">
        <v>2.42682732641697E-2</v>
      </c>
      <c r="C18" s="3">
        <v>5.4865030000000002E-3</v>
      </c>
      <c r="D18" s="4">
        <v>1.62</v>
      </c>
      <c r="E18" s="3">
        <f t="shared" si="0"/>
        <v>1.3500000000000001E-3</v>
      </c>
      <c r="F18" s="5">
        <f t="shared" si="1"/>
        <v>2.2918273264169699E-2</v>
      </c>
      <c r="G18" s="5">
        <f t="shared" si="2"/>
        <v>4.1365029999999997E-3</v>
      </c>
    </row>
    <row r="19" spans="1:15" x14ac:dyDescent="0.2">
      <c r="A19" s="2">
        <v>44377</v>
      </c>
      <c r="B19" s="3">
        <v>-1.37457102537155E-2</v>
      </c>
      <c r="C19" s="3">
        <v>2.2213980000000001E-2</v>
      </c>
      <c r="D19" s="4">
        <v>1.52</v>
      </c>
      <c r="E19" s="3">
        <f t="shared" si="0"/>
        <v>1.2666666666666668E-3</v>
      </c>
      <c r="F19" s="5">
        <f t="shared" si="1"/>
        <v>-1.5012376920382167E-2</v>
      </c>
      <c r="G19" s="5">
        <f t="shared" si="2"/>
        <v>2.0947313333333335E-2</v>
      </c>
      <c r="J19" s="69" t="s">
        <v>26</v>
      </c>
      <c r="K19" s="70"/>
      <c r="L19" s="71"/>
    </row>
    <row r="20" spans="1:15" x14ac:dyDescent="0.2">
      <c r="A20" s="2">
        <v>44407</v>
      </c>
      <c r="B20" s="3">
        <v>5.3964111953973798E-2</v>
      </c>
      <c r="C20" s="3">
        <v>2.2748109999999998E-2</v>
      </c>
      <c r="D20" s="4">
        <v>1.32</v>
      </c>
      <c r="E20" s="3">
        <f t="shared" si="0"/>
        <v>1.1000000000000001E-3</v>
      </c>
      <c r="F20" s="5">
        <f t="shared" si="1"/>
        <v>5.2864111953973801E-2</v>
      </c>
      <c r="G20" s="5">
        <f t="shared" si="2"/>
        <v>2.1648109999999998E-2</v>
      </c>
      <c r="J20" s="62" t="s">
        <v>27</v>
      </c>
      <c r="K20" s="6" t="s">
        <v>194</v>
      </c>
      <c r="L20" s="63">
        <v>0.67</v>
      </c>
    </row>
    <row r="21" spans="1:15" ht="16.5" customHeight="1" x14ac:dyDescent="0.2">
      <c r="A21" s="2">
        <v>44439</v>
      </c>
      <c r="B21" s="3">
        <v>-1.26248886808753E-2</v>
      </c>
      <c r="C21" s="3">
        <v>2.899032E-2</v>
      </c>
      <c r="D21" s="4">
        <v>1.28</v>
      </c>
      <c r="E21" s="3">
        <f t="shared" si="0"/>
        <v>1.0666666666666667E-3</v>
      </c>
      <c r="F21" s="5">
        <f t="shared" si="1"/>
        <v>-1.3691555347541967E-2</v>
      </c>
      <c r="G21" s="5">
        <f t="shared" si="2"/>
        <v>2.7923653333333333E-2</v>
      </c>
      <c r="J21" s="13" t="s">
        <v>28</v>
      </c>
      <c r="K21" t="s">
        <v>29</v>
      </c>
      <c r="L21" s="64">
        <v>4.2599999999999999E-2</v>
      </c>
    </row>
    <row r="22" spans="1:15" ht="16.5" customHeight="1" x14ac:dyDescent="0.2">
      <c r="A22" s="2">
        <v>44469</v>
      </c>
      <c r="B22" s="3">
        <v>-6.0735218226909603E-2</v>
      </c>
      <c r="C22" s="3">
        <v>-4.7569140000000003E-2</v>
      </c>
      <c r="D22" s="4">
        <v>1.37</v>
      </c>
      <c r="E22" s="3">
        <f t="shared" si="0"/>
        <v>1.1416666666666667E-3</v>
      </c>
      <c r="F22" s="5">
        <f t="shared" si="1"/>
        <v>-6.1876884893576269E-2</v>
      </c>
      <c r="G22" s="5">
        <f t="shared" si="2"/>
        <v>-4.8710806666666669E-2</v>
      </c>
      <c r="J22" s="13" t="s">
        <v>30</v>
      </c>
      <c r="K22" t="s">
        <v>31</v>
      </c>
      <c r="L22" s="64">
        <v>5.5E-2</v>
      </c>
    </row>
    <row r="23" spans="1:15" ht="18" customHeight="1" x14ac:dyDescent="0.2">
      <c r="A23" s="2">
        <v>44498</v>
      </c>
      <c r="B23" s="3">
        <v>7.4328139424323994E-2</v>
      </c>
      <c r="C23" s="3">
        <v>6.9143880000000005E-2</v>
      </c>
      <c r="D23" s="4">
        <v>1.58</v>
      </c>
      <c r="E23" s="3">
        <f t="shared" si="0"/>
        <v>1.3166666666666667E-3</v>
      </c>
      <c r="F23" s="5">
        <f t="shared" si="1"/>
        <v>7.3011472757657334E-2</v>
      </c>
      <c r="G23" s="5">
        <f t="shared" si="2"/>
        <v>6.7827213333333344E-2</v>
      </c>
      <c r="J23" s="75" t="s">
        <v>32</v>
      </c>
      <c r="K23" s="76" t="s">
        <v>33</v>
      </c>
      <c r="L23" s="77">
        <f>L21+L20*L22</f>
        <v>7.9449999999999993E-2</v>
      </c>
    </row>
    <row r="24" spans="1:15" x14ac:dyDescent="0.2">
      <c r="A24" s="2">
        <v>44530</v>
      </c>
      <c r="B24" s="3">
        <v>-6.2089733779430403E-2</v>
      </c>
      <c r="C24" s="3">
        <v>-8.3337310000000005E-3</v>
      </c>
      <c r="D24" s="4">
        <v>1.56</v>
      </c>
      <c r="E24" s="3">
        <f t="shared" si="0"/>
        <v>1.2999999999999999E-3</v>
      </c>
      <c r="F24" s="5">
        <f t="shared" si="1"/>
        <v>-6.3389733779430399E-2</v>
      </c>
      <c r="G24" s="5">
        <f t="shared" si="2"/>
        <v>-9.6337309999999995E-3</v>
      </c>
    </row>
    <row r="25" spans="1:15" x14ac:dyDescent="0.2">
      <c r="A25" s="2">
        <v>44561</v>
      </c>
      <c r="B25" s="3">
        <v>0.12888461351394701</v>
      </c>
      <c r="C25" s="3">
        <v>4.361288E-2</v>
      </c>
      <c r="D25" s="4">
        <v>1.47</v>
      </c>
      <c r="E25" s="3">
        <f t="shared" si="0"/>
        <v>1.225E-3</v>
      </c>
      <c r="F25" s="5">
        <f t="shared" si="1"/>
        <v>0.127659613513947</v>
      </c>
      <c r="G25" s="5">
        <f t="shared" si="2"/>
        <v>4.2387880000000003E-2</v>
      </c>
    </row>
    <row r="26" spans="1:15" x14ac:dyDescent="0.2">
      <c r="A26" s="2">
        <v>44592</v>
      </c>
      <c r="B26" s="3">
        <v>3.0400257557630501E-2</v>
      </c>
      <c r="C26" s="3">
        <v>-5.2585090000000001E-2</v>
      </c>
      <c r="D26" s="4">
        <v>1.76</v>
      </c>
      <c r="E26" s="3">
        <f t="shared" si="0"/>
        <v>1.4666666666666667E-3</v>
      </c>
      <c r="F26" s="5">
        <f t="shared" si="1"/>
        <v>2.8933590890963833E-2</v>
      </c>
      <c r="G26" s="5">
        <f t="shared" si="2"/>
        <v>-5.4051756666666666E-2</v>
      </c>
      <c r="J26" s="79" t="s">
        <v>41</v>
      </c>
      <c r="K26" s="80"/>
      <c r="L26" s="80"/>
      <c r="M26" s="80"/>
      <c r="N26" s="80"/>
      <c r="O26" s="81"/>
    </row>
    <row r="27" spans="1:15" x14ac:dyDescent="0.2">
      <c r="A27" s="2">
        <v>44620</v>
      </c>
      <c r="B27" s="3">
        <v>2.0160684362053899E-2</v>
      </c>
      <c r="C27" s="3">
        <v>-3.1360520000000003E-2</v>
      </c>
      <c r="D27" s="4">
        <v>1.93</v>
      </c>
      <c r="E27" s="3">
        <f t="shared" si="0"/>
        <v>1.6083333333333334E-3</v>
      </c>
      <c r="F27" s="5">
        <f t="shared" si="1"/>
        <v>1.8552351028720566E-2</v>
      </c>
      <c r="G27" s="5">
        <f t="shared" si="2"/>
        <v>-3.2968853333333339E-2</v>
      </c>
      <c r="J27" s="82" t="s">
        <v>42</v>
      </c>
      <c r="K27" s="78" t="s">
        <v>43</v>
      </c>
      <c r="L27" s="78" t="s">
        <v>44</v>
      </c>
      <c r="M27" s="78" t="s">
        <v>45</v>
      </c>
      <c r="N27" s="78" t="s">
        <v>46</v>
      </c>
      <c r="O27" s="83" t="s">
        <v>47</v>
      </c>
    </row>
    <row r="28" spans="1:15" x14ac:dyDescent="0.2">
      <c r="A28" s="2">
        <v>44651</v>
      </c>
      <c r="B28" s="3">
        <v>3.2133404165506402E-3</v>
      </c>
      <c r="C28" s="3">
        <v>3.5773239999999998E-2</v>
      </c>
      <c r="D28" s="4">
        <v>2.13</v>
      </c>
      <c r="E28" s="3">
        <f t="shared" si="0"/>
        <v>1.7749999999999999E-3</v>
      </c>
      <c r="F28" s="5">
        <f t="shared" si="1"/>
        <v>1.4383404165506403E-3</v>
      </c>
      <c r="G28" s="5">
        <f t="shared" si="2"/>
        <v>3.3998239999999999E-2</v>
      </c>
      <c r="J28" s="13" t="s">
        <v>48</v>
      </c>
      <c r="K28" s="84">
        <v>5.3999999999999999E-2</v>
      </c>
      <c r="L28" s="85">
        <v>60035</v>
      </c>
      <c r="M28" s="86">
        <v>38.1</v>
      </c>
      <c r="N28" s="5">
        <v>5.45E-2</v>
      </c>
      <c r="O28" s="14" t="s">
        <v>49</v>
      </c>
    </row>
    <row r="29" spans="1:15" x14ac:dyDescent="0.2">
      <c r="A29" s="2">
        <v>44680</v>
      </c>
      <c r="B29" s="3">
        <v>4.2096782475709901E-2</v>
      </c>
      <c r="C29" s="3">
        <v>-8.7956720000000002E-2</v>
      </c>
      <c r="D29" s="4">
        <v>2.75</v>
      </c>
      <c r="E29" s="3">
        <f t="shared" si="0"/>
        <v>2.2916666666666667E-3</v>
      </c>
      <c r="F29" s="5">
        <f t="shared" si="1"/>
        <v>3.9805115809043237E-2</v>
      </c>
      <c r="G29" s="5">
        <f t="shared" si="2"/>
        <v>-9.0248386666666666E-2</v>
      </c>
      <c r="J29" s="13" t="s">
        <v>50</v>
      </c>
      <c r="K29" s="84">
        <v>5.2999999999999999E-2</v>
      </c>
      <c r="L29" s="2">
        <v>56382</v>
      </c>
      <c r="M29">
        <v>28.1</v>
      </c>
      <c r="N29" s="5">
        <v>5.3199999999999997E-2</v>
      </c>
      <c r="O29" s="14" t="s">
        <v>51</v>
      </c>
    </row>
    <row r="30" spans="1:15" x14ac:dyDescent="0.2">
      <c r="A30" s="2">
        <v>44712</v>
      </c>
      <c r="B30" s="3">
        <v>-1.90372932702303E-2</v>
      </c>
      <c r="C30" s="3">
        <v>5.3243879999999999E-5</v>
      </c>
      <c r="D30" s="4">
        <v>2.9</v>
      </c>
      <c r="E30" s="3">
        <f t="shared" si="0"/>
        <v>2.4166666666666668E-3</v>
      </c>
      <c r="F30" s="5">
        <f t="shared" si="1"/>
        <v>-2.1453959936896968E-2</v>
      </c>
      <c r="G30" s="5">
        <f t="shared" si="2"/>
        <v>-2.3634227866666667E-3</v>
      </c>
      <c r="J30" s="13" t="s">
        <v>52</v>
      </c>
      <c r="K30" s="84">
        <v>2.75E-2</v>
      </c>
      <c r="L30" s="2">
        <v>58593</v>
      </c>
      <c r="M30">
        <v>34.1</v>
      </c>
      <c r="N30" s="5">
        <v>5.3199999999999997E-2</v>
      </c>
      <c r="O30" s="14" t="s">
        <v>53</v>
      </c>
    </row>
    <row r="31" spans="1:15" x14ac:dyDescent="0.2">
      <c r="A31" s="2">
        <v>44742</v>
      </c>
      <c r="B31" s="3">
        <v>-4.7335473936982502E-4</v>
      </c>
      <c r="C31" s="3">
        <v>-8.391999E-2</v>
      </c>
      <c r="D31" s="4">
        <v>3.14</v>
      </c>
      <c r="E31" s="3">
        <f t="shared" si="0"/>
        <v>2.6166666666666664E-3</v>
      </c>
      <c r="F31" s="5">
        <f t="shared" si="1"/>
        <v>-3.0900214060364914E-3</v>
      </c>
      <c r="G31" s="5">
        <f t="shared" si="2"/>
        <v>-8.653665666666667E-2</v>
      </c>
      <c r="J31" s="13" t="s">
        <v>54</v>
      </c>
      <c r="K31" s="84">
        <v>0.03</v>
      </c>
      <c r="L31" s="2">
        <v>55217</v>
      </c>
      <c r="M31">
        <v>24.9</v>
      </c>
      <c r="N31" s="5">
        <v>5.3100000000000001E-2</v>
      </c>
      <c r="O31" s="14" t="s">
        <v>55</v>
      </c>
    </row>
    <row r="32" spans="1:15" x14ac:dyDescent="0.2">
      <c r="A32" s="2">
        <v>44771</v>
      </c>
      <c r="B32" s="3">
        <v>2.0028585568070401E-2</v>
      </c>
      <c r="C32" s="3">
        <v>9.1116349999999999E-2</v>
      </c>
      <c r="D32" s="4">
        <v>2.9</v>
      </c>
      <c r="E32" s="3">
        <f t="shared" si="0"/>
        <v>2.4166666666666668E-3</v>
      </c>
      <c r="F32" s="5">
        <f t="shared" si="1"/>
        <v>1.7611918901403734E-2</v>
      </c>
      <c r="G32" s="5">
        <f t="shared" si="2"/>
        <v>8.8699683333333335E-2</v>
      </c>
      <c r="J32" s="13" t="s">
        <v>56</v>
      </c>
      <c r="K32" s="84">
        <v>5.1999999999999998E-2</v>
      </c>
      <c r="L32" s="2">
        <v>56628</v>
      </c>
      <c r="M32">
        <v>28.7</v>
      </c>
      <c r="N32" s="5">
        <v>5.3100000000000001E-2</v>
      </c>
      <c r="O32" s="14" t="s">
        <v>57</v>
      </c>
    </row>
    <row r="33" spans="1:15" x14ac:dyDescent="0.2">
      <c r="A33" s="2">
        <v>44804</v>
      </c>
      <c r="B33" s="3">
        <v>-3.8335658609867103E-2</v>
      </c>
      <c r="C33" s="3">
        <v>-4.2440119999999998E-2</v>
      </c>
      <c r="D33" s="4">
        <v>2.9</v>
      </c>
      <c r="E33" s="3">
        <f t="shared" si="0"/>
        <v>2.4166666666666668E-3</v>
      </c>
      <c r="F33" s="5">
        <f t="shared" si="1"/>
        <v>-4.0752325276533767E-2</v>
      </c>
      <c r="G33" s="5">
        <f t="shared" si="2"/>
        <v>-4.4856786666666662E-2</v>
      </c>
      <c r="J33" s="13" t="s">
        <v>58</v>
      </c>
      <c r="K33" s="84">
        <v>4.2000000000000003E-2</v>
      </c>
      <c r="L33" s="2">
        <v>54872</v>
      </c>
      <c r="M33">
        <v>23.9</v>
      </c>
      <c r="N33" s="5">
        <v>5.2900000000000003E-2</v>
      </c>
      <c r="O33" s="14" t="s">
        <v>59</v>
      </c>
    </row>
    <row r="34" spans="1:15" x14ac:dyDescent="0.2">
      <c r="A34" s="2">
        <v>44834</v>
      </c>
      <c r="B34" s="3">
        <v>-8.5075333714485196E-2</v>
      </c>
      <c r="C34" s="3">
        <v>-9.3395699999999998E-2</v>
      </c>
      <c r="D34" s="4">
        <v>3.52</v>
      </c>
      <c r="E34" s="3">
        <f t="shared" ref="E34:E61" si="3">(D34/12)/100</f>
        <v>2.9333333333333334E-3</v>
      </c>
      <c r="F34" s="5">
        <f t="shared" ref="F34:F61" si="4">B34-E34</f>
        <v>-8.8008667047818526E-2</v>
      </c>
      <c r="G34" s="5">
        <f t="shared" ref="G34:G61" si="5">C34-E34</f>
        <v>-9.6329033333333328E-2</v>
      </c>
      <c r="J34" s="13" t="s">
        <v>60</v>
      </c>
      <c r="K34" s="84">
        <v>7.3749999999999996E-2</v>
      </c>
      <c r="L34" s="2">
        <v>70704</v>
      </c>
      <c r="M34">
        <v>67.3</v>
      </c>
      <c r="N34" s="5">
        <v>5.2699999999999997E-2</v>
      </c>
      <c r="O34" s="14" t="s">
        <v>61</v>
      </c>
    </row>
    <row r="35" spans="1:15" x14ac:dyDescent="0.2">
      <c r="A35" s="2">
        <v>44865</v>
      </c>
      <c r="B35" s="3">
        <v>6.8368405103683499E-2</v>
      </c>
      <c r="C35" s="3">
        <v>7.9863450000000002E-2</v>
      </c>
      <c r="D35" s="4">
        <v>3.98</v>
      </c>
      <c r="E35" s="3">
        <f t="shared" si="3"/>
        <v>3.3166666666666665E-3</v>
      </c>
      <c r="F35" s="5">
        <f t="shared" si="4"/>
        <v>6.5051738437016837E-2</v>
      </c>
      <c r="G35" s="5">
        <f t="shared" si="5"/>
        <v>7.654678333333334E-2</v>
      </c>
      <c r="J35" s="13" t="s">
        <v>62</v>
      </c>
      <c r="K35" s="84">
        <v>2.5999999999999999E-2</v>
      </c>
      <c r="L35" s="2">
        <v>54940</v>
      </c>
      <c r="M35">
        <v>24.1</v>
      </c>
      <c r="N35" s="5">
        <v>5.2699999999999997E-2</v>
      </c>
      <c r="O35" s="14" t="s">
        <v>63</v>
      </c>
    </row>
    <row r="36" spans="1:15" x14ac:dyDescent="0.2">
      <c r="A36" s="2">
        <v>44895</v>
      </c>
      <c r="B36" s="3">
        <v>7.0175476372242002E-2</v>
      </c>
      <c r="C36" s="3">
        <v>5.375286E-2</v>
      </c>
      <c r="D36" s="4">
        <v>3.89</v>
      </c>
      <c r="E36" s="3">
        <f t="shared" si="3"/>
        <v>3.2416666666666666E-3</v>
      </c>
      <c r="F36" s="5">
        <f t="shared" si="4"/>
        <v>6.6933809705575331E-2</v>
      </c>
      <c r="G36" s="5">
        <f t="shared" si="5"/>
        <v>5.0511193333333336E-2</v>
      </c>
      <c r="J36" s="13" t="s">
        <v>64</v>
      </c>
      <c r="K36" s="84">
        <v>2.5000000000000001E-2</v>
      </c>
      <c r="L36" s="2">
        <v>51288</v>
      </c>
      <c r="M36">
        <v>14.1</v>
      </c>
      <c r="N36" s="5">
        <v>4.8800000000000003E-2</v>
      </c>
      <c r="O36" s="14" t="s">
        <v>65</v>
      </c>
    </row>
    <row r="37" spans="1:15" x14ac:dyDescent="0.2">
      <c r="A37" s="2">
        <v>44925</v>
      </c>
      <c r="B37" s="3">
        <v>0</v>
      </c>
      <c r="C37" s="3">
        <v>-5.8971450000000002E-2</v>
      </c>
      <c r="D37" s="4">
        <v>3.62</v>
      </c>
      <c r="E37" s="3">
        <f t="shared" si="3"/>
        <v>3.0166666666666671E-3</v>
      </c>
      <c r="F37" s="5">
        <f t="shared" si="4"/>
        <v>-3.0166666666666671E-3</v>
      </c>
      <c r="G37" s="5">
        <f t="shared" si="5"/>
        <v>-6.1988116666666669E-2</v>
      </c>
      <c r="J37" s="13" t="s">
        <v>66</v>
      </c>
      <c r="K37" s="84">
        <v>4.1250000000000002E-2</v>
      </c>
      <c r="L37" s="2">
        <v>51220</v>
      </c>
      <c r="M37">
        <v>13.9</v>
      </c>
      <c r="N37" s="5">
        <v>4.7600000000000003E-2</v>
      </c>
      <c r="O37" s="14" t="s">
        <v>67</v>
      </c>
    </row>
    <row r="38" spans="1:15" x14ac:dyDescent="0.2">
      <c r="A38" s="2">
        <v>44957</v>
      </c>
      <c r="B38" s="3">
        <v>-3.6000642925500898E-2</v>
      </c>
      <c r="C38" s="3">
        <v>6.1752830000000002E-2</v>
      </c>
      <c r="D38" s="4">
        <v>3.53</v>
      </c>
      <c r="E38" s="3">
        <f t="shared" si="3"/>
        <v>2.9416666666666662E-3</v>
      </c>
      <c r="F38" s="5">
        <f t="shared" si="4"/>
        <v>-3.8942309592167566E-2</v>
      </c>
      <c r="G38" s="5">
        <f t="shared" si="5"/>
        <v>5.8811163333333333E-2</v>
      </c>
      <c r="J38" s="13" t="s">
        <v>68</v>
      </c>
      <c r="K38" s="84">
        <v>0.05</v>
      </c>
      <c r="L38" s="2">
        <v>49077</v>
      </c>
      <c r="M38">
        <v>8.1</v>
      </c>
      <c r="N38" s="5">
        <v>4.2999999999999997E-2</v>
      </c>
      <c r="O38" s="14" t="s">
        <v>69</v>
      </c>
    </row>
    <row r="39" spans="1:15" x14ac:dyDescent="0.2">
      <c r="A39" s="2">
        <v>44985</v>
      </c>
      <c r="B39" s="3">
        <v>-2.9517309740185699E-2</v>
      </c>
      <c r="C39" s="3">
        <v>-2.6112449999999999E-2</v>
      </c>
      <c r="D39" s="4">
        <v>3.75</v>
      </c>
      <c r="E39" s="3">
        <f t="shared" si="3"/>
        <v>3.1250000000000002E-3</v>
      </c>
      <c r="F39" s="5">
        <f t="shared" si="4"/>
        <v>-3.2642309740185699E-2</v>
      </c>
      <c r="G39" s="5">
        <f t="shared" si="5"/>
        <v>-2.9237449999999998E-2</v>
      </c>
      <c r="J39" s="13" t="s">
        <v>70</v>
      </c>
      <c r="K39" s="84">
        <v>4.65E-2</v>
      </c>
      <c r="L39" s="2">
        <v>49170</v>
      </c>
      <c r="M39">
        <v>8.3000000000000007</v>
      </c>
      <c r="N39" s="5">
        <v>4.1700000000000001E-2</v>
      </c>
      <c r="O39" s="14" t="s">
        <v>71</v>
      </c>
    </row>
    <row r="40" spans="1:15" x14ac:dyDescent="0.2">
      <c r="A40" s="2">
        <v>45016</v>
      </c>
      <c r="B40" s="3">
        <v>5.00756278634071E-2</v>
      </c>
      <c r="C40" s="3">
        <v>3.5051569999999997E-2</v>
      </c>
      <c r="D40" s="4">
        <v>3.66</v>
      </c>
      <c r="E40" s="3">
        <f t="shared" si="3"/>
        <v>3.0499999999999998E-3</v>
      </c>
      <c r="F40" s="5">
        <f t="shared" si="4"/>
        <v>4.7025627863407103E-2</v>
      </c>
      <c r="G40" s="5">
        <f t="shared" si="5"/>
        <v>3.200157E-2</v>
      </c>
      <c r="J40" s="13"/>
      <c r="O40" s="14"/>
    </row>
    <row r="41" spans="1:15" ht="15.75" customHeight="1" x14ac:dyDescent="0.2">
      <c r="A41" s="2">
        <v>45044</v>
      </c>
      <c r="B41" s="3">
        <v>3.41770574450493E-2</v>
      </c>
      <c r="C41" s="3">
        <v>1.464236E-2</v>
      </c>
      <c r="D41" s="4">
        <v>3.46</v>
      </c>
      <c r="E41" s="3">
        <f t="shared" si="3"/>
        <v>2.8833333333333332E-3</v>
      </c>
      <c r="F41" s="5">
        <f t="shared" si="4"/>
        <v>3.1293724111715965E-2</v>
      </c>
      <c r="G41" s="5">
        <f t="shared" si="5"/>
        <v>1.1759026666666667E-2</v>
      </c>
      <c r="J41" s="87" t="s">
        <v>72</v>
      </c>
      <c r="K41" s="88"/>
      <c r="L41" s="88"/>
      <c r="M41" s="88"/>
      <c r="N41" s="89">
        <f>AVERAGE(N28:N39)</f>
        <v>5.0541666666666672E-2</v>
      </c>
      <c r="O41" s="90"/>
    </row>
    <row r="42" spans="1:15" x14ac:dyDescent="0.2">
      <c r="A42" s="2">
        <v>45077</v>
      </c>
      <c r="B42" s="3">
        <v>-6.9992229342460605E-2</v>
      </c>
      <c r="C42" s="3">
        <v>2.4823240000000002E-3</v>
      </c>
      <c r="D42" s="4">
        <v>3.57</v>
      </c>
      <c r="E42" s="3">
        <f t="shared" si="3"/>
        <v>2.9749999999999998E-3</v>
      </c>
      <c r="F42" s="5">
        <f t="shared" si="4"/>
        <v>-7.296722934246061E-2</v>
      </c>
      <c r="G42" s="5">
        <f t="shared" si="5"/>
        <v>-4.9267599999999962E-4</v>
      </c>
    </row>
    <row r="43" spans="1:15" x14ac:dyDescent="0.2">
      <c r="A43" s="2">
        <v>45107</v>
      </c>
      <c r="B43" s="3">
        <v>1.70969050377607E-2</v>
      </c>
      <c r="C43" s="3">
        <v>6.4727510000000002E-2</v>
      </c>
      <c r="D43" s="4">
        <v>3.75</v>
      </c>
      <c r="E43" s="3">
        <f t="shared" si="3"/>
        <v>3.1250000000000002E-3</v>
      </c>
      <c r="F43" s="5">
        <f t="shared" si="4"/>
        <v>1.3971905037760701E-2</v>
      </c>
      <c r="G43" s="5">
        <f t="shared" si="5"/>
        <v>6.1602509999999999E-2</v>
      </c>
    </row>
    <row r="44" spans="1:15" x14ac:dyDescent="0.2">
      <c r="A44" s="2">
        <v>45138</v>
      </c>
      <c r="B44" s="3">
        <v>2.8395865112543099E-2</v>
      </c>
      <c r="C44" s="3">
        <v>3.1138909999999999E-2</v>
      </c>
      <c r="D44" s="4">
        <v>3.9</v>
      </c>
      <c r="E44" s="3">
        <f t="shared" si="3"/>
        <v>3.2500000000000003E-3</v>
      </c>
      <c r="F44" s="5">
        <f t="shared" si="4"/>
        <v>2.51458651125431E-2</v>
      </c>
      <c r="G44" s="5">
        <f t="shared" si="5"/>
        <v>2.7888909999999999E-2</v>
      </c>
      <c r="J44" s="72" t="s">
        <v>73</v>
      </c>
      <c r="K44" s="74"/>
      <c r="L44" s="73"/>
    </row>
    <row r="45" spans="1:15" x14ac:dyDescent="0.2">
      <c r="A45" s="2">
        <v>45169</v>
      </c>
      <c r="B45" s="3">
        <v>-3.3909227699041401E-2</v>
      </c>
      <c r="C45" s="3">
        <v>-1.7716429999999998E-2</v>
      </c>
      <c r="D45" s="4">
        <v>4.17</v>
      </c>
      <c r="E45" s="3">
        <f t="shared" si="3"/>
        <v>3.4749999999999998E-3</v>
      </c>
      <c r="F45" s="5">
        <f t="shared" si="4"/>
        <v>-3.73842276990414E-2</v>
      </c>
      <c r="G45" s="5">
        <f t="shared" si="5"/>
        <v>-2.1191429999999997E-2</v>
      </c>
      <c r="J45" s="13" t="s">
        <v>32</v>
      </c>
      <c r="K45" t="s">
        <v>74</v>
      </c>
      <c r="L45" s="66">
        <f>'KO WACC'!L5</f>
        <v>7.6114430270907682E-2</v>
      </c>
    </row>
    <row r="46" spans="1:15" x14ac:dyDescent="0.2">
      <c r="A46" s="2">
        <v>45198</v>
      </c>
      <c r="B46" s="3">
        <v>-5.6660573929548298E-2</v>
      </c>
      <c r="C46" s="3">
        <v>-4.8719289999999998E-2</v>
      </c>
      <c r="D46" s="4">
        <v>4.38</v>
      </c>
      <c r="E46" s="3">
        <f t="shared" si="3"/>
        <v>3.65E-3</v>
      </c>
      <c r="F46" s="5">
        <f t="shared" si="4"/>
        <v>-6.0310573929548299E-2</v>
      </c>
      <c r="G46" s="5">
        <f t="shared" si="5"/>
        <v>-5.2369289999999999E-2</v>
      </c>
      <c r="J46" s="13" t="s">
        <v>75</v>
      </c>
      <c r="K46" t="s">
        <v>76</v>
      </c>
      <c r="L46" s="66">
        <f>'KO WACC'!N41</f>
        <v>5.0541666666666672E-2</v>
      </c>
    </row>
    <row r="47" spans="1:15" x14ac:dyDescent="0.2">
      <c r="A47" s="2">
        <v>45230</v>
      </c>
      <c r="B47" s="3">
        <v>9.1104349121451395E-3</v>
      </c>
      <c r="C47" s="3">
        <v>-2.197969E-2</v>
      </c>
      <c r="D47" s="4">
        <v>4.8</v>
      </c>
      <c r="E47" s="3">
        <f t="shared" si="3"/>
        <v>4.0000000000000001E-3</v>
      </c>
      <c r="F47" s="5">
        <f t="shared" si="4"/>
        <v>5.1104349121451394E-3</v>
      </c>
      <c r="G47" s="5">
        <f t="shared" si="5"/>
        <v>-2.597969E-2</v>
      </c>
      <c r="J47" s="13" t="s">
        <v>77</v>
      </c>
      <c r="K47" t="s">
        <v>78</v>
      </c>
      <c r="L47" s="67">
        <v>325990</v>
      </c>
    </row>
    <row r="48" spans="1:15" x14ac:dyDescent="0.2">
      <c r="A48" s="2">
        <v>45260</v>
      </c>
      <c r="B48" s="3">
        <v>4.2662363499403E-2</v>
      </c>
      <c r="C48" s="3">
        <v>8.9179259999999996E-2</v>
      </c>
      <c r="D48" s="4">
        <v>4.5</v>
      </c>
      <c r="E48" s="3">
        <f t="shared" si="3"/>
        <v>3.7499999999999999E-3</v>
      </c>
      <c r="F48" s="5">
        <f t="shared" si="4"/>
        <v>3.8912363499402997E-2</v>
      </c>
      <c r="G48" s="5">
        <f t="shared" si="5"/>
        <v>8.5429259999999993E-2</v>
      </c>
      <c r="J48" s="13" t="s">
        <v>79</v>
      </c>
      <c r="K48" t="s">
        <v>80</v>
      </c>
      <c r="L48" s="67">
        <v>45492</v>
      </c>
    </row>
    <row r="49" spans="1:12" x14ac:dyDescent="0.2">
      <c r="A49" s="2">
        <v>45289</v>
      </c>
      <c r="B49" s="3">
        <v>8.3846971392631496E-3</v>
      </c>
      <c r="C49" s="3">
        <v>4.4229169999999998E-2</v>
      </c>
      <c r="D49" s="4">
        <v>4.0199999999999996</v>
      </c>
      <c r="E49" s="3">
        <f t="shared" si="3"/>
        <v>3.3499999999999997E-3</v>
      </c>
      <c r="F49" s="5">
        <f t="shared" si="4"/>
        <v>5.0346971392631499E-3</v>
      </c>
      <c r="G49" s="5">
        <f t="shared" si="5"/>
        <v>4.0879169999999999E-2</v>
      </c>
      <c r="J49" s="13" t="s">
        <v>81</v>
      </c>
      <c r="K49" t="s">
        <v>82</v>
      </c>
      <c r="L49" s="68">
        <v>0.21</v>
      </c>
    </row>
    <row r="50" spans="1:12" x14ac:dyDescent="0.2">
      <c r="A50" s="2">
        <v>45322</v>
      </c>
      <c r="B50" s="3">
        <v>9.5028234645724297E-3</v>
      </c>
      <c r="C50" s="3">
        <v>1.5895739999999998E-2</v>
      </c>
      <c r="D50" s="4">
        <v>4.0599999999999996</v>
      </c>
      <c r="E50" s="3">
        <f t="shared" si="3"/>
        <v>3.3833333333333332E-3</v>
      </c>
      <c r="F50" s="5">
        <f t="shared" si="4"/>
        <v>6.119490131239096E-3</v>
      </c>
      <c r="G50" s="5">
        <f t="shared" si="5"/>
        <v>1.2512406666666665E-2</v>
      </c>
      <c r="J50" s="75" t="s">
        <v>83</v>
      </c>
      <c r="K50" s="76" t="s">
        <v>84</v>
      </c>
      <c r="L50" s="77">
        <f>L45*(L47/(L47+L48))+L46*(1-L49)*(L48/(L47+L48))</f>
        <v>7.1682999200535141E-2</v>
      </c>
    </row>
    <row r="51" spans="1:12" x14ac:dyDescent="0.2">
      <c r="A51" s="2">
        <v>45351</v>
      </c>
      <c r="B51" s="3">
        <v>8.9090391993522592E-3</v>
      </c>
      <c r="C51" s="3">
        <v>5.1720620000000002E-2</v>
      </c>
      <c r="D51" s="4">
        <v>4.21</v>
      </c>
      <c r="E51" s="3">
        <f t="shared" si="3"/>
        <v>3.5083333333333334E-3</v>
      </c>
      <c r="F51" s="5">
        <f t="shared" si="4"/>
        <v>5.4007058660189254E-3</v>
      </c>
      <c r="G51" s="5">
        <f t="shared" si="5"/>
        <v>4.8212286666666666E-2</v>
      </c>
    </row>
    <row r="52" spans="1:12" x14ac:dyDescent="0.2">
      <c r="A52" s="2">
        <v>45379</v>
      </c>
      <c r="B52" s="3">
        <v>2.74075288325548E-2</v>
      </c>
      <c r="C52" s="3">
        <v>3.1018759999999999E-2</v>
      </c>
      <c r="D52" s="4">
        <v>4.21</v>
      </c>
      <c r="E52" s="3">
        <f t="shared" si="3"/>
        <v>3.5083333333333334E-3</v>
      </c>
      <c r="F52" s="5">
        <f t="shared" si="4"/>
        <v>2.3899195499221468E-2</v>
      </c>
      <c r="G52" s="5">
        <f t="shared" si="5"/>
        <v>2.7510426666666667E-2</v>
      </c>
    </row>
    <row r="53" spans="1:12" x14ac:dyDescent="0.2">
      <c r="A53" s="2">
        <v>45412</v>
      </c>
      <c r="B53" s="3">
        <v>9.6436766907572798E-3</v>
      </c>
      <c r="C53" s="3">
        <v>-4.1615039999999999E-2</v>
      </c>
      <c r="D53" s="4">
        <v>4.54</v>
      </c>
      <c r="E53" s="3">
        <f t="shared" si="3"/>
        <v>3.7833333333333334E-3</v>
      </c>
      <c r="F53" s="5">
        <f t="shared" si="4"/>
        <v>5.8603433574239468E-3</v>
      </c>
      <c r="G53" s="5">
        <f t="shared" si="5"/>
        <v>-4.5398373333333332E-2</v>
      </c>
    </row>
    <row r="54" spans="1:12" x14ac:dyDescent="0.2">
      <c r="A54" s="2">
        <v>45443</v>
      </c>
      <c r="B54" s="3">
        <v>1.87793392688036E-2</v>
      </c>
      <c r="C54" s="3">
        <v>4.8021220000000003E-2</v>
      </c>
      <c r="D54" s="4">
        <v>4.4800000000000004</v>
      </c>
      <c r="E54" s="3">
        <f t="shared" si="3"/>
        <v>3.7333333333333333E-3</v>
      </c>
      <c r="F54" s="5">
        <f t="shared" si="4"/>
        <v>1.5046005935470267E-2</v>
      </c>
      <c r="G54" s="5">
        <f t="shared" si="5"/>
        <v>4.4287886666666672E-2</v>
      </c>
    </row>
    <row r="55" spans="1:12" x14ac:dyDescent="0.2">
      <c r="A55" s="2">
        <v>45471</v>
      </c>
      <c r="B55" s="3">
        <v>1.9148278981447199E-2</v>
      </c>
      <c r="C55" s="3">
        <v>3.4669760000000001E-2</v>
      </c>
      <c r="D55" s="4">
        <v>4.3099999999999996</v>
      </c>
      <c r="E55" s="3">
        <f t="shared" si="3"/>
        <v>3.5916666666666662E-3</v>
      </c>
      <c r="F55" s="5">
        <f t="shared" si="4"/>
        <v>1.5556612314780532E-2</v>
      </c>
      <c r="G55" s="5">
        <f t="shared" si="5"/>
        <v>3.1078093333333334E-2</v>
      </c>
    </row>
    <row r="56" spans="1:12" x14ac:dyDescent="0.2">
      <c r="A56" s="2">
        <v>45504</v>
      </c>
      <c r="B56" s="3">
        <v>4.8546683043241501E-2</v>
      </c>
      <c r="C56" s="3">
        <v>1.1321350000000001E-2</v>
      </c>
      <c r="D56" s="4">
        <v>4.25</v>
      </c>
      <c r="E56" s="3">
        <f t="shared" si="3"/>
        <v>3.5416666666666669E-3</v>
      </c>
      <c r="F56" s="5">
        <f t="shared" si="4"/>
        <v>4.5005016376574836E-2</v>
      </c>
      <c r="G56" s="5">
        <f t="shared" si="5"/>
        <v>7.7796833333333339E-3</v>
      </c>
    </row>
    <row r="57" spans="1:12" x14ac:dyDescent="0.2">
      <c r="A57" s="2">
        <v>45534</v>
      </c>
      <c r="B57" s="3">
        <v>8.5855610668659196E-2</v>
      </c>
      <c r="C57" s="3">
        <v>2.2834690000000001E-2</v>
      </c>
      <c r="D57" s="4">
        <v>3.87</v>
      </c>
      <c r="E57" s="3">
        <f t="shared" si="3"/>
        <v>3.225E-3</v>
      </c>
      <c r="F57" s="5">
        <f t="shared" si="4"/>
        <v>8.2630610668659191E-2</v>
      </c>
      <c r="G57" s="5">
        <f t="shared" si="5"/>
        <v>1.9609690000000003E-2</v>
      </c>
    </row>
    <row r="58" spans="1:12" x14ac:dyDescent="0.2">
      <c r="A58" s="2">
        <v>45565</v>
      </c>
      <c r="B58" s="3">
        <v>-1.7248598160222201E-3</v>
      </c>
      <c r="C58" s="3">
        <v>2.0196869999999999E-2</v>
      </c>
      <c r="D58" s="4">
        <v>3.72</v>
      </c>
      <c r="E58" s="3">
        <f t="shared" si="3"/>
        <v>3.0999999999999999E-3</v>
      </c>
      <c r="F58" s="5">
        <f t="shared" si="4"/>
        <v>-4.8248598160222202E-3</v>
      </c>
      <c r="G58" s="5">
        <f t="shared" si="5"/>
        <v>1.709687E-2</v>
      </c>
    </row>
    <row r="59" spans="1:12" x14ac:dyDescent="0.2">
      <c r="A59" s="2">
        <v>45596</v>
      </c>
      <c r="B59" s="3">
        <v>-9.1149501502513899E-2</v>
      </c>
      <c r="C59" s="3">
        <v>-9.8967800000000009E-3</v>
      </c>
      <c r="D59" s="4">
        <v>4.0999999999999996</v>
      </c>
      <c r="E59" s="3">
        <f t="shared" si="3"/>
        <v>3.4166666666666664E-3</v>
      </c>
      <c r="F59" s="5">
        <f t="shared" si="4"/>
        <v>-9.4566168169180564E-2</v>
      </c>
      <c r="G59" s="5">
        <f t="shared" si="5"/>
        <v>-1.3313446666666668E-2</v>
      </c>
    </row>
    <row r="60" spans="1:12" x14ac:dyDescent="0.2">
      <c r="A60" s="2">
        <v>45625</v>
      </c>
      <c r="B60" s="3">
        <v>-1.1407069861888899E-2</v>
      </c>
      <c r="C60" s="3">
        <v>5.7301350000000001E-2</v>
      </c>
      <c r="D60" s="4">
        <v>4.3600000000000003</v>
      </c>
      <c r="E60" s="3">
        <f t="shared" si="3"/>
        <v>3.6333333333333335E-3</v>
      </c>
      <c r="F60" s="5">
        <f t="shared" si="4"/>
        <v>-1.5040403195222233E-2</v>
      </c>
      <c r="G60" s="5">
        <f t="shared" si="5"/>
        <v>5.3668016666666665E-2</v>
      </c>
    </row>
    <row r="61" spans="1:12" x14ac:dyDescent="0.2">
      <c r="A61" s="2">
        <v>45657</v>
      </c>
      <c r="B61" s="3">
        <v>-2.8402050957083699E-2</v>
      </c>
      <c r="C61" s="3">
        <v>-2.4990140000000001E-2</v>
      </c>
      <c r="D61" s="4">
        <v>4.3899999999999997</v>
      </c>
      <c r="E61" s="3">
        <f t="shared" si="3"/>
        <v>3.6583333333333329E-3</v>
      </c>
      <c r="F61" s="5">
        <f t="shared" si="4"/>
        <v>-3.2060384290417035E-2</v>
      </c>
      <c r="G61" s="5">
        <f t="shared" si="5"/>
        <v>-2.8648473333333334E-2</v>
      </c>
    </row>
    <row r="62" spans="1:12" x14ac:dyDescent="0.2">
      <c r="D62" s="4"/>
    </row>
    <row r="63" spans="1:12" x14ac:dyDescent="0.2">
      <c r="D63" s="4"/>
    </row>
    <row r="64" spans="1:12" x14ac:dyDescent="0.2">
      <c r="D64" s="4"/>
    </row>
    <row r="65" spans="1:6" x14ac:dyDescent="0.2">
      <c r="D65" s="4"/>
    </row>
    <row r="66" spans="1:6" x14ac:dyDescent="0.2">
      <c r="A66" t="s">
        <v>85</v>
      </c>
    </row>
    <row r="67" spans="1:6" ht="15.75" customHeight="1" x14ac:dyDescent="0.2"/>
    <row r="68" spans="1:6" x14ac:dyDescent="0.2">
      <c r="A68" s="95" t="s">
        <v>86</v>
      </c>
      <c r="B68" s="95"/>
    </row>
    <row r="69" spans="1:6" x14ac:dyDescent="0.2">
      <c r="A69" t="s">
        <v>87</v>
      </c>
      <c r="B69">
        <v>0.59162678506976996</v>
      </c>
    </row>
    <row r="70" spans="1:6" x14ac:dyDescent="0.2">
      <c r="A70" t="s">
        <v>88</v>
      </c>
      <c r="B70">
        <v>0.35002225281199201</v>
      </c>
    </row>
    <row r="71" spans="1:6" x14ac:dyDescent="0.2">
      <c r="A71" t="s">
        <v>89</v>
      </c>
      <c r="B71">
        <v>0.33881573992943997</v>
      </c>
    </row>
    <row r="72" spans="1:6" x14ac:dyDescent="0.2">
      <c r="A72" t="s">
        <v>90</v>
      </c>
      <c r="B72">
        <v>4.4003691678080298E-2</v>
      </c>
    </row>
    <row r="73" spans="1:6" ht="15.75" customHeight="1" x14ac:dyDescent="0.2">
      <c r="A73" s="8" t="s">
        <v>91</v>
      </c>
      <c r="B73" s="8">
        <v>60</v>
      </c>
    </row>
    <row r="75" spans="1:6" ht="15.75" customHeight="1" x14ac:dyDescent="0.2">
      <c r="A75" t="s">
        <v>92</v>
      </c>
    </row>
    <row r="76" spans="1:6" x14ac:dyDescent="0.2">
      <c r="A76" s="1"/>
      <c r="B76" s="1" t="s">
        <v>93</v>
      </c>
      <c r="C76" s="1" t="s">
        <v>94</v>
      </c>
      <c r="D76" s="1" t="s">
        <v>95</v>
      </c>
      <c r="E76" s="1" t="s">
        <v>96</v>
      </c>
      <c r="F76" s="1" t="s">
        <v>97</v>
      </c>
    </row>
    <row r="77" spans="1:6" x14ac:dyDescent="0.2">
      <c r="A77" t="s">
        <v>98</v>
      </c>
      <c r="B77">
        <v>1</v>
      </c>
      <c r="C77">
        <v>6.0478830857690201E-2</v>
      </c>
      <c r="D77">
        <v>6.0478830857690201E-2</v>
      </c>
      <c r="E77">
        <v>31.2338241592497</v>
      </c>
      <c r="F77">
        <v>6.4239463599248195E-7</v>
      </c>
    </row>
    <row r="78" spans="1:6" x14ac:dyDescent="0.2">
      <c r="A78" t="s">
        <v>99</v>
      </c>
      <c r="B78">
        <v>58</v>
      </c>
      <c r="C78">
        <v>0.11230684311537401</v>
      </c>
      <c r="D78">
        <v>1.9363248812995499E-3</v>
      </c>
    </row>
    <row r="79" spans="1:6" ht="15.75" customHeight="1" x14ac:dyDescent="0.2">
      <c r="A79" s="8" t="s">
        <v>100</v>
      </c>
      <c r="B79" s="8">
        <v>59</v>
      </c>
      <c r="C79" s="8">
        <v>0.17278567397306399</v>
      </c>
      <c r="D79" s="8"/>
      <c r="E79" s="8"/>
      <c r="F79" s="8"/>
    </row>
    <row r="80" spans="1:6" ht="15.75" customHeight="1" x14ac:dyDescent="0.2"/>
    <row r="81" spans="1:9" x14ac:dyDescent="0.2">
      <c r="A81" s="1"/>
      <c r="B81" s="1" t="s">
        <v>101</v>
      </c>
      <c r="C81" s="1" t="s">
        <v>90</v>
      </c>
      <c r="D81" s="1" t="s">
        <v>102</v>
      </c>
      <c r="E81" s="1" t="s">
        <v>103</v>
      </c>
      <c r="F81" s="1" t="s">
        <v>104</v>
      </c>
      <c r="G81" s="1" t="s">
        <v>105</v>
      </c>
      <c r="H81" s="1" t="s">
        <v>106</v>
      </c>
      <c r="I81" s="1" t="s">
        <v>107</v>
      </c>
    </row>
    <row r="82" spans="1:9" x14ac:dyDescent="0.2">
      <c r="A82" t="s">
        <v>108</v>
      </c>
      <c r="B82">
        <v>-1.78396714537546E-3</v>
      </c>
      <c r="C82">
        <v>5.7678670291113404E-3</v>
      </c>
      <c r="D82">
        <v>-0.309294083301764</v>
      </c>
      <c r="E82">
        <v>0.75820624006802595</v>
      </c>
      <c r="F82">
        <v>-1.33296074237725E-2</v>
      </c>
      <c r="G82">
        <v>9.7616731330215402E-3</v>
      </c>
      <c r="H82">
        <v>-1.33296074237725E-2</v>
      </c>
      <c r="I82">
        <v>9.7616731330215402E-3</v>
      </c>
    </row>
    <row r="83" spans="1:9" ht="15.75" customHeight="1" x14ac:dyDescent="0.2">
      <c r="A83" s="9" t="s">
        <v>25</v>
      </c>
      <c r="B83" s="9">
        <v>0.60935327765286695</v>
      </c>
      <c r="C83" s="8">
        <v>0.109032650860969</v>
      </c>
      <c r="D83" s="8">
        <v>5.5887229452934699</v>
      </c>
      <c r="E83" s="10">
        <v>6.4239463599246501E-7</v>
      </c>
      <c r="F83" s="8">
        <v>0.391100714081763</v>
      </c>
      <c r="G83" s="8">
        <v>0.82760584122397096</v>
      </c>
      <c r="H83" s="8">
        <v>0.391100714081763</v>
      </c>
      <c r="I83" s="8">
        <v>0.82760584122397096</v>
      </c>
    </row>
    <row r="86" spans="1:9" x14ac:dyDescent="0.2">
      <c r="D86" s="4"/>
    </row>
    <row r="87" spans="1:9" x14ac:dyDescent="0.2">
      <c r="D87" s="4"/>
    </row>
    <row r="88" spans="1:9" x14ac:dyDescent="0.2">
      <c r="D88" s="4"/>
    </row>
    <row r="89" spans="1:9" x14ac:dyDescent="0.2">
      <c r="D89" s="4"/>
    </row>
    <row r="90" spans="1:9" x14ac:dyDescent="0.2">
      <c r="D90" s="4"/>
    </row>
    <row r="91" spans="1:9" x14ac:dyDescent="0.2">
      <c r="D91" s="4"/>
    </row>
    <row r="92" spans="1:9" x14ac:dyDescent="0.2">
      <c r="D92" s="4"/>
    </row>
    <row r="93" spans="1:9" x14ac:dyDescent="0.2">
      <c r="D93" s="4"/>
    </row>
    <row r="94" spans="1:9" x14ac:dyDescent="0.2">
      <c r="D94" s="4"/>
    </row>
    <row r="95" spans="1:9" x14ac:dyDescent="0.2">
      <c r="D95" s="4"/>
    </row>
    <row r="96" spans="1:9" x14ac:dyDescent="0.2">
      <c r="D96" s="4"/>
    </row>
    <row r="97" spans="4:4" x14ac:dyDescent="0.2">
      <c r="D97" s="4"/>
    </row>
  </sheetData>
  <mergeCells count="1">
    <mergeCell ref="A68:B6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7"/>
  <sheetViews>
    <sheetView showGridLines="0" zoomScaleNormal="100" workbookViewId="0">
      <selection activeCell="J41" sqref="J41"/>
    </sheetView>
  </sheetViews>
  <sheetFormatPr baseColWidth="10" defaultColWidth="10.6640625" defaultRowHeight="15" x14ac:dyDescent="0.2"/>
  <cols>
    <col min="1" max="3" width="14.83203125" customWidth="1"/>
    <col min="4" max="4" width="22.1640625" bestFit="1" customWidth="1"/>
    <col min="5" max="7" width="14.83203125" customWidth="1"/>
    <col min="8" max="8" width="8.83203125"/>
    <col min="9" max="9" width="8.83203125" customWidth="1"/>
    <col min="10" max="10" width="34.6640625" bestFit="1" customWidth="1"/>
    <col min="11" max="11" width="31.1640625" customWidth="1"/>
    <col min="12" max="12" width="10.5" bestFit="1" customWidth="1"/>
    <col min="13" max="13" width="14.83203125" bestFit="1" customWidth="1"/>
    <col min="14" max="14" width="7.33203125" bestFit="1" customWidth="1"/>
    <col min="15" max="15" width="10.5" bestFit="1" customWidth="1"/>
  </cols>
  <sheetData>
    <row r="1" spans="1:15" ht="35" customHeight="1" x14ac:dyDescent="0.2">
      <c r="A1" s="61" t="s">
        <v>20</v>
      </c>
      <c r="B1" s="61" t="s">
        <v>109</v>
      </c>
      <c r="C1" s="61" t="s">
        <v>22</v>
      </c>
      <c r="D1" s="60" t="s">
        <v>23</v>
      </c>
      <c r="E1" s="61" t="s">
        <v>24</v>
      </c>
      <c r="F1" s="61" t="s">
        <v>202</v>
      </c>
      <c r="G1" s="61" t="s">
        <v>25</v>
      </c>
      <c r="J1" s="69" t="s">
        <v>26</v>
      </c>
      <c r="K1" s="70"/>
      <c r="L1" s="71"/>
    </row>
    <row r="2" spans="1:15" ht="15.75" customHeight="1" x14ac:dyDescent="0.2">
      <c r="A2" s="2">
        <v>43861</v>
      </c>
      <c r="B2" s="3">
        <v>3.9145432412624401E-2</v>
      </c>
      <c r="C2" s="3">
        <v>-1.62809E-3</v>
      </c>
      <c r="D2" s="4">
        <v>1.76</v>
      </c>
      <c r="E2" s="3">
        <f t="shared" ref="E2:E33" si="0">(D2/12)/100</f>
        <v>1.4666666666666667E-3</v>
      </c>
      <c r="F2" s="5">
        <f t="shared" ref="F2:F33" si="1">B2-E2</f>
        <v>3.7678765745957736E-2</v>
      </c>
      <c r="G2" s="5">
        <f t="shared" ref="G2:G33" si="2">C2-E2</f>
        <v>-3.0947566666666669E-3</v>
      </c>
      <c r="J2" s="62" t="s">
        <v>27</v>
      </c>
      <c r="K2" s="6" t="s">
        <v>110</v>
      </c>
      <c r="L2" s="63">
        <f>B83</f>
        <v>0.53990316266984695</v>
      </c>
    </row>
    <row r="3" spans="1:15" x14ac:dyDescent="0.2">
      <c r="A3" s="2">
        <v>43889</v>
      </c>
      <c r="B3" s="3">
        <v>-7.0342242717742906E-2</v>
      </c>
      <c r="C3" s="3">
        <v>-8.4110470000000007E-2</v>
      </c>
      <c r="D3" s="4">
        <v>1.5</v>
      </c>
      <c r="E3" s="3">
        <f t="shared" si="0"/>
        <v>1.25E-3</v>
      </c>
      <c r="F3" s="5">
        <f t="shared" si="1"/>
        <v>-7.1592242717742907E-2</v>
      </c>
      <c r="G3" s="5">
        <f t="shared" si="2"/>
        <v>-8.5360470000000008E-2</v>
      </c>
      <c r="J3" s="13" t="s">
        <v>28</v>
      </c>
      <c r="K3" t="s">
        <v>29</v>
      </c>
      <c r="L3" s="64">
        <v>4.2599999999999999E-2</v>
      </c>
    </row>
    <row r="4" spans="1:15" x14ac:dyDescent="0.2">
      <c r="A4" s="2">
        <v>43921</v>
      </c>
      <c r="B4" s="3">
        <v>-8.3125047385692596E-2</v>
      </c>
      <c r="C4" s="3">
        <v>-0.12511929999999999</v>
      </c>
      <c r="D4" s="4">
        <v>0.87</v>
      </c>
      <c r="E4" s="3">
        <f t="shared" si="0"/>
        <v>7.2499999999999995E-4</v>
      </c>
      <c r="F4" s="5">
        <f t="shared" si="1"/>
        <v>-8.38500473856926E-2</v>
      </c>
      <c r="G4" s="5">
        <f t="shared" si="2"/>
        <v>-0.12584429999999999</v>
      </c>
      <c r="J4" s="13" t="s">
        <v>30</v>
      </c>
      <c r="K4" t="s">
        <v>111</v>
      </c>
      <c r="L4" s="64">
        <v>5.5E-2</v>
      </c>
    </row>
    <row r="5" spans="1:15" x14ac:dyDescent="0.2">
      <c r="A5" s="2">
        <v>43951</v>
      </c>
      <c r="B5" s="3">
        <v>0.101498708128929</v>
      </c>
      <c r="C5" s="3">
        <v>0.12684409999999999</v>
      </c>
      <c r="D5" s="4">
        <v>0.66</v>
      </c>
      <c r="E5" s="3">
        <f t="shared" si="0"/>
        <v>5.5000000000000003E-4</v>
      </c>
      <c r="F5" s="5">
        <f t="shared" si="1"/>
        <v>0.100948708128929</v>
      </c>
      <c r="G5" s="5">
        <f t="shared" si="2"/>
        <v>0.12629409999999999</v>
      </c>
      <c r="J5" s="75" t="s">
        <v>32</v>
      </c>
      <c r="K5" s="76" t="s">
        <v>33</v>
      </c>
      <c r="L5" s="77">
        <f>L3+L2*L4</f>
        <v>7.2294673946841581E-2</v>
      </c>
    </row>
    <row r="6" spans="1:15" x14ac:dyDescent="0.2">
      <c r="A6" s="2">
        <v>43980</v>
      </c>
      <c r="B6" s="3">
        <v>-5.5936975404620197E-3</v>
      </c>
      <c r="C6" s="3">
        <v>4.5281780000000001E-2</v>
      </c>
      <c r="D6" s="4">
        <v>0.67</v>
      </c>
      <c r="E6" s="3">
        <f t="shared" si="0"/>
        <v>5.5833333333333342E-4</v>
      </c>
      <c r="F6" s="5">
        <f t="shared" si="1"/>
        <v>-6.1520308737953531E-3</v>
      </c>
      <c r="G6" s="5">
        <f t="shared" si="2"/>
        <v>4.4723446666666666E-2</v>
      </c>
    </row>
    <row r="7" spans="1:15" x14ac:dyDescent="0.2">
      <c r="A7" s="2">
        <v>44012</v>
      </c>
      <c r="B7" s="3">
        <v>1.3169832527637501E-2</v>
      </c>
      <c r="C7" s="3">
        <v>1.8388399999999999E-2</v>
      </c>
      <c r="D7" s="4">
        <v>0.73</v>
      </c>
      <c r="E7" s="3">
        <f t="shared" si="0"/>
        <v>6.0833333333333334E-4</v>
      </c>
      <c r="F7" s="5">
        <f t="shared" si="1"/>
        <v>1.2561499194304167E-2</v>
      </c>
      <c r="G7" s="5">
        <f t="shared" si="2"/>
        <v>1.7780066666666667E-2</v>
      </c>
    </row>
    <row r="8" spans="1:15" x14ac:dyDescent="0.2">
      <c r="A8" s="2">
        <v>44043</v>
      </c>
      <c r="B8" s="3">
        <v>4.0828742086887401E-2</v>
      </c>
      <c r="C8" s="3">
        <v>5.5101299999999999E-2</v>
      </c>
      <c r="D8" s="4">
        <v>0.62</v>
      </c>
      <c r="E8" s="3">
        <f t="shared" si="0"/>
        <v>5.1666666666666668E-4</v>
      </c>
      <c r="F8" s="5">
        <f t="shared" si="1"/>
        <v>4.0312075420220736E-2</v>
      </c>
      <c r="G8" s="5">
        <f t="shared" si="2"/>
        <v>5.4584633333333334E-2</v>
      </c>
      <c r="J8" s="79" t="s">
        <v>112</v>
      </c>
      <c r="K8" s="80"/>
      <c r="L8" s="80"/>
      <c r="M8" s="80"/>
      <c r="N8" s="80"/>
      <c r="O8" s="81"/>
    </row>
    <row r="9" spans="1:15" x14ac:dyDescent="0.2">
      <c r="A9" s="2">
        <v>44074</v>
      </c>
      <c r="B9" s="3">
        <v>1.74342133104801E-2</v>
      </c>
      <c r="C9" s="3">
        <v>7.0064689999999999E-2</v>
      </c>
      <c r="D9" s="4">
        <v>0.65</v>
      </c>
      <c r="E9" s="3">
        <f t="shared" si="0"/>
        <v>5.4166666666666664E-4</v>
      </c>
      <c r="F9" s="5">
        <f t="shared" si="1"/>
        <v>1.6892546643813434E-2</v>
      </c>
      <c r="G9" s="5">
        <f t="shared" si="2"/>
        <v>6.9523023333333336E-2</v>
      </c>
      <c r="J9" s="82" t="s">
        <v>42</v>
      </c>
      <c r="K9" s="78" t="s">
        <v>43</v>
      </c>
      <c r="L9" s="78" t="s">
        <v>44</v>
      </c>
      <c r="M9" s="78" t="s">
        <v>45</v>
      </c>
      <c r="N9" s="78" t="s">
        <v>46</v>
      </c>
      <c r="O9" s="83" t="s">
        <v>113</v>
      </c>
    </row>
    <row r="10" spans="1:15" x14ac:dyDescent="0.2">
      <c r="A10" s="2">
        <v>44104</v>
      </c>
      <c r="B10" s="3">
        <v>-3.1236000359058402E-3</v>
      </c>
      <c r="C10" s="3">
        <v>-3.9227959999999999E-2</v>
      </c>
      <c r="D10" s="4">
        <v>0.68</v>
      </c>
      <c r="E10" s="3">
        <f t="shared" si="0"/>
        <v>5.6666666666666671E-4</v>
      </c>
      <c r="F10" s="5">
        <f t="shared" si="1"/>
        <v>-3.6902667025725069E-3</v>
      </c>
      <c r="G10" s="5">
        <f t="shared" si="2"/>
        <v>-3.9794626666666666E-2</v>
      </c>
      <c r="J10" s="13" t="s">
        <v>114</v>
      </c>
      <c r="K10" s="84">
        <v>3.3750000000000002E-2</v>
      </c>
      <c r="L10" s="85">
        <v>54633</v>
      </c>
      <c r="M10" s="86">
        <v>23.3</v>
      </c>
      <c r="N10" s="5">
        <v>5.6099999999999997E-2</v>
      </c>
      <c r="O10" s="14" t="s">
        <v>115</v>
      </c>
    </row>
    <row r="11" spans="1:15" x14ac:dyDescent="0.2">
      <c r="A11" s="2">
        <v>44134</v>
      </c>
      <c r="B11" s="3">
        <v>-3.8311779499053997E-2</v>
      </c>
      <c r="C11" s="3">
        <v>-2.7665780000000001E-2</v>
      </c>
      <c r="D11" s="4">
        <v>0.79</v>
      </c>
      <c r="E11" s="3">
        <f t="shared" si="0"/>
        <v>6.5833333333333336E-4</v>
      </c>
      <c r="F11" s="5">
        <f t="shared" si="1"/>
        <v>-3.8970112832387327E-2</v>
      </c>
      <c r="G11" s="5">
        <f t="shared" si="2"/>
        <v>-2.8324113333333335E-2</v>
      </c>
      <c r="J11" s="13" t="s">
        <v>116</v>
      </c>
      <c r="K11" s="84">
        <v>4.65E-2</v>
      </c>
      <c r="L11" s="2">
        <v>55930</v>
      </c>
      <c r="M11">
        <v>26.8</v>
      </c>
      <c r="N11" s="5">
        <v>5.5899999999999998E-2</v>
      </c>
      <c r="O11" s="14" t="s">
        <v>117</v>
      </c>
    </row>
    <row r="12" spans="1:15" x14ac:dyDescent="0.2">
      <c r="A12" s="2">
        <v>44165</v>
      </c>
      <c r="B12" s="3">
        <v>8.2076698541641194E-2</v>
      </c>
      <c r="C12" s="3">
        <v>0.10754569999999999</v>
      </c>
      <c r="D12" s="4">
        <v>0.87</v>
      </c>
      <c r="E12" s="3">
        <f t="shared" si="0"/>
        <v>7.2499999999999995E-4</v>
      </c>
      <c r="F12" s="5">
        <f t="shared" si="1"/>
        <v>8.135169854164119E-2</v>
      </c>
      <c r="G12" s="5">
        <f t="shared" si="2"/>
        <v>0.10682069999999999</v>
      </c>
      <c r="J12" s="13" t="s">
        <v>118</v>
      </c>
      <c r="K12" s="84">
        <v>4.2000000000000003E-2</v>
      </c>
      <c r="L12" s="2">
        <v>55718</v>
      </c>
      <c r="M12">
        <v>26.3</v>
      </c>
      <c r="N12" s="5">
        <v>5.5899999999999998E-2</v>
      </c>
      <c r="O12" s="14" t="s">
        <v>117</v>
      </c>
    </row>
    <row r="13" spans="1:15" x14ac:dyDescent="0.2">
      <c r="A13" s="2">
        <v>44196</v>
      </c>
      <c r="B13" s="3">
        <v>3.5308241844177302E-2</v>
      </c>
      <c r="C13" s="3">
        <v>3.7121410000000001E-2</v>
      </c>
      <c r="D13" s="4">
        <v>0.93</v>
      </c>
      <c r="E13" s="3">
        <f t="shared" si="0"/>
        <v>7.7499999999999997E-4</v>
      </c>
      <c r="F13" s="5">
        <f t="shared" si="1"/>
        <v>3.4533241844177304E-2</v>
      </c>
      <c r="G13" s="5">
        <f t="shared" si="2"/>
        <v>3.6346410000000003E-2</v>
      </c>
      <c r="J13" s="13" t="s">
        <v>119</v>
      </c>
      <c r="K13" s="84">
        <v>2.75E-2</v>
      </c>
      <c r="L13" s="2">
        <v>55447</v>
      </c>
      <c r="M13">
        <v>25.5</v>
      </c>
      <c r="N13" s="5">
        <v>5.5899999999999998E-2</v>
      </c>
      <c r="O13" s="14" t="s">
        <v>120</v>
      </c>
    </row>
    <row r="14" spans="1:15" x14ac:dyDescent="0.2">
      <c r="A14" s="2">
        <v>44225</v>
      </c>
      <c r="B14" s="3">
        <v>-7.9096399247646304E-2</v>
      </c>
      <c r="C14" s="3">
        <v>-1.113664E-2</v>
      </c>
      <c r="D14" s="4">
        <v>1.08</v>
      </c>
      <c r="E14" s="3">
        <f t="shared" si="0"/>
        <v>9.0000000000000008E-4</v>
      </c>
      <c r="F14" s="5">
        <f t="shared" si="1"/>
        <v>-7.9996399247646302E-2</v>
      </c>
      <c r="G14" s="5">
        <f t="shared" si="2"/>
        <v>-1.2036639999999999E-2</v>
      </c>
      <c r="J14" s="13" t="s">
        <v>121</v>
      </c>
      <c r="K14" s="84">
        <v>2.8750000000000001E-2</v>
      </c>
      <c r="L14" s="2">
        <v>54711</v>
      </c>
      <c r="M14">
        <v>23.5</v>
      </c>
      <c r="N14" s="5">
        <v>5.57E-2</v>
      </c>
      <c r="O14" s="14" t="s">
        <v>120</v>
      </c>
    </row>
    <row r="15" spans="1:15" x14ac:dyDescent="0.2">
      <c r="A15" s="2">
        <v>44253</v>
      </c>
      <c r="B15" s="3">
        <v>-5.4038256406784099E-2</v>
      </c>
      <c r="C15" s="3">
        <v>2.609148E-2</v>
      </c>
      <c r="D15" s="4">
        <v>1.26</v>
      </c>
      <c r="E15" s="3">
        <f t="shared" si="0"/>
        <v>1.0499999999999999E-3</v>
      </c>
      <c r="F15" s="5">
        <f t="shared" si="1"/>
        <v>-5.5088256406784102E-2</v>
      </c>
      <c r="G15" s="5">
        <f t="shared" si="2"/>
        <v>2.5041480000000001E-2</v>
      </c>
      <c r="J15" s="13" t="s">
        <v>122</v>
      </c>
      <c r="K15" s="84">
        <v>3.6249999999999998E-2</v>
      </c>
      <c r="L15" s="2">
        <v>54866</v>
      </c>
      <c r="M15">
        <v>23.9</v>
      </c>
      <c r="N15" s="5">
        <v>5.57E-2</v>
      </c>
      <c r="O15" s="14" t="s">
        <v>123</v>
      </c>
    </row>
    <row r="16" spans="1:15" x14ac:dyDescent="0.2">
      <c r="A16" s="2">
        <v>44286</v>
      </c>
      <c r="B16" s="3">
        <v>0.102813638746738</v>
      </c>
      <c r="C16" s="3">
        <v>4.2438629999999998E-2</v>
      </c>
      <c r="D16" s="4">
        <v>1.61</v>
      </c>
      <c r="E16" s="3">
        <f t="shared" si="0"/>
        <v>1.3416666666666668E-3</v>
      </c>
      <c r="F16" s="5">
        <f t="shared" si="1"/>
        <v>0.10147197208007133</v>
      </c>
      <c r="G16" s="5">
        <f t="shared" si="2"/>
        <v>4.1096963333333333E-2</v>
      </c>
      <c r="J16" s="13" t="s">
        <v>124</v>
      </c>
      <c r="K16" s="84">
        <v>4.5999999999999999E-2</v>
      </c>
      <c r="L16" s="2">
        <v>53160</v>
      </c>
      <c r="M16">
        <v>19.2</v>
      </c>
      <c r="N16" s="5">
        <v>5.57E-2</v>
      </c>
      <c r="O16" s="14" t="s">
        <v>125</v>
      </c>
    </row>
    <row r="17" spans="1:15" x14ac:dyDescent="0.2">
      <c r="A17" s="2">
        <v>44316</v>
      </c>
      <c r="B17" s="3">
        <v>1.9158761948347099E-2</v>
      </c>
      <c r="C17" s="3">
        <v>5.2425310000000003E-2</v>
      </c>
      <c r="D17" s="4">
        <v>1.64</v>
      </c>
      <c r="E17" s="3">
        <f t="shared" si="0"/>
        <v>1.3666666666666666E-3</v>
      </c>
      <c r="F17" s="5">
        <f t="shared" si="1"/>
        <v>1.7792095281680433E-2</v>
      </c>
      <c r="G17" s="5">
        <f t="shared" si="2"/>
        <v>5.1058643333333334E-2</v>
      </c>
      <c r="J17" s="13" t="s">
        <v>126</v>
      </c>
      <c r="K17" s="84">
        <v>0.04</v>
      </c>
      <c r="L17" s="2">
        <v>53814</v>
      </c>
      <c r="M17">
        <v>21</v>
      </c>
      <c r="N17" s="5">
        <v>5.5599999999999997E-2</v>
      </c>
      <c r="O17" s="14" t="s">
        <v>127</v>
      </c>
    </row>
    <row r="18" spans="1:15" x14ac:dyDescent="0.2">
      <c r="A18" s="2">
        <v>44344</v>
      </c>
      <c r="B18" s="3">
        <v>2.6220856234431301E-2</v>
      </c>
      <c r="C18" s="3">
        <v>5.4865030000000002E-3</v>
      </c>
      <c r="D18" s="4">
        <v>1.62</v>
      </c>
      <c r="E18" s="3">
        <f t="shared" si="0"/>
        <v>1.3500000000000001E-3</v>
      </c>
      <c r="F18" s="5">
        <f t="shared" si="1"/>
        <v>2.4870856234431301E-2</v>
      </c>
      <c r="G18" s="5">
        <f t="shared" si="2"/>
        <v>4.1365029999999997E-3</v>
      </c>
      <c r="J18" s="13" t="s">
        <v>128</v>
      </c>
      <c r="K18" s="84">
        <v>3.4500000000000003E-2</v>
      </c>
      <c r="L18" s="2">
        <v>53606</v>
      </c>
      <c r="M18">
        <v>20.5</v>
      </c>
      <c r="N18" s="5">
        <v>5.5599999999999997E-2</v>
      </c>
      <c r="O18" s="14" t="s">
        <v>129</v>
      </c>
    </row>
    <row r="19" spans="1:15" x14ac:dyDescent="0.2">
      <c r="A19" s="2">
        <v>44377</v>
      </c>
      <c r="B19" s="3">
        <v>8.8211148977279698E-3</v>
      </c>
      <c r="C19" s="3">
        <v>2.2213980000000001E-2</v>
      </c>
      <c r="D19" s="4">
        <v>1.52</v>
      </c>
      <c r="E19" s="3">
        <f t="shared" si="0"/>
        <v>1.2666666666666668E-3</v>
      </c>
      <c r="F19" s="5">
        <f t="shared" si="1"/>
        <v>7.554448231061303E-3</v>
      </c>
      <c r="G19" s="5">
        <f t="shared" si="2"/>
        <v>2.0947313333333335E-2</v>
      </c>
      <c r="J19" s="13" t="s">
        <v>130</v>
      </c>
      <c r="K19" s="84">
        <v>5.2499999999999998E-2</v>
      </c>
      <c r="L19" s="2">
        <v>56447</v>
      </c>
      <c r="M19">
        <v>28.2</v>
      </c>
      <c r="N19" s="5">
        <v>5.5399999999999998E-2</v>
      </c>
      <c r="O19" s="14" t="s">
        <v>131</v>
      </c>
    </row>
    <row r="20" spans="1:15" x14ac:dyDescent="0.2">
      <c r="A20" s="2">
        <v>44407</v>
      </c>
      <c r="B20" s="3">
        <v>5.9256251901388203E-2</v>
      </c>
      <c r="C20" s="3">
        <v>2.2748109999999998E-2</v>
      </c>
      <c r="D20" s="4">
        <v>1.32</v>
      </c>
      <c r="E20" s="3">
        <f t="shared" si="0"/>
        <v>1.1000000000000001E-3</v>
      </c>
      <c r="F20" s="5">
        <f t="shared" si="1"/>
        <v>5.8156251901388206E-2</v>
      </c>
      <c r="G20" s="5">
        <f t="shared" si="2"/>
        <v>2.1648109999999998E-2</v>
      </c>
      <c r="J20" s="13" t="s">
        <v>132</v>
      </c>
      <c r="K20" s="84">
        <v>4.4499999999999998E-2</v>
      </c>
      <c r="L20" s="2">
        <v>53431</v>
      </c>
      <c r="M20">
        <v>20</v>
      </c>
      <c r="N20" s="5">
        <v>5.5300000000000002E-2</v>
      </c>
      <c r="O20" s="14" t="s">
        <v>133</v>
      </c>
    </row>
    <row r="21" spans="1:15" x14ac:dyDescent="0.2">
      <c r="A21" s="2">
        <v>44439</v>
      </c>
      <c r="B21" s="3">
        <v>-3.5679996944963902E-3</v>
      </c>
      <c r="C21" s="3">
        <v>2.899032E-2</v>
      </c>
      <c r="D21" s="4">
        <v>1.28</v>
      </c>
      <c r="E21" s="3">
        <f t="shared" si="0"/>
        <v>1.0666666666666667E-3</v>
      </c>
      <c r="F21" s="5">
        <f t="shared" si="1"/>
        <v>-4.6346663611630569E-3</v>
      </c>
      <c r="G21" s="5">
        <f t="shared" si="2"/>
        <v>2.7923653333333333E-2</v>
      </c>
      <c r="J21" s="13" t="s">
        <v>134</v>
      </c>
      <c r="K21" s="84">
        <v>0.04</v>
      </c>
      <c r="L21" s="2">
        <v>51930</v>
      </c>
      <c r="M21">
        <v>15.9</v>
      </c>
      <c r="N21" s="5">
        <v>5.4800000000000001E-2</v>
      </c>
      <c r="O21" s="14" t="s">
        <v>135</v>
      </c>
    </row>
    <row r="22" spans="1:15" x14ac:dyDescent="0.2">
      <c r="A22" s="2">
        <v>44469</v>
      </c>
      <c r="B22" s="3">
        <v>-3.1363870948553099E-2</v>
      </c>
      <c r="C22" s="3">
        <v>-4.7569140000000003E-2</v>
      </c>
      <c r="D22" s="4">
        <v>1.37</v>
      </c>
      <c r="E22" s="3">
        <f t="shared" si="0"/>
        <v>1.1416666666666667E-3</v>
      </c>
      <c r="F22" s="5">
        <f t="shared" si="1"/>
        <v>-3.2505537615219765E-2</v>
      </c>
      <c r="G22" s="5">
        <f t="shared" si="2"/>
        <v>-4.8710806666666669E-2</v>
      </c>
      <c r="J22" s="13"/>
      <c r="O22" s="14"/>
    </row>
    <row r="23" spans="1:15" x14ac:dyDescent="0.2">
      <c r="A23" s="2">
        <v>44498</v>
      </c>
      <c r="B23" s="3">
        <v>7.4396662414073902E-2</v>
      </c>
      <c r="C23" s="3">
        <v>6.9143880000000005E-2</v>
      </c>
      <c r="D23" s="4">
        <v>1.58</v>
      </c>
      <c r="E23" s="3">
        <f t="shared" si="0"/>
        <v>1.3166666666666667E-3</v>
      </c>
      <c r="F23" s="5">
        <f t="shared" si="1"/>
        <v>7.3079995747407242E-2</v>
      </c>
      <c r="G23" s="5">
        <f t="shared" si="2"/>
        <v>6.7827213333333344E-2</v>
      </c>
      <c r="J23" s="87"/>
      <c r="K23" s="88"/>
      <c r="L23" s="88"/>
      <c r="M23" s="88" t="s">
        <v>136</v>
      </c>
      <c r="N23" s="89">
        <f>AVERAGE(N10:N21)</f>
        <v>5.5633333333333319E-2</v>
      </c>
      <c r="O23" s="90"/>
    </row>
    <row r="24" spans="1:15" x14ac:dyDescent="0.2">
      <c r="A24" s="2">
        <v>44530</v>
      </c>
      <c r="B24" s="3">
        <v>-1.12624214962125E-2</v>
      </c>
      <c r="C24" s="3">
        <v>-8.3337310000000005E-3</v>
      </c>
      <c r="D24" s="4">
        <v>1.56</v>
      </c>
      <c r="E24" s="3">
        <f t="shared" si="0"/>
        <v>1.2999999999999999E-3</v>
      </c>
      <c r="F24" s="5">
        <f t="shared" si="1"/>
        <v>-1.2562421496212499E-2</v>
      </c>
      <c r="G24" s="5">
        <f t="shared" si="2"/>
        <v>-9.6337309999999995E-3</v>
      </c>
    </row>
    <row r="25" spans="1:15" x14ac:dyDescent="0.2">
      <c r="A25" s="2">
        <v>44561</v>
      </c>
      <c r="B25" s="3">
        <v>9.3910425901413006E-2</v>
      </c>
      <c r="C25" s="3">
        <v>4.361288E-2</v>
      </c>
      <c r="D25" s="4">
        <v>1.47</v>
      </c>
      <c r="E25" s="3">
        <f t="shared" si="0"/>
        <v>1.225E-3</v>
      </c>
      <c r="F25" s="5">
        <f t="shared" si="1"/>
        <v>9.2685425901413002E-2</v>
      </c>
      <c r="G25" s="5">
        <f t="shared" si="2"/>
        <v>4.2387880000000003E-2</v>
      </c>
    </row>
    <row r="26" spans="1:15" x14ac:dyDescent="0.2">
      <c r="A26" s="2">
        <v>44592</v>
      </c>
      <c r="B26" s="3">
        <v>-1.0937909828499001E-3</v>
      </c>
      <c r="C26" s="3">
        <v>-5.2585090000000001E-2</v>
      </c>
      <c r="D26" s="4">
        <v>1.76</v>
      </c>
      <c r="E26" s="3">
        <f t="shared" si="0"/>
        <v>1.4666666666666667E-3</v>
      </c>
      <c r="F26" s="5">
        <f t="shared" si="1"/>
        <v>-2.5604576495165668E-3</v>
      </c>
      <c r="G26" s="5">
        <f t="shared" si="2"/>
        <v>-5.4051756666666666E-2</v>
      </c>
      <c r="J26" s="72" t="s">
        <v>137</v>
      </c>
      <c r="K26" s="74"/>
      <c r="L26" s="73"/>
    </row>
    <row r="27" spans="1:15" x14ac:dyDescent="0.2">
      <c r="A27" s="2">
        <v>44620</v>
      </c>
      <c r="B27" s="3">
        <v>-5.6362371891736998E-2</v>
      </c>
      <c r="C27" s="3">
        <v>-3.1360520000000003E-2</v>
      </c>
      <c r="D27" s="4">
        <v>1.93</v>
      </c>
      <c r="E27" s="3">
        <f t="shared" si="0"/>
        <v>1.6083333333333334E-3</v>
      </c>
      <c r="F27" s="5">
        <f t="shared" si="1"/>
        <v>-5.7970705225070335E-2</v>
      </c>
      <c r="G27" s="5">
        <f t="shared" si="2"/>
        <v>-3.2968853333333339E-2</v>
      </c>
      <c r="J27" s="13" t="s">
        <v>32</v>
      </c>
      <c r="K27" t="s">
        <v>138</v>
      </c>
      <c r="L27" s="66">
        <f>L5</f>
        <v>7.2294673946841581E-2</v>
      </c>
    </row>
    <row r="28" spans="1:15" x14ac:dyDescent="0.2">
      <c r="A28" s="2">
        <v>44651</v>
      </c>
      <c r="B28" s="3">
        <v>2.8795646503567699E-2</v>
      </c>
      <c r="C28" s="3">
        <v>3.5773239999999998E-2</v>
      </c>
      <c r="D28" s="4">
        <v>2.13</v>
      </c>
      <c r="E28" s="3">
        <f t="shared" si="0"/>
        <v>1.7749999999999999E-3</v>
      </c>
      <c r="F28" s="5">
        <f t="shared" si="1"/>
        <v>2.70206465035677E-2</v>
      </c>
      <c r="G28" s="5">
        <f t="shared" si="2"/>
        <v>3.3998239999999999E-2</v>
      </c>
      <c r="J28" s="13" t="s">
        <v>75</v>
      </c>
      <c r="K28" t="s">
        <v>76</v>
      </c>
      <c r="L28" s="66">
        <f>N23</f>
        <v>5.5633333333333319E-2</v>
      </c>
    </row>
    <row r="29" spans="1:15" x14ac:dyDescent="0.2">
      <c r="A29" s="2">
        <v>44680</v>
      </c>
      <c r="B29" s="3">
        <v>2.58692894130945E-2</v>
      </c>
      <c r="C29" s="3">
        <v>-8.7956720000000002E-2</v>
      </c>
      <c r="D29" s="4">
        <v>2.75</v>
      </c>
      <c r="E29" s="3">
        <f t="shared" si="0"/>
        <v>2.2916666666666667E-3</v>
      </c>
      <c r="F29" s="5">
        <f t="shared" si="1"/>
        <v>2.3577622746427832E-2</v>
      </c>
      <c r="G29" s="5">
        <f t="shared" si="2"/>
        <v>-9.0248386666666666E-2</v>
      </c>
      <c r="J29" s="13" t="s">
        <v>77</v>
      </c>
      <c r="K29" t="s">
        <v>139</v>
      </c>
      <c r="L29" s="67">
        <v>226780</v>
      </c>
    </row>
    <row r="30" spans="1:15" x14ac:dyDescent="0.2">
      <c r="A30" s="2">
        <v>44712</v>
      </c>
      <c r="B30" s="3">
        <v>-2.306217700243E-2</v>
      </c>
      <c r="C30" s="3">
        <v>5.3243879999999999E-5</v>
      </c>
      <c r="D30" s="4">
        <v>2.9</v>
      </c>
      <c r="E30" s="3">
        <f t="shared" si="0"/>
        <v>2.4166666666666668E-3</v>
      </c>
      <c r="F30" s="5">
        <f t="shared" si="1"/>
        <v>-2.5478843669096668E-2</v>
      </c>
      <c r="G30" s="5">
        <f t="shared" si="2"/>
        <v>-2.3634227866666667E-3</v>
      </c>
      <c r="J30" s="13" t="s">
        <v>79</v>
      </c>
      <c r="K30" t="s">
        <v>140</v>
      </c>
      <c r="L30" s="67">
        <v>49900</v>
      </c>
    </row>
    <row r="31" spans="1:15" x14ac:dyDescent="0.2">
      <c r="A31" s="2">
        <v>44742</v>
      </c>
      <c r="B31" s="3">
        <v>3.5769678652286502E-4</v>
      </c>
      <c r="C31" s="3">
        <v>-8.391999E-2</v>
      </c>
      <c r="D31" s="4">
        <v>3.14</v>
      </c>
      <c r="E31" s="3">
        <f t="shared" si="0"/>
        <v>2.6166666666666664E-3</v>
      </c>
      <c r="F31" s="5">
        <f t="shared" si="1"/>
        <v>-2.2589698801438016E-3</v>
      </c>
      <c r="G31" s="5">
        <f t="shared" si="2"/>
        <v>-8.653665666666667E-2</v>
      </c>
      <c r="J31" s="13" t="s">
        <v>141</v>
      </c>
      <c r="K31" t="s">
        <v>142</v>
      </c>
      <c r="L31" s="68">
        <v>0.21</v>
      </c>
    </row>
    <row r="32" spans="1:15" x14ac:dyDescent="0.2">
      <c r="A32" s="2">
        <v>44771</v>
      </c>
      <c r="B32" s="3">
        <v>4.9802009016275399E-2</v>
      </c>
      <c r="C32" s="3">
        <v>9.1116349999999999E-2</v>
      </c>
      <c r="D32" s="4">
        <v>2.9</v>
      </c>
      <c r="E32" s="3">
        <f t="shared" si="0"/>
        <v>2.4166666666666668E-3</v>
      </c>
      <c r="F32" s="5">
        <f t="shared" si="1"/>
        <v>4.7385342349608735E-2</v>
      </c>
      <c r="G32" s="5">
        <f t="shared" si="2"/>
        <v>8.8699683333333335E-2</v>
      </c>
      <c r="J32" s="75" t="s">
        <v>83</v>
      </c>
      <c r="K32" s="76" t="s">
        <v>143</v>
      </c>
      <c r="L32" s="77">
        <f>L27*(L29/(L29+L30))+L28*(1-L31)*(L30/(L29+L30))</f>
        <v>6.7182694054496409E-2</v>
      </c>
    </row>
    <row r="33" spans="1:7" x14ac:dyDescent="0.2">
      <c r="A33" s="2">
        <v>44804</v>
      </c>
      <c r="B33" s="3">
        <v>-1.5374956652522099E-2</v>
      </c>
      <c r="C33" s="3">
        <v>-4.2440119999999998E-2</v>
      </c>
      <c r="D33" s="4">
        <v>2.9</v>
      </c>
      <c r="E33" s="3">
        <f t="shared" si="0"/>
        <v>2.4166666666666668E-3</v>
      </c>
      <c r="F33" s="5">
        <f t="shared" si="1"/>
        <v>-1.7791623319188765E-2</v>
      </c>
      <c r="G33" s="5">
        <f t="shared" si="2"/>
        <v>-4.4856786666666662E-2</v>
      </c>
    </row>
    <row r="34" spans="1:7" x14ac:dyDescent="0.2">
      <c r="A34" s="2">
        <v>44834</v>
      </c>
      <c r="B34" s="3">
        <v>-4.5626107603311497E-2</v>
      </c>
      <c r="C34" s="3">
        <v>-9.3395699999999998E-2</v>
      </c>
      <c r="D34" s="4">
        <v>3.52</v>
      </c>
      <c r="E34" s="3">
        <f t="shared" ref="E34:E61" si="3">(D34/12)/100</f>
        <v>2.9333333333333334E-3</v>
      </c>
      <c r="F34" s="5">
        <f t="shared" ref="F34:F61" si="4">B34-E34</f>
        <v>-4.8559440936644833E-2</v>
      </c>
      <c r="G34" s="5">
        <f t="shared" ref="G34:G61" si="5">C34-E34</f>
        <v>-9.6329033333333328E-2</v>
      </c>
    </row>
    <row r="35" spans="1:7" x14ac:dyDescent="0.2">
      <c r="A35" s="2">
        <v>44865</v>
      </c>
      <c r="B35" s="3">
        <v>0.11221369355917001</v>
      </c>
      <c r="C35" s="3">
        <v>7.9863450000000002E-2</v>
      </c>
      <c r="D35" s="4">
        <v>3.98</v>
      </c>
      <c r="E35" s="3">
        <f t="shared" si="3"/>
        <v>3.3166666666666665E-3</v>
      </c>
      <c r="F35" s="5">
        <f t="shared" si="4"/>
        <v>0.10889702689250334</v>
      </c>
      <c r="G35" s="5">
        <f t="shared" si="5"/>
        <v>7.654678333333334E-2</v>
      </c>
    </row>
    <row r="36" spans="1:7" x14ac:dyDescent="0.2">
      <c r="A36" s="2">
        <v>44895</v>
      </c>
      <c r="B36" s="3">
        <v>2.1643312647938701E-2</v>
      </c>
      <c r="C36" s="3">
        <v>5.375286E-2</v>
      </c>
      <c r="D36" s="4">
        <v>3.89</v>
      </c>
      <c r="E36" s="3">
        <f t="shared" si="3"/>
        <v>3.2416666666666666E-3</v>
      </c>
      <c r="F36" s="5">
        <f t="shared" si="4"/>
        <v>1.8401645981272034E-2</v>
      </c>
      <c r="G36" s="5">
        <f t="shared" si="5"/>
        <v>5.0511193333333336E-2</v>
      </c>
    </row>
    <row r="37" spans="1:7" x14ac:dyDescent="0.2">
      <c r="A37" s="2">
        <v>44925</v>
      </c>
      <c r="B37" s="3">
        <v>-1.9944967702031101E-2</v>
      </c>
      <c r="C37" s="3">
        <v>-5.8971450000000002E-2</v>
      </c>
      <c r="D37" s="4">
        <v>3.62</v>
      </c>
      <c r="E37" s="3">
        <f t="shared" si="3"/>
        <v>3.0166666666666671E-3</v>
      </c>
      <c r="F37" s="5">
        <f t="shared" si="4"/>
        <v>-2.2961634368697768E-2</v>
      </c>
      <c r="G37" s="5">
        <f t="shared" si="5"/>
        <v>-6.1988116666666669E-2</v>
      </c>
    </row>
    <row r="38" spans="1:7" x14ac:dyDescent="0.2">
      <c r="A38" s="2">
        <v>44957</v>
      </c>
      <c r="B38" s="3">
        <v>-5.3359899669885601E-2</v>
      </c>
      <c r="C38" s="3">
        <v>6.1752830000000002E-2</v>
      </c>
      <c r="D38" s="4">
        <v>3.53</v>
      </c>
      <c r="E38" s="3">
        <f t="shared" si="3"/>
        <v>2.9416666666666662E-3</v>
      </c>
      <c r="F38" s="5">
        <f t="shared" si="4"/>
        <v>-5.6301566336552269E-2</v>
      </c>
      <c r="G38" s="5">
        <f t="shared" si="5"/>
        <v>5.8811163333333333E-2</v>
      </c>
    </row>
    <row r="39" spans="1:7" x14ac:dyDescent="0.2">
      <c r="A39" s="2">
        <v>44985</v>
      </c>
      <c r="B39" s="3">
        <v>1.4676613733172399E-2</v>
      </c>
      <c r="C39" s="3">
        <v>-2.6112449999999999E-2</v>
      </c>
      <c r="D39" s="4">
        <v>3.75</v>
      </c>
      <c r="E39" s="3">
        <f t="shared" si="3"/>
        <v>3.1250000000000002E-3</v>
      </c>
      <c r="F39" s="5">
        <f t="shared" si="4"/>
        <v>1.15516137331724E-2</v>
      </c>
      <c r="G39" s="5">
        <f t="shared" si="5"/>
        <v>-2.9237449999999998E-2</v>
      </c>
    </row>
    <row r="40" spans="1:7" x14ac:dyDescent="0.2">
      <c r="A40" s="2">
        <v>45016</v>
      </c>
      <c r="B40" s="3">
        <v>5.7165931910276399E-2</v>
      </c>
      <c r="C40" s="3">
        <v>3.5051569999999997E-2</v>
      </c>
      <c r="D40" s="4">
        <v>3.66</v>
      </c>
      <c r="E40" s="3">
        <f t="shared" si="3"/>
        <v>3.0499999999999998E-3</v>
      </c>
      <c r="F40" s="5">
        <f t="shared" si="4"/>
        <v>5.4115931910276402E-2</v>
      </c>
      <c r="G40" s="5">
        <f t="shared" si="5"/>
        <v>3.200157E-2</v>
      </c>
    </row>
    <row r="41" spans="1:7" x14ac:dyDescent="0.2">
      <c r="A41" s="2">
        <v>45044</v>
      </c>
      <c r="B41" s="3">
        <v>4.71201092004776E-2</v>
      </c>
      <c r="C41" s="3">
        <v>1.464236E-2</v>
      </c>
      <c r="D41" s="4">
        <v>3.46</v>
      </c>
      <c r="E41" s="3">
        <f t="shared" si="3"/>
        <v>2.8833333333333332E-3</v>
      </c>
      <c r="F41" s="5">
        <f t="shared" si="4"/>
        <v>4.4236775867144265E-2</v>
      </c>
      <c r="G41" s="5">
        <f t="shared" si="5"/>
        <v>1.1759026666666667E-2</v>
      </c>
    </row>
    <row r="42" spans="1:7" x14ac:dyDescent="0.2">
      <c r="A42" s="2">
        <v>45077</v>
      </c>
      <c r="B42" s="3">
        <v>-4.4737771153449998E-2</v>
      </c>
      <c r="C42" s="3">
        <v>2.4823240000000002E-3</v>
      </c>
      <c r="D42" s="4">
        <v>3.57</v>
      </c>
      <c r="E42" s="3">
        <f t="shared" si="3"/>
        <v>2.9749999999999998E-3</v>
      </c>
      <c r="F42" s="5">
        <f t="shared" si="4"/>
        <v>-4.7712771153449997E-2</v>
      </c>
      <c r="G42" s="5">
        <f t="shared" si="5"/>
        <v>-4.9267599999999962E-4</v>
      </c>
    </row>
    <row r="43" spans="1:7" x14ac:dyDescent="0.2">
      <c r="A43" s="2">
        <v>45107</v>
      </c>
      <c r="B43" s="3">
        <v>2.2676143795251898E-2</v>
      </c>
      <c r="C43" s="3">
        <v>6.4727510000000002E-2</v>
      </c>
      <c r="D43" s="4">
        <v>3.75</v>
      </c>
      <c r="E43" s="3">
        <f t="shared" si="3"/>
        <v>3.1250000000000002E-3</v>
      </c>
      <c r="F43" s="5">
        <f t="shared" si="4"/>
        <v>1.9551143795251899E-2</v>
      </c>
      <c r="G43" s="5">
        <f t="shared" si="5"/>
        <v>6.1602509999999999E-2</v>
      </c>
    </row>
    <row r="44" spans="1:7" x14ac:dyDescent="0.2">
      <c r="A44" s="2">
        <v>45138</v>
      </c>
      <c r="B44" s="3">
        <v>1.20937563478947E-2</v>
      </c>
      <c r="C44" s="3">
        <v>3.1138909999999999E-2</v>
      </c>
      <c r="D44" s="4">
        <v>3.9</v>
      </c>
      <c r="E44" s="3">
        <f t="shared" si="3"/>
        <v>3.2500000000000003E-3</v>
      </c>
      <c r="F44" s="5">
        <f t="shared" si="4"/>
        <v>8.8437563478947004E-3</v>
      </c>
      <c r="G44" s="5">
        <f t="shared" si="5"/>
        <v>2.7888909999999999E-2</v>
      </c>
    </row>
    <row r="45" spans="1:7" x14ac:dyDescent="0.2">
      <c r="A45" s="2">
        <v>45169</v>
      </c>
      <c r="B45" s="3">
        <v>-4.4142793864011799E-2</v>
      </c>
      <c r="C45" s="3">
        <v>-1.7716429999999998E-2</v>
      </c>
      <c r="D45" s="4">
        <v>4.17</v>
      </c>
      <c r="E45" s="3">
        <f t="shared" si="3"/>
        <v>3.4749999999999998E-3</v>
      </c>
      <c r="F45" s="5">
        <f t="shared" si="4"/>
        <v>-4.7617793864011798E-2</v>
      </c>
      <c r="G45" s="5">
        <f t="shared" si="5"/>
        <v>-2.1191429999999997E-2</v>
      </c>
    </row>
    <row r="46" spans="1:7" x14ac:dyDescent="0.2">
      <c r="A46" s="2">
        <v>45198</v>
      </c>
      <c r="B46" s="3">
        <v>-4.7661848366260501E-2</v>
      </c>
      <c r="C46" s="3">
        <v>-4.8719289999999998E-2</v>
      </c>
      <c r="D46" s="4">
        <v>4.38</v>
      </c>
      <c r="E46" s="3">
        <f t="shared" si="3"/>
        <v>3.65E-3</v>
      </c>
      <c r="F46" s="5">
        <f t="shared" si="4"/>
        <v>-5.1311848366260501E-2</v>
      </c>
      <c r="G46" s="5">
        <f t="shared" si="5"/>
        <v>-5.2369289999999999E-2</v>
      </c>
    </row>
    <row r="47" spans="1:7" x14ac:dyDescent="0.2">
      <c r="A47" s="2">
        <v>45230</v>
      </c>
      <c r="B47" s="3">
        <v>-3.6355074495077098E-2</v>
      </c>
      <c r="C47" s="3">
        <v>-2.197969E-2</v>
      </c>
      <c r="D47" s="4">
        <v>4.8</v>
      </c>
      <c r="E47" s="3">
        <f t="shared" si="3"/>
        <v>4.0000000000000001E-3</v>
      </c>
      <c r="F47" s="5">
        <f t="shared" si="4"/>
        <v>-4.0355074495077095E-2</v>
      </c>
      <c r="G47" s="5">
        <f t="shared" si="5"/>
        <v>-2.597969E-2</v>
      </c>
    </row>
    <row r="48" spans="1:7" x14ac:dyDescent="0.2">
      <c r="A48" s="2">
        <v>45260</v>
      </c>
      <c r="B48" s="3">
        <v>3.84308844804764E-2</v>
      </c>
      <c r="C48" s="3">
        <v>8.9179259999999996E-2</v>
      </c>
      <c r="D48" s="4">
        <v>4.5</v>
      </c>
      <c r="E48" s="3">
        <f t="shared" si="3"/>
        <v>3.7499999999999999E-3</v>
      </c>
      <c r="F48" s="5">
        <f t="shared" si="4"/>
        <v>3.4680884480476404E-2</v>
      </c>
      <c r="G48" s="5">
        <f t="shared" si="5"/>
        <v>8.5429259999999993E-2</v>
      </c>
    </row>
    <row r="49" spans="1:7" x14ac:dyDescent="0.2">
      <c r="A49" s="2">
        <v>45289</v>
      </c>
      <c r="B49" s="3">
        <v>9.2103099450469E-3</v>
      </c>
      <c r="C49" s="3">
        <v>4.4229169999999998E-2</v>
      </c>
      <c r="D49" s="4">
        <v>4.0199999999999996</v>
      </c>
      <c r="E49" s="3">
        <f t="shared" si="3"/>
        <v>3.3499999999999997E-3</v>
      </c>
      <c r="F49" s="5">
        <f t="shared" si="4"/>
        <v>5.8603099450469003E-3</v>
      </c>
      <c r="G49" s="5">
        <f t="shared" si="5"/>
        <v>4.0879169999999999E-2</v>
      </c>
    </row>
    <row r="50" spans="1:7" x14ac:dyDescent="0.2">
      <c r="A50" s="2">
        <v>45322</v>
      </c>
      <c r="B50" s="3">
        <v>-7.7131274156272403E-3</v>
      </c>
      <c r="C50" s="3">
        <v>1.5895739999999998E-2</v>
      </c>
      <c r="D50" s="4">
        <v>4.0599999999999996</v>
      </c>
      <c r="E50" s="3">
        <f t="shared" si="3"/>
        <v>3.3833333333333332E-3</v>
      </c>
      <c r="F50" s="5">
        <f t="shared" si="4"/>
        <v>-1.1096460748960573E-2</v>
      </c>
      <c r="G50" s="5">
        <f t="shared" si="5"/>
        <v>1.2512406666666665E-2</v>
      </c>
    </row>
    <row r="51" spans="1:7" x14ac:dyDescent="0.2">
      <c r="A51" s="2">
        <v>45351</v>
      </c>
      <c r="B51" s="3">
        <v>-1.14223137497902E-2</v>
      </c>
      <c r="C51" s="3">
        <v>5.1720620000000002E-2</v>
      </c>
      <c r="D51" s="4">
        <v>4.21</v>
      </c>
      <c r="E51" s="3">
        <f t="shared" si="3"/>
        <v>3.5083333333333334E-3</v>
      </c>
      <c r="F51" s="5">
        <f t="shared" si="4"/>
        <v>-1.4930647083123534E-2</v>
      </c>
      <c r="G51" s="5">
        <f t="shared" si="5"/>
        <v>4.8212286666666666E-2</v>
      </c>
    </row>
    <row r="52" spans="1:7" x14ac:dyDescent="0.2">
      <c r="A52" s="2">
        <v>45379</v>
      </c>
      <c r="B52" s="3">
        <v>5.8485534042120001E-2</v>
      </c>
      <c r="C52" s="3">
        <v>3.1018759999999999E-2</v>
      </c>
      <c r="D52" s="4">
        <v>4.21</v>
      </c>
      <c r="E52" s="3">
        <f t="shared" si="3"/>
        <v>3.5083333333333334E-3</v>
      </c>
      <c r="F52" s="5">
        <f t="shared" si="4"/>
        <v>5.4977200708786665E-2</v>
      </c>
      <c r="G52" s="5">
        <f t="shared" si="5"/>
        <v>2.7510426666666667E-2</v>
      </c>
    </row>
    <row r="53" spans="1:7" x14ac:dyDescent="0.2">
      <c r="A53" s="2">
        <v>45412</v>
      </c>
      <c r="B53" s="3">
        <v>5.1426156423986001E-3</v>
      </c>
      <c r="C53" s="3">
        <v>-4.1615039999999999E-2</v>
      </c>
      <c r="D53" s="4">
        <v>4.54</v>
      </c>
      <c r="E53" s="3">
        <f t="shared" si="3"/>
        <v>3.7833333333333334E-3</v>
      </c>
      <c r="F53" s="5">
        <f t="shared" si="4"/>
        <v>1.3592823090652667E-3</v>
      </c>
      <c r="G53" s="5">
        <f t="shared" si="5"/>
        <v>-4.5398373333333332E-2</v>
      </c>
    </row>
    <row r="54" spans="1:7" x14ac:dyDescent="0.2">
      <c r="A54" s="2">
        <v>45443</v>
      </c>
      <c r="B54" s="3">
        <v>-1.7111077904701202E-2</v>
      </c>
      <c r="C54" s="3">
        <v>4.8021220000000003E-2</v>
      </c>
      <c r="D54" s="4">
        <v>4.4800000000000004</v>
      </c>
      <c r="E54" s="3">
        <f t="shared" si="3"/>
        <v>3.7333333333333333E-3</v>
      </c>
      <c r="F54" s="5">
        <f t="shared" si="4"/>
        <v>-2.0844411238034537E-2</v>
      </c>
      <c r="G54" s="5">
        <f t="shared" si="5"/>
        <v>4.4287886666666672E-2</v>
      </c>
    </row>
    <row r="55" spans="1:7" x14ac:dyDescent="0.2">
      <c r="A55" s="2">
        <v>45471</v>
      </c>
      <c r="B55" s="3">
        <v>-3.8259118795394897E-2</v>
      </c>
      <c r="C55" s="3">
        <v>3.4669760000000001E-2</v>
      </c>
      <c r="D55" s="4">
        <v>4.3099999999999996</v>
      </c>
      <c r="E55" s="3">
        <f t="shared" si="3"/>
        <v>3.5916666666666662E-3</v>
      </c>
      <c r="F55" s="5">
        <f t="shared" si="4"/>
        <v>-4.1850785462061564E-2</v>
      </c>
      <c r="G55" s="5">
        <f t="shared" si="5"/>
        <v>3.1078093333333334E-2</v>
      </c>
    </row>
    <row r="56" spans="1:7" x14ac:dyDescent="0.2">
      <c r="A56" s="2">
        <v>45504</v>
      </c>
      <c r="B56" s="3">
        <v>4.6929035335779197E-2</v>
      </c>
      <c r="C56" s="3">
        <v>1.1321350000000001E-2</v>
      </c>
      <c r="D56" s="4">
        <v>4.25</v>
      </c>
      <c r="E56" s="3">
        <f t="shared" si="3"/>
        <v>3.5416666666666669E-3</v>
      </c>
      <c r="F56" s="5">
        <f t="shared" si="4"/>
        <v>4.3387368669112532E-2</v>
      </c>
      <c r="G56" s="5">
        <f t="shared" si="5"/>
        <v>7.7796833333333339E-3</v>
      </c>
    </row>
    <row r="57" spans="1:7" x14ac:dyDescent="0.2">
      <c r="A57" s="2">
        <v>45534</v>
      </c>
      <c r="B57" s="3">
        <v>1.21623161248863E-3</v>
      </c>
      <c r="C57" s="3">
        <v>2.2834690000000001E-2</v>
      </c>
      <c r="D57" s="4">
        <v>3.87</v>
      </c>
      <c r="E57" s="3">
        <f t="shared" si="3"/>
        <v>3.225E-3</v>
      </c>
      <c r="F57" s="5">
        <f t="shared" si="4"/>
        <v>-2.00876838751137E-3</v>
      </c>
      <c r="G57" s="5">
        <f t="shared" si="5"/>
        <v>1.9609690000000003E-2</v>
      </c>
    </row>
    <row r="58" spans="1:7" x14ac:dyDescent="0.2">
      <c r="A58" s="2">
        <v>45565</v>
      </c>
      <c r="B58" s="3">
        <v>-8.53194016963244E-3</v>
      </c>
      <c r="C58" s="3">
        <v>2.0196869999999999E-2</v>
      </c>
      <c r="D58" s="4">
        <v>3.72</v>
      </c>
      <c r="E58" s="3">
        <f t="shared" si="3"/>
        <v>3.0999999999999999E-3</v>
      </c>
      <c r="F58" s="5">
        <f t="shared" si="4"/>
        <v>-1.163194016963244E-2</v>
      </c>
      <c r="G58" s="5">
        <f t="shared" si="5"/>
        <v>1.709687E-2</v>
      </c>
    </row>
    <row r="59" spans="1:7" x14ac:dyDescent="0.2">
      <c r="A59" s="2">
        <v>45596</v>
      </c>
      <c r="B59" s="3">
        <v>-2.33460813760757E-2</v>
      </c>
      <c r="C59" s="3">
        <v>-9.8967800000000009E-3</v>
      </c>
      <c r="D59" s="4">
        <v>4.0999999999999996</v>
      </c>
      <c r="E59" s="3">
        <f t="shared" si="3"/>
        <v>3.4166666666666664E-3</v>
      </c>
      <c r="F59" s="5">
        <f t="shared" si="4"/>
        <v>-2.6762748042742365E-2</v>
      </c>
      <c r="G59" s="5">
        <f t="shared" si="5"/>
        <v>-1.3313446666666668E-2</v>
      </c>
    </row>
    <row r="60" spans="1:7" x14ac:dyDescent="0.2">
      <c r="A60" s="2">
        <v>45625</v>
      </c>
      <c r="B60" s="3">
        <v>-1.58357713371515E-2</v>
      </c>
      <c r="C60" s="3">
        <v>5.7301350000000001E-2</v>
      </c>
      <c r="D60" s="4">
        <v>4.3600000000000003</v>
      </c>
      <c r="E60" s="3">
        <f t="shared" si="3"/>
        <v>3.6333333333333335E-3</v>
      </c>
      <c r="F60" s="5">
        <f t="shared" si="4"/>
        <v>-1.9469104670484832E-2</v>
      </c>
      <c r="G60" s="5">
        <f t="shared" si="5"/>
        <v>5.3668016666666665E-2</v>
      </c>
    </row>
    <row r="61" spans="1:7" x14ac:dyDescent="0.2">
      <c r="A61" s="2">
        <v>45657</v>
      </c>
      <c r="B61" s="3">
        <v>-6.1394918709993397E-2</v>
      </c>
      <c r="C61" s="3">
        <v>-2.4990140000000001E-2</v>
      </c>
      <c r="D61" s="4">
        <v>4.3899999999999997</v>
      </c>
      <c r="E61" s="3">
        <f t="shared" si="3"/>
        <v>3.6583333333333329E-3</v>
      </c>
      <c r="F61" s="5">
        <f t="shared" si="4"/>
        <v>-6.5053252043326737E-2</v>
      </c>
      <c r="G61" s="5">
        <f t="shared" si="5"/>
        <v>-2.8648473333333334E-2</v>
      </c>
    </row>
    <row r="62" spans="1:7" x14ac:dyDescent="0.2">
      <c r="D62" s="4"/>
    </row>
    <row r="63" spans="1:7" x14ac:dyDescent="0.2">
      <c r="D63" s="4"/>
    </row>
    <row r="64" spans="1:7" x14ac:dyDescent="0.2">
      <c r="D64" s="4"/>
    </row>
    <row r="65" spans="1:6" x14ac:dyDescent="0.2">
      <c r="D65" s="4"/>
    </row>
    <row r="66" spans="1:6" x14ac:dyDescent="0.2">
      <c r="A66" t="s">
        <v>85</v>
      </c>
    </row>
    <row r="67" spans="1:6" ht="15.75" customHeight="1" thickBot="1" x14ac:dyDescent="0.25"/>
    <row r="68" spans="1:6" x14ac:dyDescent="0.2">
      <c r="A68" s="95" t="s">
        <v>86</v>
      </c>
      <c r="B68" s="95"/>
    </row>
    <row r="69" spans="1:6" x14ac:dyDescent="0.2">
      <c r="A69" t="s">
        <v>87</v>
      </c>
      <c r="B69">
        <v>0.60786071925250196</v>
      </c>
    </row>
    <row r="70" spans="1:6" x14ac:dyDescent="0.2">
      <c r="A70" t="s">
        <v>88</v>
      </c>
      <c r="B70">
        <v>0.36949465401016901</v>
      </c>
    </row>
    <row r="71" spans="1:6" x14ac:dyDescent="0.2">
      <c r="A71" t="s">
        <v>89</v>
      </c>
      <c r="B71">
        <v>0.35862387218275799</v>
      </c>
    </row>
    <row r="72" spans="1:6" x14ac:dyDescent="0.2">
      <c r="A72" t="s">
        <v>90</v>
      </c>
      <c r="B72">
        <v>3.7374442549833201E-2</v>
      </c>
    </row>
    <row r="73" spans="1:6" ht="15.75" customHeight="1" thickBot="1" x14ac:dyDescent="0.25">
      <c r="A73" s="8" t="s">
        <v>91</v>
      </c>
      <c r="B73" s="8">
        <v>60</v>
      </c>
    </row>
    <row r="75" spans="1:6" ht="15.75" customHeight="1" thickBot="1" x14ac:dyDescent="0.25">
      <c r="A75" t="s">
        <v>92</v>
      </c>
    </row>
    <row r="76" spans="1:6" x14ac:dyDescent="0.2">
      <c r="A76" s="1"/>
      <c r="B76" s="1" t="s">
        <v>93</v>
      </c>
      <c r="C76" s="1" t="s">
        <v>94</v>
      </c>
      <c r="D76" s="1" t="s">
        <v>95</v>
      </c>
      <c r="E76" s="1" t="s">
        <v>96</v>
      </c>
      <c r="F76" s="1" t="s">
        <v>97</v>
      </c>
    </row>
    <row r="77" spans="1:6" x14ac:dyDescent="0.2">
      <c r="A77" t="s">
        <v>98</v>
      </c>
      <c r="B77">
        <v>1</v>
      </c>
      <c r="C77">
        <v>4.7478482216181797E-2</v>
      </c>
      <c r="D77">
        <v>4.7478482216181797E-2</v>
      </c>
      <c r="E77">
        <v>33.989703765232598</v>
      </c>
      <c r="F77">
        <v>2.5937236737149402E-7</v>
      </c>
    </row>
    <row r="78" spans="1:6" x14ac:dyDescent="0.2">
      <c r="A78" t="s">
        <v>99</v>
      </c>
      <c r="B78">
        <v>58</v>
      </c>
      <c r="C78">
        <v>8.1017239442825198E-2</v>
      </c>
      <c r="D78">
        <v>1.39684895591078E-3</v>
      </c>
    </row>
    <row r="79" spans="1:6" ht="15.75" customHeight="1" thickBot="1" x14ac:dyDescent="0.25">
      <c r="A79" s="8" t="s">
        <v>100</v>
      </c>
      <c r="B79" s="8">
        <v>59</v>
      </c>
      <c r="C79" s="8">
        <v>0.128495721659007</v>
      </c>
      <c r="D79" s="8"/>
      <c r="E79" s="8"/>
      <c r="F79" s="8"/>
    </row>
    <row r="80" spans="1:6" ht="15.75" customHeight="1" thickBot="1" x14ac:dyDescent="0.25"/>
    <row r="81" spans="1:9" x14ac:dyDescent="0.2">
      <c r="A81" s="1"/>
      <c r="B81" s="1" t="s">
        <v>101</v>
      </c>
      <c r="C81" s="1" t="s">
        <v>90</v>
      </c>
      <c r="D81" s="1" t="s">
        <v>102</v>
      </c>
      <c r="E81" s="1" t="s">
        <v>103</v>
      </c>
      <c r="F81" s="1" t="s">
        <v>104</v>
      </c>
      <c r="G81" s="1" t="s">
        <v>105</v>
      </c>
      <c r="H81" s="1" t="s">
        <v>106</v>
      </c>
      <c r="I81" s="1" t="s">
        <v>107</v>
      </c>
    </row>
    <row r="82" spans="1:9" x14ac:dyDescent="0.2">
      <c r="A82" t="s">
        <v>108</v>
      </c>
      <c r="B82" s="11">
        <v>-1.9396059711853E-3</v>
      </c>
      <c r="C82" s="11">
        <v>4.8989256740470701E-3</v>
      </c>
      <c r="D82" s="11">
        <v>-0.395924759883725</v>
      </c>
      <c r="E82" s="11">
        <v>0.69361326372392496</v>
      </c>
      <c r="F82" s="11">
        <v>-1.1745871146453301E-2</v>
      </c>
      <c r="G82" s="11">
        <v>7.8666592040827002E-3</v>
      </c>
      <c r="H82">
        <v>-1.1745871146453301E-2</v>
      </c>
      <c r="I82">
        <v>7.8666592040827002E-3</v>
      </c>
    </row>
    <row r="83" spans="1:9" ht="15.75" customHeight="1" thickBot="1" x14ac:dyDescent="0.25">
      <c r="A83" s="8" t="s">
        <v>25</v>
      </c>
      <c r="B83" s="12">
        <v>0.53990316266984695</v>
      </c>
      <c r="C83" s="12">
        <v>9.2606651629849504E-2</v>
      </c>
      <c r="D83" s="12">
        <v>5.8300689331458599</v>
      </c>
      <c r="E83" s="12">
        <v>2.5937236737149497E-7</v>
      </c>
      <c r="F83" s="12">
        <v>0.354530808954231</v>
      </c>
      <c r="G83" s="12">
        <v>0.72527551638546395</v>
      </c>
      <c r="H83" s="8">
        <v>0.354530808954231</v>
      </c>
      <c r="I83" s="8">
        <v>0.72527551638546395</v>
      </c>
    </row>
    <row r="87" spans="1:9" x14ac:dyDescent="0.2">
      <c r="D87" s="4"/>
    </row>
    <row r="88" spans="1:9" x14ac:dyDescent="0.2">
      <c r="D88" s="4"/>
    </row>
    <row r="89" spans="1:9" x14ac:dyDescent="0.2">
      <c r="D89" s="4"/>
    </row>
    <row r="90" spans="1:9" x14ac:dyDescent="0.2">
      <c r="D90" s="4"/>
    </row>
    <row r="91" spans="1:9" x14ac:dyDescent="0.2">
      <c r="D91" s="4"/>
    </row>
    <row r="92" spans="1:9" x14ac:dyDescent="0.2">
      <c r="D92" s="4"/>
    </row>
    <row r="93" spans="1:9" x14ac:dyDescent="0.2">
      <c r="D93" s="4"/>
    </row>
    <row r="94" spans="1:9" x14ac:dyDescent="0.2">
      <c r="D94" s="4"/>
    </row>
    <row r="95" spans="1:9" x14ac:dyDescent="0.2">
      <c r="D95" s="4"/>
    </row>
    <row r="96" spans="1:9" x14ac:dyDescent="0.2">
      <c r="D96" s="4"/>
    </row>
    <row r="97" spans="4:4" x14ac:dyDescent="0.2">
      <c r="D97" s="4"/>
    </row>
  </sheetData>
  <mergeCells count="1">
    <mergeCell ref="A68:B6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7"/>
  <sheetViews>
    <sheetView showGridLines="0" topLeftCell="B1" zoomScaleNormal="100" workbookViewId="0">
      <selection activeCell="J49" sqref="J49"/>
    </sheetView>
  </sheetViews>
  <sheetFormatPr baseColWidth="10" defaultColWidth="10.6640625" defaultRowHeight="15" x14ac:dyDescent="0.2"/>
  <cols>
    <col min="1" max="1" width="11" customWidth="1"/>
    <col min="2" max="3" width="12.6640625" customWidth="1"/>
    <col min="4" max="4" width="22.1640625" customWidth="1"/>
    <col min="5" max="5" width="12.6640625" customWidth="1"/>
    <col min="6" max="7" width="12" customWidth="1"/>
    <col min="8" max="9" width="8.83203125" customWidth="1"/>
    <col min="10" max="10" width="40.33203125" customWidth="1"/>
    <col min="11" max="11" width="31.1640625" bestFit="1" customWidth="1"/>
    <col min="12" max="12" width="12.1640625" bestFit="1" customWidth="1"/>
  </cols>
  <sheetData>
    <row r="1" spans="1:12" ht="35" customHeight="1" x14ac:dyDescent="0.2">
      <c r="A1" s="61" t="s">
        <v>20</v>
      </c>
      <c r="B1" s="61" t="s">
        <v>144</v>
      </c>
      <c r="C1" s="61" t="s">
        <v>198</v>
      </c>
      <c r="D1" s="60" t="s">
        <v>23</v>
      </c>
      <c r="E1" s="61" t="s">
        <v>24</v>
      </c>
      <c r="F1" s="61" t="s">
        <v>201</v>
      </c>
      <c r="G1" s="61" t="s">
        <v>25</v>
      </c>
      <c r="J1" s="69" t="s">
        <v>26</v>
      </c>
      <c r="K1" s="70"/>
      <c r="L1" s="71"/>
    </row>
    <row r="2" spans="1:12" ht="15.75" customHeight="1" x14ac:dyDescent="0.2">
      <c r="A2" s="2">
        <v>43861</v>
      </c>
      <c r="B2" s="3">
        <v>4.7993693500757197E-2</v>
      </c>
      <c r="C2" s="3">
        <v>-1.62809E-3</v>
      </c>
      <c r="D2" s="4">
        <v>1.76</v>
      </c>
      <c r="E2" s="3">
        <f t="shared" ref="E2:E33" si="0">(D2/12)/100</f>
        <v>1.4666666666666667E-3</v>
      </c>
      <c r="F2" s="5">
        <f t="shared" ref="F2:F33" si="1">B2-E2</f>
        <v>4.6527026834090532E-2</v>
      </c>
      <c r="G2" s="5">
        <f t="shared" ref="G2:G33" si="2">C2-E2</f>
        <v>-3.0947566666666669E-3</v>
      </c>
      <c r="J2" s="62" t="s">
        <v>27</v>
      </c>
      <c r="K2" s="6" t="s">
        <v>110</v>
      </c>
      <c r="L2" s="63">
        <f>B83</f>
        <v>0.74276563885955105</v>
      </c>
    </row>
    <row r="3" spans="1:12" x14ac:dyDescent="0.2">
      <c r="A3" s="2">
        <v>43889</v>
      </c>
      <c r="B3" s="3">
        <v>-6.2912896275520297E-2</v>
      </c>
      <c r="C3" s="3">
        <v>-8.4110470000000007E-2</v>
      </c>
      <c r="D3" s="4">
        <v>1.5</v>
      </c>
      <c r="E3" s="3">
        <f t="shared" si="0"/>
        <v>1.25E-3</v>
      </c>
      <c r="F3" s="5">
        <f t="shared" si="1"/>
        <v>-6.4162896275520298E-2</v>
      </c>
      <c r="G3" s="5">
        <f t="shared" si="2"/>
        <v>-8.5360470000000008E-2</v>
      </c>
      <c r="J3" s="13" t="s">
        <v>28</v>
      </c>
      <c r="K3" t="s">
        <v>29</v>
      </c>
      <c r="L3" s="64">
        <v>4.2599999999999999E-2</v>
      </c>
    </row>
    <row r="4" spans="1:12" x14ac:dyDescent="0.2">
      <c r="A4" s="2">
        <v>43921</v>
      </c>
      <c r="B4" s="3">
        <v>-9.8541922867298098E-2</v>
      </c>
      <c r="C4" s="3">
        <v>-0.12511929999999999</v>
      </c>
      <c r="D4" s="4">
        <v>0.87</v>
      </c>
      <c r="E4" s="3">
        <f t="shared" si="0"/>
        <v>7.2499999999999995E-4</v>
      </c>
      <c r="F4" s="5">
        <f t="shared" si="1"/>
        <v>-9.9266922867298102E-2</v>
      </c>
      <c r="G4" s="5">
        <f t="shared" si="2"/>
        <v>-0.12584429999999999</v>
      </c>
      <c r="J4" s="13" t="s">
        <v>30</v>
      </c>
      <c r="K4" t="s">
        <v>111</v>
      </c>
      <c r="L4" s="64">
        <v>5.5E-2</v>
      </c>
    </row>
    <row r="5" spans="1:12" x14ac:dyDescent="0.2">
      <c r="A5" s="2">
        <v>43951</v>
      </c>
      <c r="B5" s="3">
        <v>9.8649188876151997E-2</v>
      </c>
      <c r="C5" s="3">
        <v>0.12684409999999999</v>
      </c>
      <c r="D5" s="4">
        <v>0.66</v>
      </c>
      <c r="E5" s="3">
        <f t="shared" si="0"/>
        <v>5.5000000000000003E-4</v>
      </c>
      <c r="F5" s="5">
        <f t="shared" si="1"/>
        <v>9.8099188876152002E-2</v>
      </c>
      <c r="G5" s="5">
        <f t="shared" si="2"/>
        <v>0.12629409999999999</v>
      </c>
      <c r="J5" s="75" t="s">
        <v>32</v>
      </c>
      <c r="K5" s="76" t="s">
        <v>33</v>
      </c>
      <c r="L5" s="77">
        <f>L3+L2*L4</f>
        <v>8.3452110137275298E-2</v>
      </c>
    </row>
    <row r="6" spans="1:12" x14ac:dyDescent="0.2">
      <c r="A6" s="2">
        <v>43980</v>
      </c>
      <c r="B6" s="3">
        <v>0.16340401768684401</v>
      </c>
      <c r="C6" s="3">
        <v>4.5281780000000001E-2</v>
      </c>
      <c r="D6" s="4">
        <v>0.67</v>
      </c>
      <c r="E6" s="3">
        <f t="shared" si="0"/>
        <v>5.5833333333333342E-4</v>
      </c>
      <c r="F6" s="5">
        <f t="shared" si="1"/>
        <v>0.16284568435351068</v>
      </c>
      <c r="G6" s="5">
        <f t="shared" si="2"/>
        <v>4.4723446666666666E-2</v>
      </c>
    </row>
    <row r="7" spans="1:12" x14ac:dyDescent="0.2">
      <c r="A7" s="2">
        <v>44012</v>
      </c>
      <c r="B7" s="3">
        <v>-3.60172986984253E-2</v>
      </c>
      <c r="C7" s="3">
        <v>1.8388399999999999E-2</v>
      </c>
      <c r="D7" s="4">
        <v>0.73</v>
      </c>
      <c r="E7" s="3">
        <f t="shared" si="0"/>
        <v>6.0833333333333334E-4</v>
      </c>
      <c r="F7" s="5">
        <f t="shared" si="1"/>
        <v>-3.6625632031758636E-2</v>
      </c>
      <c r="G7" s="5">
        <f t="shared" si="2"/>
        <v>1.7780066666666667E-2</v>
      </c>
    </row>
    <row r="8" spans="1:12" x14ac:dyDescent="0.2">
      <c r="A8" s="2">
        <v>44043</v>
      </c>
      <c r="B8" s="3">
        <v>0.13214084506034901</v>
      </c>
      <c r="C8" s="3">
        <v>5.5101299999999999E-2</v>
      </c>
      <c r="D8" s="4">
        <v>0.62</v>
      </c>
      <c r="E8" s="3">
        <f t="shared" si="0"/>
        <v>5.1666666666666668E-4</v>
      </c>
      <c r="F8" s="5">
        <f t="shared" si="1"/>
        <v>0.13162417839368235</v>
      </c>
      <c r="G8" s="5">
        <f t="shared" si="2"/>
        <v>5.4584633333333334E-2</v>
      </c>
      <c r="J8" s="72" t="s">
        <v>145</v>
      </c>
      <c r="K8" s="73"/>
    </row>
    <row r="9" spans="1:12" x14ac:dyDescent="0.2">
      <c r="A9" s="2">
        <v>44074</v>
      </c>
      <c r="B9" s="3">
        <v>6.8552456796169295E-2</v>
      </c>
      <c r="C9" s="3">
        <v>7.0064689999999999E-2</v>
      </c>
      <c r="D9" s="4">
        <v>0.65</v>
      </c>
      <c r="E9" s="3">
        <f t="shared" si="0"/>
        <v>5.4166666666666664E-4</v>
      </c>
      <c r="F9" s="5">
        <f t="shared" si="1"/>
        <v>6.8010790129502632E-2</v>
      </c>
      <c r="G9" s="5">
        <f t="shared" si="2"/>
        <v>6.9523023333333336E-2</v>
      </c>
      <c r="J9" s="13" t="s">
        <v>146</v>
      </c>
      <c r="K9" s="14"/>
    </row>
    <row r="10" spans="1:12" x14ac:dyDescent="0.2">
      <c r="A10" s="2">
        <v>44104</v>
      </c>
      <c r="B10" s="3">
        <v>-4.3644212186336503E-2</v>
      </c>
      <c r="C10" s="3">
        <v>-3.9227959999999999E-2</v>
      </c>
      <c r="D10" s="4">
        <v>0.68</v>
      </c>
      <c r="E10" s="3">
        <f t="shared" si="0"/>
        <v>5.6666666666666671E-4</v>
      </c>
      <c r="F10" s="5">
        <f t="shared" si="1"/>
        <v>-4.421087885300317E-2</v>
      </c>
      <c r="G10" s="5">
        <f t="shared" si="2"/>
        <v>-3.9794626666666666E-2</v>
      </c>
      <c r="J10" s="13" t="s">
        <v>195</v>
      </c>
      <c r="K10" s="14"/>
    </row>
    <row r="11" spans="1:12" x14ac:dyDescent="0.2">
      <c r="A11" s="2">
        <v>44134</v>
      </c>
      <c r="B11" s="3">
        <v>-4.5261811465024997E-2</v>
      </c>
      <c r="C11" s="3">
        <v>-2.7665780000000001E-2</v>
      </c>
      <c r="D11" s="4">
        <v>0.79</v>
      </c>
      <c r="E11" s="3">
        <f t="shared" si="0"/>
        <v>6.5833333333333336E-4</v>
      </c>
      <c r="F11" s="5">
        <f t="shared" si="1"/>
        <v>-4.5920144798358327E-2</v>
      </c>
      <c r="G11" s="5">
        <f t="shared" si="2"/>
        <v>-2.8324113333333335E-2</v>
      </c>
      <c r="J11" s="13"/>
      <c r="K11" s="14"/>
    </row>
    <row r="12" spans="1:12" x14ac:dyDescent="0.2">
      <c r="A12" s="2">
        <v>44165</v>
      </c>
      <c r="B12" s="3">
        <v>0.107222139835358</v>
      </c>
      <c r="C12" s="3">
        <v>0.10754569999999999</v>
      </c>
      <c r="D12" s="4">
        <v>0.87</v>
      </c>
      <c r="E12" s="3">
        <f t="shared" si="0"/>
        <v>7.2499999999999995E-4</v>
      </c>
      <c r="F12" s="5">
        <f t="shared" si="1"/>
        <v>0.106497139835358</v>
      </c>
      <c r="G12" s="5">
        <f t="shared" si="2"/>
        <v>0.10682069999999999</v>
      </c>
      <c r="J12" s="65" t="s">
        <v>148</v>
      </c>
      <c r="K12" s="91" t="s">
        <v>149</v>
      </c>
    </row>
    <row r="13" spans="1:12" x14ac:dyDescent="0.2">
      <c r="A13" s="2">
        <v>44196</v>
      </c>
      <c r="B13" s="3">
        <v>9.08233597874641E-2</v>
      </c>
      <c r="C13" s="3">
        <v>3.7121410000000001E-2</v>
      </c>
      <c r="D13" s="4">
        <v>0.93</v>
      </c>
      <c r="E13" s="3">
        <f t="shared" si="0"/>
        <v>7.7499999999999997E-4</v>
      </c>
      <c r="F13" s="5">
        <f t="shared" si="1"/>
        <v>9.0048359787464102E-2</v>
      </c>
      <c r="G13" s="5">
        <f t="shared" si="2"/>
        <v>3.6346410000000003E-2</v>
      </c>
      <c r="J13" s="65" t="s">
        <v>150</v>
      </c>
      <c r="K13" s="66">
        <v>4.0000000000000001E-3</v>
      </c>
    </row>
    <row r="14" spans="1:12" x14ac:dyDescent="0.2">
      <c r="A14" s="2">
        <v>44225</v>
      </c>
      <c r="B14" s="3">
        <v>-6.1094306409358999E-2</v>
      </c>
      <c r="C14" s="3">
        <v>-1.113664E-2</v>
      </c>
      <c r="D14" s="4">
        <v>1.08</v>
      </c>
      <c r="E14" s="3">
        <f t="shared" si="0"/>
        <v>9.0000000000000008E-4</v>
      </c>
      <c r="F14" s="5">
        <f t="shared" si="1"/>
        <v>-6.1994306409358997E-2</v>
      </c>
      <c r="G14" s="5">
        <f t="shared" si="2"/>
        <v>-1.2036639999999999E-2</v>
      </c>
      <c r="J14" s="75" t="s">
        <v>151</v>
      </c>
      <c r="K14" s="77">
        <f>L3+K13</f>
        <v>4.6600000000000003E-2</v>
      </c>
    </row>
    <row r="15" spans="1:12" x14ac:dyDescent="0.2">
      <c r="A15" s="2">
        <v>44253</v>
      </c>
      <c r="B15" s="3">
        <v>1.04802027344704E-2</v>
      </c>
      <c r="C15" s="3">
        <v>2.609148E-2</v>
      </c>
      <c r="D15" s="4">
        <v>1.26</v>
      </c>
      <c r="E15" s="3">
        <f t="shared" si="0"/>
        <v>1.0499999999999999E-3</v>
      </c>
      <c r="F15" s="5">
        <f t="shared" si="1"/>
        <v>9.4302027344703998E-3</v>
      </c>
      <c r="G15" s="5">
        <f t="shared" si="2"/>
        <v>2.5041480000000001E-2</v>
      </c>
    </row>
    <row r="16" spans="1:12" x14ac:dyDescent="0.2">
      <c r="A16" s="2">
        <v>44286</v>
      </c>
      <c r="B16" s="3">
        <v>3.8180973380804097E-2</v>
      </c>
      <c r="C16" s="3">
        <v>4.2438629999999998E-2</v>
      </c>
      <c r="D16" s="4">
        <v>1.61</v>
      </c>
      <c r="E16" s="3">
        <f t="shared" si="0"/>
        <v>1.3416666666666668E-3</v>
      </c>
      <c r="F16" s="5">
        <f t="shared" si="1"/>
        <v>3.6839306714137432E-2</v>
      </c>
      <c r="G16" s="5">
        <f t="shared" si="2"/>
        <v>4.1096963333333333E-2</v>
      </c>
    </row>
    <row r="17" spans="1:12" x14ac:dyDescent="0.2">
      <c r="A17" s="2">
        <v>44316</v>
      </c>
      <c r="B17" s="3">
        <v>6.5429873764514895E-2</v>
      </c>
      <c r="C17" s="3">
        <v>5.2425310000000003E-2</v>
      </c>
      <c r="D17" s="4">
        <v>1.64</v>
      </c>
      <c r="E17" s="3">
        <f t="shared" si="0"/>
        <v>1.3666666666666666E-3</v>
      </c>
      <c r="F17" s="5">
        <f t="shared" si="1"/>
        <v>6.4063207097848227E-2</v>
      </c>
      <c r="G17" s="5">
        <f t="shared" si="2"/>
        <v>5.1058643333333334E-2</v>
      </c>
      <c r="J17" s="72" t="s">
        <v>137</v>
      </c>
      <c r="K17" s="74"/>
      <c r="L17" s="73"/>
    </row>
    <row r="18" spans="1:12" x14ac:dyDescent="0.2">
      <c r="A18" s="2">
        <v>44344</v>
      </c>
      <c r="B18" s="3">
        <v>-2.8645092621445701E-2</v>
      </c>
      <c r="C18" s="3">
        <v>5.4865030000000002E-3</v>
      </c>
      <c r="D18" s="4">
        <v>1.62</v>
      </c>
      <c r="E18" s="3">
        <f t="shared" si="0"/>
        <v>1.3500000000000001E-3</v>
      </c>
      <c r="F18" s="5">
        <f t="shared" si="1"/>
        <v>-2.9995092621445701E-2</v>
      </c>
      <c r="G18" s="5">
        <f t="shared" si="2"/>
        <v>4.1365029999999997E-3</v>
      </c>
      <c r="J18" s="13" t="s">
        <v>32</v>
      </c>
      <c r="K18" t="s">
        <v>138</v>
      </c>
      <c r="L18" s="66">
        <f>L5</f>
        <v>8.3452110137275298E-2</v>
      </c>
    </row>
    <row r="19" spans="1:12" x14ac:dyDescent="0.2">
      <c r="A19" s="2">
        <v>44377</v>
      </c>
      <c r="B19" s="3">
        <v>-3.0974840745329899E-2</v>
      </c>
      <c r="C19" s="3">
        <v>2.2213980000000001E-2</v>
      </c>
      <c r="D19" s="4">
        <v>1.52</v>
      </c>
      <c r="E19" s="3">
        <f t="shared" si="0"/>
        <v>1.2666666666666668E-3</v>
      </c>
      <c r="F19" s="5">
        <f t="shared" si="1"/>
        <v>-3.2241507411996564E-2</v>
      </c>
      <c r="G19" s="5">
        <f t="shared" si="2"/>
        <v>2.0947313333333335E-2</v>
      </c>
      <c r="J19" s="13" t="s">
        <v>75</v>
      </c>
      <c r="K19" t="s">
        <v>76</v>
      </c>
      <c r="L19" s="66">
        <f>K14</f>
        <v>4.6600000000000003E-2</v>
      </c>
    </row>
    <row r="20" spans="1:12" x14ac:dyDescent="0.2">
      <c r="A20" s="2">
        <v>44407</v>
      </c>
      <c r="B20" s="3">
        <v>3.2512329518795E-2</v>
      </c>
      <c r="C20" s="3">
        <v>2.2748109999999998E-2</v>
      </c>
      <c r="D20" s="4">
        <v>1.32</v>
      </c>
      <c r="E20" s="3">
        <f t="shared" si="0"/>
        <v>1.1000000000000001E-3</v>
      </c>
      <c r="F20" s="5">
        <f t="shared" si="1"/>
        <v>3.1412329518795003E-2</v>
      </c>
      <c r="G20" s="5">
        <f t="shared" si="2"/>
        <v>2.1648109999999998E-2</v>
      </c>
      <c r="J20" s="13" t="s">
        <v>77</v>
      </c>
      <c r="K20" t="s">
        <v>139</v>
      </c>
      <c r="L20" s="67">
        <v>57370</v>
      </c>
    </row>
    <row r="21" spans="1:12" x14ac:dyDescent="0.2">
      <c r="A21" s="2">
        <v>44439</v>
      </c>
      <c r="B21" s="3">
        <v>3.4457165747880901E-2</v>
      </c>
      <c r="C21" s="3">
        <v>2.899032E-2</v>
      </c>
      <c r="D21" s="4">
        <v>1.28</v>
      </c>
      <c r="E21" s="3">
        <f t="shared" si="0"/>
        <v>1.0666666666666667E-3</v>
      </c>
      <c r="F21" s="5">
        <f t="shared" si="1"/>
        <v>3.3390499081214234E-2</v>
      </c>
      <c r="G21" s="5">
        <f t="shared" si="2"/>
        <v>2.7923653333333333E-2</v>
      </c>
      <c r="J21" s="13" t="s">
        <v>79</v>
      </c>
      <c r="K21" t="s">
        <v>140</v>
      </c>
      <c r="L21" s="67">
        <v>60</v>
      </c>
    </row>
    <row r="22" spans="1:12" x14ac:dyDescent="0.2">
      <c r="A22" s="2">
        <v>44469</v>
      </c>
      <c r="B22" s="3">
        <v>-8.9576691389083904E-2</v>
      </c>
      <c r="C22" s="3">
        <v>-4.7569140000000003E-2</v>
      </c>
      <c r="D22" s="4">
        <v>1.37</v>
      </c>
      <c r="E22" s="3">
        <f t="shared" si="0"/>
        <v>1.1416666666666667E-3</v>
      </c>
      <c r="F22" s="5">
        <f t="shared" si="1"/>
        <v>-9.071835805575057E-2</v>
      </c>
      <c r="G22" s="5">
        <f t="shared" si="2"/>
        <v>-4.8710806666666669E-2</v>
      </c>
      <c r="J22" s="13" t="s">
        <v>141</v>
      </c>
      <c r="K22" t="s">
        <v>142</v>
      </c>
      <c r="L22" s="68">
        <v>0.21</v>
      </c>
    </row>
    <row r="23" spans="1:12" x14ac:dyDescent="0.2">
      <c r="A23" s="2">
        <v>44498</v>
      </c>
      <c r="B23" s="3">
        <v>-4.3116085231304203E-2</v>
      </c>
      <c r="C23" s="3">
        <v>6.9143880000000005E-2</v>
      </c>
      <c r="D23" s="4">
        <v>1.58</v>
      </c>
      <c r="E23" s="3">
        <f t="shared" si="0"/>
        <v>1.3166666666666667E-3</v>
      </c>
      <c r="F23" s="5">
        <f t="shared" si="1"/>
        <v>-4.4432751897970871E-2</v>
      </c>
      <c r="G23" s="5">
        <f t="shared" si="2"/>
        <v>6.7827213333333344E-2</v>
      </c>
      <c r="J23" s="75" t="s">
        <v>83</v>
      </c>
      <c r="K23" s="76" t="s">
        <v>143</v>
      </c>
      <c r="L23" s="77">
        <f>L18*(L20/(L20+L21))+L19*(1-L22)*(L21/(L20+L21))</f>
        <v>8.3403384965618721E-2</v>
      </c>
    </row>
    <row r="24" spans="1:12" x14ac:dyDescent="0.2">
      <c r="A24" s="2">
        <v>44530</v>
      </c>
      <c r="B24" s="3">
        <v>-1.43529558554292E-2</v>
      </c>
      <c r="C24" s="3">
        <v>-8.3337310000000005E-3</v>
      </c>
      <c r="D24" s="4">
        <v>1.56</v>
      </c>
      <c r="E24" s="3">
        <f t="shared" si="0"/>
        <v>1.2999999999999999E-3</v>
      </c>
      <c r="F24" s="5">
        <f t="shared" si="1"/>
        <v>-1.5652955855429199E-2</v>
      </c>
      <c r="G24" s="5">
        <f t="shared" si="2"/>
        <v>-9.6337309999999995E-3</v>
      </c>
    </row>
    <row r="25" spans="1:12" x14ac:dyDescent="0.2">
      <c r="A25" s="2">
        <v>44561</v>
      </c>
      <c r="B25" s="3">
        <v>0.14633566141128501</v>
      </c>
      <c r="C25" s="3">
        <v>4.361288E-2</v>
      </c>
      <c r="D25" s="4">
        <v>1.47</v>
      </c>
      <c r="E25" s="3">
        <f t="shared" si="0"/>
        <v>1.225E-3</v>
      </c>
      <c r="F25" s="5">
        <f t="shared" si="1"/>
        <v>0.14511066141128501</v>
      </c>
      <c r="G25" s="5">
        <f t="shared" si="2"/>
        <v>4.2387880000000003E-2</v>
      </c>
    </row>
    <row r="26" spans="1:12" x14ac:dyDescent="0.2">
      <c r="A26" s="2">
        <v>44592</v>
      </c>
      <c r="B26" s="3">
        <v>-9.7042895853519398E-2</v>
      </c>
      <c r="C26" s="3">
        <v>-5.2585090000000001E-2</v>
      </c>
      <c r="D26" s="4">
        <v>1.76</v>
      </c>
      <c r="E26" s="3">
        <f t="shared" si="0"/>
        <v>1.4666666666666667E-3</v>
      </c>
      <c r="F26" s="5">
        <f t="shared" si="1"/>
        <v>-9.850956252018607E-2</v>
      </c>
      <c r="G26" s="5">
        <f t="shared" si="2"/>
        <v>-5.4051756666666666E-2</v>
      </c>
    </row>
    <row r="27" spans="1:12" x14ac:dyDescent="0.2">
      <c r="A27" s="2">
        <v>44620</v>
      </c>
      <c r="B27" s="3">
        <v>-2.6752764359116599E-2</v>
      </c>
      <c r="C27" s="3">
        <v>-3.1360520000000003E-2</v>
      </c>
      <c r="D27" s="4">
        <v>1.93</v>
      </c>
      <c r="E27" s="3">
        <f t="shared" si="0"/>
        <v>1.6083333333333334E-3</v>
      </c>
      <c r="F27" s="5">
        <f t="shared" si="1"/>
        <v>-2.8361097692449933E-2</v>
      </c>
      <c r="G27" s="5">
        <f t="shared" si="2"/>
        <v>-3.2968853333333339E-2</v>
      </c>
    </row>
    <row r="28" spans="1:12" x14ac:dyDescent="0.2">
      <c r="A28" s="2">
        <v>44651</v>
      </c>
      <c r="B28" s="3">
        <v>-5.3317535668611499E-2</v>
      </c>
      <c r="C28" s="3">
        <v>3.5773239999999998E-2</v>
      </c>
      <c r="D28" s="4">
        <v>2.13</v>
      </c>
      <c r="E28" s="3">
        <f t="shared" si="0"/>
        <v>1.7749999999999999E-3</v>
      </c>
      <c r="F28" s="5">
        <f t="shared" si="1"/>
        <v>-5.5092535668611498E-2</v>
      </c>
      <c r="G28" s="5">
        <f t="shared" si="2"/>
        <v>3.3998239999999999E-2</v>
      </c>
    </row>
    <row r="29" spans="1:12" x14ac:dyDescent="0.2">
      <c r="A29" s="2">
        <v>44680</v>
      </c>
      <c r="B29" s="3">
        <v>7.2340406477451297E-2</v>
      </c>
      <c r="C29" s="3">
        <v>-8.7956720000000002E-2</v>
      </c>
      <c r="D29" s="4">
        <v>2.75</v>
      </c>
      <c r="E29" s="3">
        <f t="shared" si="0"/>
        <v>2.2916666666666667E-3</v>
      </c>
      <c r="F29" s="5">
        <f t="shared" si="1"/>
        <v>7.0048739810784633E-2</v>
      </c>
      <c r="G29" s="5">
        <f t="shared" si="2"/>
        <v>-9.0248386666666666E-2</v>
      </c>
    </row>
    <row r="30" spans="1:12" x14ac:dyDescent="0.2">
      <c r="A30" s="2">
        <v>44712</v>
      </c>
      <c r="B30" s="3">
        <v>4.0149420499801601E-2</v>
      </c>
      <c r="C30" s="3">
        <v>5.3243879999999999E-5</v>
      </c>
      <c r="D30" s="4">
        <v>2.9</v>
      </c>
      <c r="E30" s="3">
        <f t="shared" si="0"/>
        <v>2.4166666666666668E-3</v>
      </c>
      <c r="F30" s="5">
        <f t="shared" si="1"/>
        <v>3.7732753833134937E-2</v>
      </c>
      <c r="G30" s="5">
        <f t="shared" si="2"/>
        <v>-2.3634227866666667E-3</v>
      </c>
    </row>
    <row r="31" spans="1:12" x14ac:dyDescent="0.2">
      <c r="A31" s="2">
        <v>44742</v>
      </c>
      <c r="B31" s="3">
        <v>4.0170490741729702E-2</v>
      </c>
      <c r="C31" s="3">
        <v>-8.391999E-2</v>
      </c>
      <c r="D31" s="4">
        <v>3.14</v>
      </c>
      <c r="E31" s="3">
        <f t="shared" si="0"/>
        <v>2.6166666666666664E-3</v>
      </c>
      <c r="F31" s="5">
        <f t="shared" si="1"/>
        <v>3.7553824075063039E-2</v>
      </c>
      <c r="G31" s="5">
        <f t="shared" si="2"/>
        <v>-8.653665666666667E-2</v>
      </c>
    </row>
    <row r="32" spans="1:12" x14ac:dyDescent="0.2">
      <c r="A32" s="2">
        <v>44771</v>
      </c>
      <c r="B32" s="3">
        <v>7.4649468064308194E-2</v>
      </c>
      <c r="C32" s="3">
        <v>9.1116349999999999E-2</v>
      </c>
      <c r="D32" s="4">
        <v>2.9</v>
      </c>
      <c r="E32" s="3">
        <f t="shared" si="0"/>
        <v>2.4166666666666668E-3</v>
      </c>
      <c r="F32" s="5">
        <f t="shared" si="1"/>
        <v>7.223280139764153E-2</v>
      </c>
      <c r="G32" s="5">
        <f t="shared" si="2"/>
        <v>8.8699683333333335E-2</v>
      </c>
    </row>
    <row r="33" spans="1:7" x14ac:dyDescent="0.2">
      <c r="A33" s="2">
        <v>44804</v>
      </c>
      <c r="B33" s="3">
        <v>-0.10831159353256201</v>
      </c>
      <c r="C33" s="3">
        <v>-4.2440119999999998E-2</v>
      </c>
      <c r="D33" s="4">
        <v>2.9</v>
      </c>
      <c r="E33" s="3">
        <f t="shared" si="0"/>
        <v>2.4166666666666668E-3</v>
      </c>
      <c r="F33" s="5">
        <f t="shared" si="1"/>
        <v>-0.11072826019922867</v>
      </c>
      <c r="G33" s="5">
        <f t="shared" si="2"/>
        <v>-4.4856786666666662E-2</v>
      </c>
    </row>
    <row r="34" spans="1:7" x14ac:dyDescent="0.2">
      <c r="A34" s="2">
        <v>44834</v>
      </c>
      <c r="B34" s="3">
        <v>-2.1051477640867199E-2</v>
      </c>
      <c r="C34" s="3">
        <v>-9.3395699999999998E-2</v>
      </c>
      <c r="D34" s="4">
        <v>3.52</v>
      </c>
      <c r="E34" s="3">
        <f t="shared" ref="E34:E61" si="3">(D34/12)/100</f>
        <v>2.9333333333333334E-3</v>
      </c>
      <c r="F34" s="5">
        <f t="shared" ref="F34:F61" si="4">B34-E34</f>
        <v>-2.3984810974200532E-2</v>
      </c>
      <c r="G34" s="5">
        <f t="shared" ref="G34:G61" si="5">C34-E34</f>
        <v>-9.6329033333333328E-2</v>
      </c>
    </row>
    <row r="35" spans="1:7" x14ac:dyDescent="0.2">
      <c r="A35" s="2">
        <v>44865</v>
      </c>
      <c r="B35" s="3">
        <v>7.7736914157867404E-2</v>
      </c>
      <c r="C35" s="3">
        <v>7.9863450000000002E-2</v>
      </c>
      <c r="D35" s="4">
        <v>3.98</v>
      </c>
      <c r="E35" s="3">
        <f t="shared" si="3"/>
        <v>3.3166666666666665E-3</v>
      </c>
      <c r="F35" s="5">
        <f t="shared" si="4"/>
        <v>7.4420247491200742E-2</v>
      </c>
      <c r="G35" s="5">
        <f t="shared" si="5"/>
        <v>7.654678333333334E-2</v>
      </c>
    </row>
    <row r="36" spans="1:7" x14ac:dyDescent="0.2">
      <c r="A36" s="2">
        <v>44895</v>
      </c>
      <c r="B36" s="3">
        <v>9.7524531185626998E-2</v>
      </c>
      <c r="C36" s="3">
        <v>5.375286E-2</v>
      </c>
      <c r="D36" s="4">
        <v>3.89</v>
      </c>
      <c r="E36" s="3">
        <f t="shared" si="3"/>
        <v>3.2416666666666666E-3</v>
      </c>
      <c r="F36" s="5">
        <f t="shared" si="4"/>
        <v>9.4282864518960327E-2</v>
      </c>
      <c r="G36" s="5">
        <f t="shared" si="5"/>
        <v>5.0511193333333336E-2</v>
      </c>
    </row>
    <row r="37" spans="1:7" x14ac:dyDescent="0.2">
      <c r="A37" s="2">
        <v>44925</v>
      </c>
      <c r="B37" s="3">
        <v>-1.2930214405059801E-2</v>
      </c>
      <c r="C37" s="3">
        <v>-5.8971450000000002E-2</v>
      </c>
      <c r="D37" s="4">
        <v>3.62</v>
      </c>
      <c r="E37" s="3">
        <f t="shared" si="3"/>
        <v>3.0166666666666671E-3</v>
      </c>
      <c r="F37" s="5">
        <f t="shared" si="4"/>
        <v>-1.5946881071726468E-2</v>
      </c>
      <c r="G37" s="5">
        <f t="shared" si="5"/>
        <v>-6.1988116666666669E-2</v>
      </c>
    </row>
    <row r="38" spans="1:7" x14ac:dyDescent="0.2">
      <c r="A38" s="2">
        <v>44957</v>
      </c>
      <c r="B38" s="3">
        <v>2.5115760043263401E-2</v>
      </c>
      <c r="C38" s="3">
        <v>6.1752830000000002E-2</v>
      </c>
      <c r="D38" s="4">
        <v>3.53</v>
      </c>
      <c r="E38" s="3">
        <f t="shared" si="3"/>
        <v>2.9416666666666662E-3</v>
      </c>
      <c r="F38" s="5">
        <f t="shared" si="4"/>
        <v>2.2174093376596735E-2</v>
      </c>
      <c r="G38" s="5">
        <f t="shared" si="5"/>
        <v>5.8811163333333333E-2</v>
      </c>
    </row>
    <row r="39" spans="1:7" x14ac:dyDescent="0.2">
      <c r="A39" s="2">
        <v>44985</v>
      </c>
      <c r="B39" s="3">
        <v>-2.2290542721748401E-2</v>
      </c>
      <c r="C39" s="3">
        <v>-2.6112449999999999E-2</v>
      </c>
      <c r="D39" s="4">
        <v>3.75</v>
      </c>
      <c r="E39" s="3">
        <f t="shared" si="3"/>
        <v>3.1250000000000002E-3</v>
      </c>
      <c r="F39" s="5">
        <f t="shared" si="4"/>
        <v>-2.54155427217484E-2</v>
      </c>
      <c r="G39" s="5">
        <f t="shared" si="5"/>
        <v>-2.9237449999999998E-2</v>
      </c>
    </row>
    <row r="40" spans="1:7" x14ac:dyDescent="0.2">
      <c r="A40" s="2">
        <v>45016</v>
      </c>
      <c r="B40" s="3">
        <v>6.1517238616943401E-2</v>
      </c>
      <c r="C40" s="3">
        <v>3.5051569999999997E-2</v>
      </c>
      <c r="D40" s="4">
        <v>3.66</v>
      </c>
      <c r="E40" s="3">
        <f t="shared" si="3"/>
        <v>3.0499999999999998E-3</v>
      </c>
      <c r="F40" s="5">
        <f t="shared" si="4"/>
        <v>5.8467238616943404E-2</v>
      </c>
      <c r="G40" s="5">
        <f t="shared" si="5"/>
        <v>3.200157E-2</v>
      </c>
    </row>
    <row r="41" spans="1:7" x14ac:dyDescent="0.2">
      <c r="A41" s="2">
        <v>45044</v>
      </c>
      <c r="B41" s="3">
        <v>3.6845061928033801E-2</v>
      </c>
      <c r="C41" s="3">
        <v>1.464236E-2</v>
      </c>
      <c r="D41" s="4">
        <v>3.46</v>
      </c>
      <c r="E41" s="3">
        <f t="shared" si="3"/>
        <v>2.8833333333333332E-3</v>
      </c>
      <c r="F41" s="5">
        <f t="shared" si="4"/>
        <v>3.3961728594700466E-2</v>
      </c>
      <c r="G41" s="5">
        <f t="shared" si="5"/>
        <v>1.1759026666666667E-2</v>
      </c>
    </row>
    <row r="42" spans="1:7" x14ac:dyDescent="0.2">
      <c r="A42" s="2">
        <v>45077</v>
      </c>
      <c r="B42" s="3">
        <v>4.6785693615675E-2</v>
      </c>
      <c r="C42" s="3">
        <v>2.4823240000000002E-3</v>
      </c>
      <c r="D42" s="4">
        <v>3.57</v>
      </c>
      <c r="E42" s="3">
        <f t="shared" si="3"/>
        <v>2.9749999999999998E-3</v>
      </c>
      <c r="F42" s="5">
        <f t="shared" si="4"/>
        <v>4.3810693615675002E-2</v>
      </c>
      <c r="G42" s="5">
        <f t="shared" si="5"/>
        <v>-4.9267599999999962E-4</v>
      </c>
    </row>
    <row r="43" spans="1:7" x14ac:dyDescent="0.2">
      <c r="A43" s="2">
        <v>45107</v>
      </c>
      <c r="B43" s="3">
        <v>-2.0129654556512801E-2</v>
      </c>
      <c r="C43" s="3">
        <v>6.4727510000000002E-2</v>
      </c>
      <c r="D43" s="4">
        <v>3.75</v>
      </c>
      <c r="E43" s="3">
        <f t="shared" si="3"/>
        <v>3.1250000000000002E-3</v>
      </c>
      <c r="F43" s="5">
        <f t="shared" si="4"/>
        <v>-2.3254654556512801E-2</v>
      </c>
      <c r="G43" s="5">
        <f t="shared" si="5"/>
        <v>6.1602509999999999E-2</v>
      </c>
    </row>
    <row r="44" spans="1:7" x14ac:dyDescent="0.2">
      <c r="A44" s="2">
        <v>45138</v>
      </c>
      <c r="B44" s="3">
        <v>8.70526710059494E-4</v>
      </c>
      <c r="C44" s="3">
        <v>3.1138909999999999E-2</v>
      </c>
      <c r="D44" s="4">
        <v>3.9</v>
      </c>
      <c r="E44" s="3">
        <f t="shared" si="3"/>
        <v>3.2500000000000003E-3</v>
      </c>
      <c r="F44" s="5">
        <f t="shared" si="4"/>
        <v>-2.3794732899405065E-3</v>
      </c>
      <c r="G44" s="5">
        <f t="shared" si="5"/>
        <v>2.7888909999999999E-2</v>
      </c>
    </row>
    <row r="45" spans="1:7" x14ac:dyDescent="0.2">
      <c r="A45" s="2">
        <v>45169</v>
      </c>
      <c r="B45" s="3">
        <v>-1.3915781164541799E-3</v>
      </c>
      <c r="C45" s="3">
        <v>-1.7716429999999998E-2</v>
      </c>
      <c r="D45" s="4">
        <v>4.17</v>
      </c>
      <c r="E45" s="3">
        <f t="shared" si="3"/>
        <v>3.4749999999999998E-3</v>
      </c>
      <c r="F45" s="5">
        <f t="shared" si="4"/>
        <v>-4.8665781164541795E-3</v>
      </c>
      <c r="G45" s="5">
        <f t="shared" si="5"/>
        <v>-2.1191429999999997E-2</v>
      </c>
    </row>
    <row r="46" spans="1:7" x14ac:dyDescent="0.2">
      <c r="A46" s="2">
        <v>45198</v>
      </c>
      <c r="B46" s="3">
        <v>-7.7686801552772494E-2</v>
      </c>
      <c r="C46" s="3">
        <v>-4.8719289999999998E-2</v>
      </c>
      <c r="D46" s="4">
        <v>4.38</v>
      </c>
      <c r="E46" s="3">
        <f t="shared" si="3"/>
        <v>3.65E-3</v>
      </c>
      <c r="F46" s="5">
        <f t="shared" si="4"/>
        <v>-8.1336801552772495E-2</v>
      </c>
      <c r="G46" s="5">
        <f t="shared" si="5"/>
        <v>-5.2369289999999999E-2</v>
      </c>
    </row>
    <row r="47" spans="1:7" x14ac:dyDescent="0.2">
      <c r="A47" s="2">
        <v>45230</v>
      </c>
      <c r="B47" s="3">
        <v>-3.4938663244247402E-2</v>
      </c>
      <c r="C47" s="3">
        <v>-2.197969E-2</v>
      </c>
      <c r="D47" s="4">
        <v>4.8</v>
      </c>
      <c r="E47" s="3">
        <f t="shared" si="3"/>
        <v>4.0000000000000001E-3</v>
      </c>
      <c r="F47" s="5">
        <f t="shared" si="4"/>
        <v>-3.8938663244247398E-2</v>
      </c>
      <c r="G47" s="5">
        <f t="shared" si="5"/>
        <v>-2.597969E-2</v>
      </c>
    </row>
    <row r="48" spans="1:7" x14ac:dyDescent="0.2">
      <c r="A48" s="2">
        <v>45260</v>
      </c>
      <c r="B48" s="3">
        <v>7.9256422817707103E-2</v>
      </c>
      <c r="C48" s="3">
        <v>8.9179259999999996E-2</v>
      </c>
      <c r="D48" s="4">
        <v>4.5</v>
      </c>
      <c r="E48" s="3">
        <f t="shared" si="3"/>
        <v>3.7499999999999999E-3</v>
      </c>
      <c r="F48" s="5">
        <f t="shared" si="4"/>
        <v>7.55064228177071E-2</v>
      </c>
      <c r="G48" s="5">
        <f t="shared" si="5"/>
        <v>8.5429259999999993E-2</v>
      </c>
    </row>
    <row r="49" spans="1:7" x14ac:dyDescent="0.2">
      <c r="A49" s="2">
        <v>45289</v>
      </c>
      <c r="B49" s="3">
        <v>4.4605601578950903E-2</v>
      </c>
      <c r="C49" s="3">
        <v>4.4229169999999998E-2</v>
      </c>
      <c r="D49" s="4">
        <v>4.0199999999999996</v>
      </c>
      <c r="E49" s="3">
        <f t="shared" si="3"/>
        <v>3.3499999999999997E-3</v>
      </c>
      <c r="F49" s="5">
        <f t="shared" si="4"/>
        <v>4.1255601578950904E-2</v>
      </c>
      <c r="G49" s="5">
        <f t="shared" si="5"/>
        <v>4.0879169999999999E-2</v>
      </c>
    </row>
    <row r="50" spans="1:7" x14ac:dyDescent="0.2">
      <c r="A50" s="2">
        <v>45322</v>
      </c>
      <c r="B50" s="3">
        <v>-4.4957473874092102E-2</v>
      </c>
      <c r="C50" s="3">
        <v>1.5895739999999998E-2</v>
      </c>
      <c r="D50" s="4">
        <v>4.0599999999999996</v>
      </c>
      <c r="E50" s="3">
        <f t="shared" si="3"/>
        <v>3.3833333333333332E-3</v>
      </c>
      <c r="F50" s="5">
        <f t="shared" si="4"/>
        <v>-4.8340807207425437E-2</v>
      </c>
      <c r="G50" s="5">
        <f t="shared" si="5"/>
        <v>1.2512406666666665E-2</v>
      </c>
    </row>
    <row r="51" spans="1:7" x14ac:dyDescent="0.2">
      <c r="A51" s="2">
        <v>45351</v>
      </c>
      <c r="B51" s="3">
        <v>7.4154816567897797E-2</v>
      </c>
      <c r="C51" s="3">
        <v>5.1720620000000002E-2</v>
      </c>
      <c r="D51" s="4">
        <v>4.21</v>
      </c>
      <c r="E51" s="3">
        <f t="shared" si="3"/>
        <v>3.5083333333333334E-3</v>
      </c>
      <c r="F51" s="5">
        <f t="shared" si="4"/>
        <v>7.0646483234564461E-2</v>
      </c>
      <c r="G51" s="5">
        <f t="shared" si="5"/>
        <v>4.8212286666666666E-2</v>
      </c>
    </row>
    <row r="52" spans="1:7" x14ac:dyDescent="0.2">
      <c r="A52" s="2">
        <v>45379</v>
      </c>
      <c r="B52" s="3">
        <v>3.0456904787570199E-3</v>
      </c>
      <c r="C52" s="3">
        <v>3.1018759999999999E-2</v>
      </c>
      <c r="D52" s="4">
        <v>4.21</v>
      </c>
      <c r="E52" s="3">
        <f t="shared" si="3"/>
        <v>3.5083333333333334E-3</v>
      </c>
      <c r="F52" s="5">
        <f t="shared" si="4"/>
        <v>-4.6264285457631345E-4</v>
      </c>
      <c r="G52" s="5">
        <f t="shared" si="5"/>
        <v>2.7510426666666667E-2</v>
      </c>
    </row>
    <row r="53" spans="1:7" x14ac:dyDescent="0.2">
      <c r="A53" s="2">
        <v>45412</v>
      </c>
      <c r="B53" s="3">
        <v>-9.8346799612045302E-2</v>
      </c>
      <c r="C53" s="3">
        <v>-4.1615039999999999E-2</v>
      </c>
      <c r="D53" s="4">
        <v>4.54</v>
      </c>
      <c r="E53" s="3">
        <f t="shared" si="3"/>
        <v>3.7833333333333334E-3</v>
      </c>
      <c r="F53" s="5">
        <f t="shared" si="4"/>
        <v>-0.10213013294537863</v>
      </c>
      <c r="G53" s="5">
        <f t="shared" si="5"/>
        <v>-4.5398373333333332E-2</v>
      </c>
    </row>
    <row r="54" spans="1:7" x14ac:dyDescent="0.2">
      <c r="A54" s="2">
        <v>45443</v>
      </c>
      <c r="B54" s="3">
        <v>-2.8624931350350401E-2</v>
      </c>
      <c r="C54" s="3">
        <v>4.8021220000000003E-2</v>
      </c>
      <c r="D54" s="4">
        <v>4.4800000000000004</v>
      </c>
      <c r="E54" s="3">
        <f t="shared" si="3"/>
        <v>3.7333333333333333E-3</v>
      </c>
      <c r="F54" s="5">
        <f t="shared" si="4"/>
        <v>-3.2358264683683732E-2</v>
      </c>
      <c r="G54" s="5">
        <f t="shared" si="5"/>
        <v>4.4287886666666672E-2</v>
      </c>
    </row>
    <row r="55" spans="1:7" x14ac:dyDescent="0.2">
      <c r="A55" s="2">
        <v>45471</v>
      </c>
      <c r="B55" s="3">
        <v>-3.7942942231893498E-2</v>
      </c>
      <c r="C55" s="3">
        <v>3.4669760000000001E-2</v>
      </c>
      <c r="D55" s="4">
        <v>4.3099999999999996</v>
      </c>
      <c r="E55" s="3">
        <f t="shared" si="3"/>
        <v>3.5916666666666662E-3</v>
      </c>
      <c r="F55" s="5">
        <f t="shared" si="4"/>
        <v>-4.1534608898560164E-2</v>
      </c>
      <c r="G55" s="5">
        <f t="shared" si="5"/>
        <v>3.1078093333333334E-2</v>
      </c>
    </row>
    <row r="56" spans="1:7" x14ac:dyDescent="0.2">
      <c r="A56" s="2">
        <v>45504</v>
      </c>
      <c r="B56" s="3">
        <v>3.00300288945437E-2</v>
      </c>
      <c r="C56" s="3">
        <v>1.1321350000000001E-2</v>
      </c>
      <c r="D56" s="4">
        <v>4.25</v>
      </c>
      <c r="E56" s="3">
        <f t="shared" si="3"/>
        <v>3.5416666666666669E-3</v>
      </c>
      <c r="F56" s="5">
        <f t="shared" si="4"/>
        <v>2.6488362227877031E-2</v>
      </c>
      <c r="G56" s="5">
        <f t="shared" si="5"/>
        <v>7.7796833333333339E-3</v>
      </c>
    </row>
    <row r="57" spans="1:7" x14ac:dyDescent="0.2">
      <c r="A57" s="2">
        <v>45534</v>
      </c>
      <c r="B57" s="3">
        <v>-8.3965010941028595E-2</v>
      </c>
      <c r="C57" s="3">
        <v>2.2834690000000001E-2</v>
      </c>
      <c r="D57" s="4">
        <v>3.87</v>
      </c>
      <c r="E57" s="3">
        <f t="shared" si="3"/>
        <v>3.225E-3</v>
      </c>
      <c r="F57" s="5">
        <f t="shared" si="4"/>
        <v>-8.7190010941028601E-2</v>
      </c>
      <c r="G57" s="5">
        <f t="shared" si="5"/>
        <v>1.9609690000000003E-2</v>
      </c>
    </row>
    <row r="58" spans="1:7" x14ac:dyDescent="0.2">
      <c r="A58" s="2">
        <v>45565</v>
      </c>
      <c r="B58" s="3">
        <v>0.106938190758228</v>
      </c>
      <c r="C58" s="3">
        <v>2.0196869999999999E-2</v>
      </c>
      <c r="D58" s="4">
        <v>3.72</v>
      </c>
      <c r="E58" s="3">
        <f t="shared" si="3"/>
        <v>3.0999999999999999E-3</v>
      </c>
      <c r="F58" s="5">
        <f t="shared" si="4"/>
        <v>0.10383819075822799</v>
      </c>
      <c r="G58" s="5">
        <f t="shared" si="5"/>
        <v>1.709687E-2</v>
      </c>
    </row>
    <row r="59" spans="1:7" x14ac:dyDescent="0.2">
      <c r="A59" s="2">
        <v>45596</v>
      </c>
      <c r="B59" s="3">
        <v>9.7757745534181595E-3</v>
      </c>
      <c r="C59" s="3">
        <v>-9.8967800000000009E-3</v>
      </c>
      <c r="D59" s="4">
        <v>4.0999999999999996</v>
      </c>
      <c r="E59" s="3">
        <f t="shared" si="3"/>
        <v>3.4166666666666664E-3</v>
      </c>
      <c r="F59" s="5">
        <f t="shared" si="4"/>
        <v>6.3591078867514927E-3</v>
      </c>
      <c r="G59" s="5">
        <f t="shared" si="5"/>
        <v>-1.3313446666666668E-2</v>
      </c>
    </row>
    <row r="60" spans="1:7" x14ac:dyDescent="0.2">
      <c r="A60" s="2">
        <v>45625</v>
      </c>
      <c r="B60" s="3">
        <v>4.6507228165864903E-2</v>
      </c>
      <c r="C60" s="3">
        <v>5.7301350000000001E-2</v>
      </c>
      <c r="D60" s="4">
        <v>4.3600000000000003</v>
      </c>
      <c r="E60" s="3">
        <f t="shared" si="3"/>
        <v>3.6333333333333335E-3</v>
      </c>
      <c r="F60" s="5">
        <f t="shared" si="4"/>
        <v>4.2873894832531567E-2</v>
      </c>
      <c r="G60" s="5">
        <f t="shared" si="5"/>
        <v>5.3668016666666665E-2</v>
      </c>
    </row>
    <row r="61" spans="1:7" x14ac:dyDescent="0.2">
      <c r="A61" s="2">
        <v>45657</v>
      </c>
      <c r="B61" s="3">
        <v>-4.6617079526186003E-2</v>
      </c>
      <c r="C61" s="3">
        <v>-2.4990140000000001E-2</v>
      </c>
      <c r="D61" s="4">
        <v>4.3899999999999997</v>
      </c>
      <c r="E61" s="3">
        <f t="shared" si="3"/>
        <v>3.6583333333333329E-3</v>
      </c>
      <c r="F61" s="5">
        <f t="shared" si="4"/>
        <v>-5.0275412859519336E-2</v>
      </c>
      <c r="G61" s="5">
        <f t="shared" si="5"/>
        <v>-2.8648473333333334E-2</v>
      </c>
    </row>
    <row r="62" spans="1:7" x14ac:dyDescent="0.2">
      <c r="D62" s="4"/>
    </row>
    <row r="63" spans="1:7" x14ac:dyDescent="0.2">
      <c r="D63" s="4"/>
    </row>
    <row r="64" spans="1:7" x14ac:dyDescent="0.2">
      <c r="D64" s="4"/>
    </row>
    <row r="65" spans="1:6" x14ac:dyDescent="0.2">
      <c r="D65" s="4"/>
    </row>
    <row r="66" spans="1:6" x14ac:dyDescent="0.2">
      <c r="A66" t="s">
        <v>85</v>
      </c>
    </row>
    <row r="67" spans="1:6" ht="15.75" customHeight="1" thickBot="1" x14ac:dyDescent="0.25"/>
    <row r="68" spans="1:6" x14ac:dyDescent="0.2">
      <c r="A68" s="95" t="s">
        <v>86</v>
      </c>
      <c r="B68" s="95"/>
    </row>
    <row r="69" spans="1:6" x14ac:dyDescent="0.2">
      <c r="A69" t="s">
        <v>87</v>
      </c>
      <c r="B69">
        <v>0.586038705029851</v>
      </c>
    </row>
    <row r="70" spans="1:6" x14ac:dyDescent="0.2">
      <c r="A70" t="s">
        <v>88</v>
      </c>
      <c r="B70">
        <v>0.343441363793065</v>
      </c>
    </row>
    <row r="71" spans="1:6" x14ac:dyDescent="0.2">
      <c r="A71" t="s">
        <v>89</v>
      </c>
      <c r="B71">
        <v>0.33212138730673801</v>
      </c>
    </row>
    <row r="72" spans="1:6" x14ac:dyDescent="0.2">
      <c r="A72" t="s">
        <v>90</v>
      </c>
      <c r="B72">
        <v>5.44227908425374E-2</v>
      </c>
    </row>
    <row r="73" spans="1:6" ht="15.75" customHeight="1" thickBot="1" x14ac:dyDescent="0.25">
      <c r="A73" s="8" t="s">
        <v>91</v>
      </c>
      <c r="B73" s="8">
        <v>60</v>
      </c>
    </row>
    <row r="75" spans="1:6" ht="15.75" customHeight="1" thickBot="1" x14ac:dyDescent="0.25">
      <c r="A75" t="s">
        <v>92</v>
      </c>
    </row>
    <row r="76" spans="1:6" x14ac:dyDescent="0.2">
      <c r="A76" s="1"/>
      <c r="B76" s="1" t="s">
        <v>93</v>
      </c>
      <c r="C76" s="1" t="s">
        <v>94</v>
      </c>
      <c r="D76" s="1" t="s">
        <v>95</v>
      </c>
      <c r="E76" s="1" t="s">
        <v>96</v>
      </c>
      <c r="F76" s="1" t="s">
        <v>97</v>
      </c>
    </row>
    <row r="77" spans="1:6" x14ac:dyDescent="0.2">
      <c r="A77" t="s">
        <v>98</v>
      </c>
      <c r="B77">
        <v>1</v>
      </c>
      <c r="C77">
        <v>8.9860471545820705E-2</v>
      </c>
      <c r="D77">
        <v>8.9860471545820705E-2</v>
      </c>
      <c r="E77">
        <v>30.3394061116568</v>
      </c>
      <c r="F77">
        <v>8.67865859386846E-7</v>
      </c>
    </row>
    <row r="78" spans="1:6" x14ac:dyDescent="0.2">
      <c r="A78" t="s">
        <v>99</v>
      </c>
      <c r="B78">
        <v>58</v>
      </c>
      <c r="C78">
        <v>0.171786729459253</v>
      </c>
      <c r="D78">
        <v>2.96184016309058E-3</v>
      </c>
    </row>
    <row r="79" spans="1:6" ht="15.75" customHeight="1" thickBot="1" x14ac:dyDescent="0.25">
      <c r="A79" s="8" t="s">
        <v>100</v>
      </c>
      <c r="B79" s="8">
        <v>59</v>
      </c>
      <c r="C79" s="8">
        <v>0.26164720100507399</v>
      </c>
      <c r="D79" s="8"/>
      <c r="E79" s="8"/>
      <c r="F79" s="8"/>
    </row>
    <row r="80" spans="1:6" ht="15.75" customHeight="1" thickBot="1" x14ac:dyDescent="0.25"/>
    <row r="81" spans="1:9" x14ac:dyDescent="0.2">
      <c r="A81" s="1"/>
      <c r="B81" s="1" t="s">
        <v>101</v>
      </c>
      <c r="C81" s="1" t="s">
        <v>90</v>
      </c>
      <c r="D81" s="1" t="s">
        <v>102</v>
      </c>
      <c r="E81" s="1" t="s">
        <v>103</v>
      </c>
      <c r="F81" s="1" t="s">
        <v>104</v>
      </c>
      <c r="G81" s="1" t="s">
        <v>105</v>
      </c>
      <c r="H81" s="1" t="s">
        <v>106</v>
      </c>
      <c r="I81" s="1" t="s">
        <v>107</v>
      </c>
    </row>
    <row r="82" spans="1:9" x14ac:dyDescent="0.2">
      <c r="A82" t="s">
        <v>108</v>
      </c>
      <c r="B82">
        <v>1.52099354671162E-3</v>
      </c>
      <c r="C82">
        <v>7.1335701383722803E-3</v>
      </c>
      <c r="D82">
        <v>0.21321631626358101</v>
      </c>
      <c r="E82">
        <v>0.83190593105972799</v>
      </c>
      <c r="F82">
        <v>-1.27583985236445E-2</v>
      </c>
      <c r="G82">
        <v>1.58003856170678E-2</v>
      </c>
      <c r="H82">
        <v>-1.27583985236445E-2</v>
      </c>
      <c r="I82">
        <v>1.58003856170678E-2</v>
      </c>
    </row>
    <row r="83" spans="1:9" ht="15.75" customHeight="1" thickBot="1" x14ac:dyDescent="0.25">
      <c r="A83" s="8" t="s">
        <v>25</v>
      </c>
      <c r="B83" s="8">
        <v>0.74276563885955105</v>
      </c>
      <c r="C83" s="8">
        <v>0.13484916666139099</v>
      </c>
      <c r="D83" s="8">
        <v>5.5081218315916702</v>
      </c>
      <c r="E83" s="8">
        <v>8.6786585938684197E-7</v>
      </c>
      <c r="F83" s="8">
        <v>0.47283570423103</v>
      </c>
      <c r="G83" s="8">
        <v>1.01269557348807</v>
      </c>
      <c r="H83" s="8">
        <v>0.47283570423103</v>
      </c>
      <c r="I83" s="8">
        <v>1.01269557348807</v>
      </c>
    </row>
    <row r="87" spans="1:9" x14ac:dyDescent="0.2">
      <c r="D87" s="4"/>
    </row>
    <row r="88" spans="1:9" x14ac:dyDescent="0.2">
      <c r="D88" s="4"/>
    </row>
    <row r="89" spans="1:9" x14ac:dyDescent="0.2">
      <c r="D89" s="4"/>
    </row>
    <row r="90" spans="1:9" x14ac:dyDescent="0.2">
      <c r="D90" s="4"/>
    </row>
    <row r="91" spans="1:9" x14ac:dyDescent="0.2">
      <c r="D91" s="4"/>
    </row>
    <row r="92" spans="1:9" x14ac:dyDescent="0.2">
      <c r="D92" s="4"/>
    </row>
    <row r="93" spans="1:9" x14ac:dyDescent="0.2">
      <c r="D93" s="4"/>
    </row>
    <row r="94" spans="1:9" x14ac:dyDescent="0.2">
      <c r="D94" s="4"/>
    </row>
    <row r="95" spans="1:9" x14ac:dyDescent="0.2">
      <c r="D95" s="4"/>
    </row>
    <row r="96" spans="1:9" x14ac:dyDescent="0.2">
      <c r="D96" s="4"/>
    </row>
    <row r="97" spans="4:4" x14ac:dyDescent="0.2">
      <c r="D97" s="4"/>
    </row>
  </sheetData>
  <mergeCells count="1">
    <mergeCell ref="A68:B6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7"/>
  <sheetViews>
    <sheetView showGridLines="0" zoomScale="122" zoomScaleNormal="122" workbookViewId="0">
      <selection activeCell="J32" sqref="J32"/>
    </sheetView>
  </sheetViews>
  <sheetFormatPr baseColWidth="10" defaultColWidth="10.6640625" defaultRowHeight="15" x14ac:dyDescent="0.2"/>
  <cols>
    <col min="1" max="1" width="11" customWidth="1"/>
    <col min="2" max="3" width="12.6640625" customWidth="1"/>
    <col min="4" max="4" width="22.1640625" customWidth="1"/>
    <col min="5" max="5" width="12.6640625" customWidth="1"/>
    <col min="6" max="7" width="12" customWidth="1"/>
    <col min="8" max="9" width="8.83203125" customWidth="1"/>
    <col min="10" max="10" width="40.6640625" bestFit="1" customWidth="1"/>
    <col min="11" max="11" width="31.1640625" bestFit="1" customWidth="1"/>
    <col min="12" max="12" width="12.1640625" bestFit="1" customWidth="1"/>
    <col min="13" max="13" width="14.83203125" bestFit="1" customWidth="1"/>
    <col min="14" max="14" width="7.33203125" bestFit="1" customWidth="1"/>
    <col min="15" max="15" width="10.5" bestFit="1" customWidth="1"/>
  </cols>
  <sheetData>
    <row r="1" spans="1:15" ht="35" customHeight="1" x14ac:dyDescent="0.2">
      <c r="A1" s="61" t="s">
        <v>20</v>
      </c>
      <c r="B1" s="61" t="s">
        <v>199</v>
      </c>
      <c r="C1" s="61" t="s">
        <v>22</v>
      </c>
      <c r="D1" s="60" t="s">
        <v>23</v>
      </c>
      <c r="E1" s="61" t="s">
        <v>24</v>
      </c>
      <c r="F1" s="61" t="s">
        <v>200</v>
      </c>
      <c r="G1" s="61" t="s">
        <v>25</v>
      </c>
      <c r="J1" s="69" t="s">
        <v>26</v>
      </c>
      <c r="K1" s="70"/>
      <c r="L1" s="71"/>
    </row>
    <row r="2" spans="1:15" ht="15.75" customHeight="1" x14ac:dyDescent="0.2">
      <c r="A2" s="2">
        <v>43861</v>
      </c>
      <c r="B2" s="3">
        <v>3.3790908753871897E-2</v>
      </c>
      <c r="C2" s="3">
        <v>-1.62809E-3</v>
      </c>
      <c r="D2" s="4">
        <v>1.76</v>
      </c>
      <c r="E2" s="3">
        <f t="shared" ref="E2:E33" si="0">(D2/12)/100</f>
        <v>1.4666666666666667E-3</v>
      </c>
      <c r="F2" s="5">
        <f t="shared" ref="F2:F33" si="1">B2-E2</f>
        <v>3.2324242087205232E-2</v>
      </c>
      <c r="G2" s="5">
        <f t="shared" ref="G2:G33" si="2">C2-E2</f>
        <v>-3.0947566666666669E-3</v>
      </c>
      <c r="J2" s="62" t="s">
        <v>27</v>
      </c>
      <c r="K2" s="6" t="s">
        <v>110</v>
      </c>
      <c r="L2" s="63">
        <f>B83</f>
        <v>0.93887285415469002</v>
      </c>
    </row>
    <row r="3" spans="1:15" x14ac:dyDescent="0.2">
      <c r="A3" s="2">
        <v>43889</v>
      </c>
      <c r="B3" s="3">
        <v>-2.5322984904050799E-2</v>
      </c>
      <c r="C3" s="3">
        <v>-8.4110470000000007E-2</v>
      </c>
      <c r="D3" s="4">
        <v>1.5</v>
      </c>
      <c r="E3" s="3">
        <f t="shared" si="0"/>
        <v>1.25E-3</v>
      </c>
      <c r="F3" s="5">
        <f t="shared" si="1"/>
        <v>-2.65729849040508E-2</v>
      </c>
      <c r="G3" s="5">
        <f t="shared" si="2"/>
        <v>-8.5360470000000008E-2</v>
      </c>
      <c r="J3" s="13" t="s">
        <v>28</v>
      </c>
      <c r="K3" t="s">
        <v>29</v>
      </c>
      <c r="L3" s="64">
        <v>4.2599999999999999E-2</v>
      </c>
    </row>
    <row r="4" spans="1:15" x14ac:dyDescent="0.2">
      <c r="A4" s="2">
        <v>43921</v>
      </c>
      <c r="B4" s="3">
        <v>-0.26086962223053001</v>
      </c>
      <c r="C4" s="3">
        <v>-0.12511929999999999</v>
      </c>
      <c r="D4" s="4">
        <v>0.87</v>
      </c>
      <c r="E4" s="3">
        <f t="shared" si="0"/>
        <v>7.2499999999999995E-4</v>
      </c>
      <c r="F4" s="5">
        <f t="shared" si="1"/>
        <v>-0.26159462223052998</v>
      </c>
      <c r="G4" s="5">
        <f t="shared" si="2"/>
        <v>-0.12584429999999999</v>
      </c>
      <c r="J4" s="13" t="s">
        <v>30</v>
      </c>
      <c r="K4" t="s">
        <v>111</v>
      </c>
      <c r="L4" s="64">
        <v>5.5E-2</v>
      </c>
    </row>
    <row r="5" spans="1:15" x14ac:dyDescent="0.2">
      <c r="A5" s="2">
        <v>43951</v>
      </c>
      <c r="B5" s="3">
        <v>0.122668616473675</v>
      </c>
      <c r="C5" s="3">
        <v>0.12684409999999999</v>
      </c>
      <c r="D5" s="4">
        <v>0.66</v>
      </c>
      <c r="E5" s="3">
        <f t="shared" si="0"/>
        <v>5.5000000000000003E-4</v>
      </c>
      <c r="F5" s="5">
        <f t="shared" si="1"/>
        <v>0.122118616473675</v>
      </c>
      <c r="G5" s="5">
        <f t="shared" si="2"/>
        <v>0.12629409999999999</v>
      </c>
      <c r="J5" s="75" t="s">
        <v>32</v>
      </c>
      <c r="K5" s="76" t="s">
        <v>33</v>
      </c>
      <c r="L5" s="77">
        <f>L3+L2*L4</f>
        <v>9.4238006978507954E-2</v>
      </c>
    </row>
    <row r="6" spans="1:15" x14ac:dyDescent="0.2">
      <c r="A6" s="2">
        <v>43980</v>
      </c>
      <c r="B6" s="3">
        <v>0.119974084198475</v>
      </c>
      <c r="C6" s="3">
        <v>4.5281780000000001E-2</v>
      </c>
      <c r="D6" s="4">
        <v>0.67</v>
      </c>
      <c r="E6" s="3">
        <f t="shared" si="0"/>
        <v>5.5833333333333342E-4</v>
      </c>
      <c r="F6" s="5">
        <f t="shared" si="1"/>
        <v>0.11941575086514167</v>
      </c>
      <c r="G6" s="5">
        <f t="shared" si="2"/>
        <v>4.4723446666666666E-2</v>
      </c>
    </row>
    <row r="7" spans="1:15" x14ac:dyDescent="0.2">
      <c r="A7" s="2">
        <v>44012</v>
      </c>
      <c r="B7" s="3">
        <v>1.44759695976973E-2</v>
      </c>
      <c r="C7" s="3">
        <v>1.8388399999999999E-2</v>
      </c>
      <c r="D7" s="4">
        <v>0.73</v>
      </c>
      <c r="E7" s="3">
        <f t="shared" si="0"/>
        <v>6.0833333333333334E-4</v>
      </c>
      <c r="F7" s="5">
        <f t="shared" si="1"/>
        <v>1.3867636264363966E-2</v>
      </c>
      <c r="G7" s="5">
        <f t="shared" si="2"/>
        <v>1.7780066666666667E-2</v>
      </c>
    </row>
    <row r="8" spans="1:15" x14ac:dyDescent="0.2">
      <c r="A8" s="2">
        <v>44043</v>
      </c>
      <c r="B8" s="3">
        <v>4.2808245867490803E-2</v>
      </c>
      <c r="C8" s="3">
        <v>5.5101299999999999E-2</v>
      </c>
      <c r="D8" s="4">
        <v>0.62</v>
      </c>
      <c r="E8" s="3">
        <f t="shared" si="0"/>
        <v>5.1666666666666668E-4</v>
      </c>
      <c r="F8" s="5">
        <f t="shared" si="1"/>
        <v>4.2291579200824138E-2</v>
      </c>
      <c r="G8" s="5">
        <f t="shared" si="2"/>
        <v>5.4584633333333334E-2</v>
      </c>
      <c r="J8" s="79" t="s">
        <v>152</v>
      </c>
      <c r="K8" s="80"/>
      <c r="L8" s="80"/>
      <c r="M8" s="80"/>
      <c r="N8" s="80"/>
      <c r="O8" s="81"/>
    </row>
    <row r="9" spans="1:15" x14ac:dyDescent="0.2">
      <c r="A9" s="2">
        <v>44074</v>
      </c>
      <c r="B9" s="3">
        <v>6.0974885709583803E-3</v>
      </c>
      <c r="C9" s="3">
        <v>7.0064689999999999E-2</v>
      </c>
      <c r="D9" s="4">
        <v>0.65</v>
      </c>
      <c r="E9" s="3">
        <f t="shared" si="0"/>
        <v>5.4166666666666664E-4</v>
      </c>
      <c r="F9" s="5">
        <f t="shared" si="1"/>
        <v>5.5558219042917134E-3</v>
      </c>
      <c r="G9" s="5">
        <f t="shared" si="2"/>
        <v>6.9523023333333336E-2</v>
      </c>
      <c r="J9" s="82" t="s">
        <v>42</v>
      </c>
      <c r="K9" s="78" t="s">
        <v>43</v>
      </c>
      <c r="L9" s="78" t="s">
        <v>44</v>
      </c>
      <c r="M9" s="78" t="s">
        <v>45</v>
      </c>
      <c r="N9" s="78" t="s">
        <v>46</v>
      </c>
      <c r="O9" s="83" t="s">
        <v>113</v>
      </c>
    </row>
    <row r="10" spans="1:15" x14ac:dyDescent="0.2">
      <c r="A10" s="2">
        <v>44104</v>
      </c>
      <c r="B10" s="3">
        <v>-1.3223128393292399E-2</v>
      </c>
      <c r="C10" s="3">
        <v>-3.9227959999999999E-2</v>
      </c>
      <c r="D10" s="4">
        <v>0.68</v>
      </c>
      <c r="E10" s="3">
        <f t="shared" si="0"/>
        <v>5.6666666666666671E-4</v>
      </c>
      <c r="F10" s="5">
        <f t="shared" si="1"/>
        <v>-1.3789795059959066E-2</v>
      </c>
      <c r="G10" s="5">
        <f t="shared" si="2"/>
        <v>-3.9794626666666666E-2</v>
      </c>
      <c r="J10" s="13" t="s">
        <v>153</v>
      </c>
      <c r="K10" s="84">
        <v>3.7999999999999999E-2</v>
      </c>
      <c r="L10" s="85">
        <v>54909</v>
      </c>
      <c r="M10" s="86">
        <v>24</v>
      </c>
      <c r="N10" s="5">
        <v>5.9700000000000003E-2</v>
      </c>
      <c r="O10" s="14" t="s">
        <v>131</v>
      </c>
    </row>
    <row r="11" spans="1:15" x14ac:dyDescent="0.2">
      <c r="A11" s="2">
        <v>44134</v>
      </c>
      <c r="B11" s="3">
        <v>-4.5784436166286503E-2</v>
      </c>
      <c r="C11" s="3">
        <v>-2.7665780000000001E-2</v>
      </c>
      <c r="D11" s="4">
        <v>0.79</v>
      </c>
      <c r="E11" s="3">
        <f t="shared" si="0"/>
        <v>6.5833333333333336E-4</v>
      </c>
      <c r="F11" s="5">
        <f t="shared" si="1"/>
        <v>-4.6442769499619833E-2</v>
      </c>
      <c r="G11" s="5">
        <f t="shared" si="2"/>
        <v>-2.8324113333333335E-2</v>
      </c>
      <c r="J11" s="13" t="s">
        <v>154</v>
      </c>
      <c r="K11" s="84">
        <v>4.4999999999999998E-2</v>
      </c>
      <c r="L11" s="2">
        <v>55624</v>
      </c>
      <c r="M11">
        <v>26</v>
      </c>
      <c r="N11" s="5">
        <v>5.96E-2</v>
      </c>
      <c r="O11" s="14" t="s">
        <v>155</v>
      </c>
    </row>
    <row r="12" spans="1:15" x14ac:dyDescent="0.2">
      <c r="A12" s="2">
        <v>44165</v>
      </c>
      <c r="B12" s="3">
        <v>2.90628559887409E-2</v>
      </c>
      <c r="C12" s="3">
        <v>0.10754569999999999</v>
      </c>
      <c r="D12" s="4">
        <v>0.87</v>
      </c>
      <c r="E12" s="3">
        <f t="shared" si="0"/>
        <v>7.2499999999999995E-4</v>
      </c>
      <c r="F12" s="5">
        <f t="shared" si="1"/>
        <v>2.83378559887409E-2</v>
      </c>
      <c r="G12" s="5">
        <f t="shared" si="2"/>
        <v>0.10682069999999999</v>
      </c>
      <c r="J12" s="13" t="s">
        <v>156</v>
      </c>
      <c r="K12" s="84">
        <v>5.0849999999999999E-2</v>
      </c>
      <c r="L12" s="2">
        <v>54203</v>
      </c>
      <c r="M12">
        <v>22.1</v>
      </c>
      <c r="N12" s="5">
        <v>5.9200000000000003E-2</v>
      </c>
      <c r="O12" s="14" t="s">
        <v>157</v>
      </c>
    </row>
    <row r="13" spans="1:15" x14ac:dyDescent="0.2">
      <c r="A13" s="2">
        <v>44196</v>
      </c>
      <c r="B13" s="3">
        <v>2.59365327656269E-2</v>
      </c>
      <c r="C13" s="3">
        <v>3.7121410000000001E-2</v>
      </c>
      <c r="D13" s="4">
        <v>0.93</v>
      </c>
      <c r="E13" s="3">
        <f t="shared" si="0"/>
        <v>7.7499999999999997E-4</v>
      </c>
      <c r="F13" s="5">
        <f t="shared" si="1"/>
        <v>2.5161532765626899E-2</v>
      </c>
      <c r="G13" s="5">
        <f t="shared" si="2"/>
        <v>3.6346410000000003E-2</v>
      </c>
      <c r="J13" s="13" t="s">
        <v>158</v>
      </c>
      <c r="K13" s="84">
        <v>3.3500000000000002E-2</v>
      </c>
      <c r="L13" s="2">
        <v>55227</v>
      </c>
      <c r="M13">
        <v>24.9</v>
      </c>
      <c r="N13" s="5">
        <v>5.8999999999999997E-2</v>
      </c>
      <c r="O13" s="14" t="s">
        <v>117</v>
      </c>
    </row>
    <row r="14" spans="1:15" x14ac:dyDescent="0.2">
      <c r="A14" s="2">
        <v>44225</v>
      </c>
      <c r="B14" s="3">
        <v>3.3707825932651802E-3</v>
      </c>
      <c r="C14" s="3">
        <v>-1.113664E-2</v>
      </c>
      <c r="D14" s="4">
        <v>1.08</v>
      </c>
      <c r="E14" s="3">
        <f t="shared" si="0"/>
        <v>9.0000000000000008E-4</v>
      </c>
      <c r="F14" s="5">
        <f t="shared" si="1"/>
        <v>2.47078259326518E-3</v>
      </c>
      <c r="G14" s="5">
        <f t="shared" si="2"/>
        <v>-1.2036639999999999E-2</v>
      </c>
      <c r="J14" s="13" t="s">
        <v>159</v>
      </c>
      <c r="K14" s="84">
        <v>4.9849999999999998E-2</v>
      </c>
      <c r="L14" s="2">
        <v>50550</v>
      </c>
      <c r="M14">
        <v>12.1</v>
      </c>
      <c r="N14" s="5">
        <v>5.2900000000000003E-2</v>
      </c>
      <c r="O14" s="14" t="s">
        <v>160</v>
      </c>
    </row>
    <row r="15" spans="1:15" x14ac:dyDescent="0.2">
      <c r="A15" s="2">
        <v>44253</v>
      </c>
      <c r="B15" s="3">
        <v>-3.5734497010707897E-2</v>
      </c>
      <c r="C15" s="3">
        <v>2.609148E-2</v>
      </c>
      <c r="D15" s="4">
        <v>1.26</v>
      </c>
      <c r="E15" s="3">
        <f t="shared" si="0"/>
        <v>1.0499999999999999E-3</v>
      </c>
      <c r="F15" s="5">
        <f t="shared" si="1"/>
        <v>-3.6784497010707899E-2</v>
      </c>
      <c r="G15" s="5">
        <f t="shared" si="2"/>
        <v>2.5041480000000001E-2</v>
      </c>
      <c r="J15" s="13" t="s">
        <v>161</v>
      </c>
      <c r="K15" s="84">
        <v>5.1499999999999997E-2</v>
      </c>
      <c r="L15" s="2">
        <v>49444</v>
      </c>
      <c r="M15">
        <v>9.1</v>
      </c>
      <c r="N15" s="5">
        <v>5.1700000000000003E-2</v>
      </c>
      <c r="O15" s="14" t="s">
        <v>117</v>
      </c>
    </row>
    <row r="16" spans="1:15" x14ac:dyDescent="0.2">
      <c r="A16" s="2">
        <v>44286</v>
      </c>
      <c r="B16" s="3">
        <v>5.2941180765628801E-2</v>
      </c>
      <c r="C16" s="3">
        <v>4.2438629999999998E-2</v>
      </c>
      <c r="D16" s="4">
        <v>1.61</v>
      </c>
      <c r="E16" s="3">
        <f t="shared" si="0"/>
        <v>1.3416666666666668E-3</v>
      </c>
      <c r="F16" s="5">
        <f t="shared" si="1"/>
        <v>5.1599514098962136E-2</v>
      </c>
      <c r="G16" s="5">
        <f t="shared" si="2"/>
        <v>4.1096963333333333E-2</v>
      </c>
      <c r="J16" s="13" t="s">
        <v>162</v>
      </c>
      <c r="K16" s="84">
        <v>5.2999999999999999E-2</v>
      </c>
      <c r="L16" s="2">
        <v>49018</v>
      </c>
      <c r="M16">
        <v>7.9</v>
      </c>
      <c r="N16" s="5">
        <v>5.0299999999999997E-2</v>
      </c>
      <c r="O16" s="14" t="s">
        <v>163</v>
      </c>
    </row>
    <row r="17" spans="1:15" x14ac:dyDescent="0.2">
      <c r="A17" s="2">
        <v>44316</v>
      </c>
      <c r="B17" s="3">
        <v>5.9988651424646398E-2</v>
      </c>
      <c r="C17" s="3">
        <v>5.2425310000000003E-2</v>
      </c>
      <c r="D17" s="4">
        <v>1.64</v>
      </c>
      <c r="E17" s="3">
        <f t="shared" si="0"/>
        <v>1.3666666666666666E-3</v>
      </c>
      <c r="F17" s="5">
        <f t="shared" si="1"/>
        <v>5.862198475797973E-2</v>
      </c>
      <c r="G17" s="5">
        <f t="shared" si="2"/>
        <v>5.1058643333333334E-2</v>
      </c>
      <c r="J17" s="13"/>
      <c r="O17" s="14"/>
    </row>
    <row r="18" spans="1:15" x14ac:dyDescent="0.2">
      <c r="A18" s="2">
        <v>44344</v>
      </c>
      <c r="B18" s="3">
        <v>-3.2034192234277697E-2</v>
      </c>
      <c r="C18" s="3">
        <v>5.4865030000000002E-3</v>
      </c>
      <c r="D18" s="4">
        <v>1.62</v>
      </c>
      <c r="E18" s="3">
        <f t="shared" si="0"/>
        <v>1.3500000000000001E-3</v>
      </c>
      <c r="F18" s="5">
        <f t="shared" si="1"/>
        <v>-3.3384192234277694E-2</v>
      </c>
      <c r="G18" s="5">
        <f t="shared" si="2"/>
        <v>4.1365029999999997E-3</v>
      </c>
      <c r="J18" s="87"/>
      <c r="K18" s="88"/>
      <c r="L18" s="88"/>
      <c r="M18" s="88" t="s">
        <v>136</v>
      </c>
      <c r="N18" s="89">
        <f>AVERAGE(N10:N16)</f>
        <v>5.6057142857142861E-2</v>
      </c>
      <c r="O18" s="90"/>
    </row>
    <row r="19" spans="1:15" x14ac:dyDescent="0.2">
      <c r="A19" s="2">
        <v>44377</v>
      </c>
      <c r="B19" s="3">
        <v>1.87534559518099E-2</v>
      </c>
      <c r="C19" s="3">
        <v>2.2213980000000001E-2</v>
      </c>
      <c r="D19" s="4">
        <v>1.52</v>
      </c>
      <c r="E19" s="3">
        <f t="shared" si="0"/>
        <v>1.2666666666666668E-3</v>
      </c>
      <c r="F19" s="5">
        <f t="shared" si="1"/>
        <v>1.7486789285143235E-2</v>
      </c>
      <c r="G19" s="5">
        <f t="shared" si="2"/>
        <v>2.0947313333333335E-2</v>
      </c>
    </row>
    <row r="20" spans="1:15" x14ac:dyDescent="0.2">
      <c r="A20" s="2">
        <v>44407</v>
      </c>
      <c r="B20" s="3">
        <v>3.8440793752670302E-2</v>
      </c>
      <c r="C20" s="3">
        <v>2.2748109999999998E-2</v>
      </c>
      <c r="D20" s="4">
        <v>1.32</v>
      </c>
      <c r="E20" s="3">
        <f t="shared" si="0"/>
        <v>1.1000000000000001E-3</v>
      </c>
      <c r="F20" s="5">
        <f t="shared" si="1"/>
        <v>3.7340793752670305E-2</v>
      </c>
      <c r="G20" s="5">
        <f t="shared" si="2"/>
        <v>2.1648109999999998E-2</v>
      </c>
    </row>
    <row r="21" spans="1:15" x14ac:dyDescent="0.2">
      <c r="A21" s="2">
        <v>44439</v>
      </c>
      <c r="B21" s="3">
        <v>-2.3219024762511298E-2</v>
      </c>
      <c r="C21" s="3">
        <v>2.899032E-2</v>
      </c>
      <c r="D21" s="4">
        <v>1.28</v>
      </c>
      <c r="E21" s="3">
        <f t="shared" si="0"/>
        <v>1.0666666666666667E-3</v>
      </c>
      <c r="F21" s="5">
        <f t="shared" si="1"/>
        <v>-2.4285691429177966E-2</v>
      </c>
      <c r="G21" s="5">
        <f t="shared" si="2"/>
        <v>2.7923653333333333E-2</v>
      </c>
      <c r="J21" s="72" t="s">
        <v>137</v>
      </c>
      <c r="K21" s="74"/>
      <c r="L21" s="73"/>
    </row>
    <row r="22" spans="1:15" x14ac:dyDescent="0.2">
      <c r="A22" s="2">
        <v>44469</v>
      </c>
      <c r="B22" s="3">
        <v>-4.8082083463668802E-2</v>
      </c>
      <c r="C22" s="3">
        <v>-4.7569140000000003E-2</v>
      </c>
      <c r="D22" s="4">
        <v>1.37</v>
      </c>
      <c r="E22" s="3">
        <f t="shared" si="0"/>
        <v>1.1416666666666667E-3</v>
      </c>
      <c r="F22" s="5">
        <f t="shared" si="1"/>
        <v>-4.9223750130335468E-2</v>
      </c>
      <c r="G22" s="5">
        <f t="shared" si="2"/>
        <v>-4.8710806666666669E-2</v>
      </c>
      <c r="J22" s="13" t="s">
        <v>32</v>
      </c>
      <c r="K22" t="s">
        <v>138</v>
      </c>
      <c r="L22" s="66">
        <f>L5</f>
        <v>9.4238006978507954E-2</v>
      </c>
    </row>
    <row r="23" spans="1:15" x14ac:dyDescent="0.2">
      <c r="A23" s="2">
        <v>44498</v>
      </c>
      <c r="B23" s="3">
        <v>9.1940939426422105E-2</v>
      </c>
      <c r="C23" s="3">
        <v>6.9143880000000005E-2</v>
      </c>
      <c r="D23" s="4">
        <v>1.58</v>
      </c>
      <c r="E23" s="3">
        <f t="shared" si="0"/>
        <v>1.3166666666666667E-3</v>
      </c>
      <c r="F23" s="5">
        <f t="shared" si="1"/>
        <v>9.0624272759755445E-2</v>
      </c>
      <c r="G23" s="5">
        <f t="shared" si="2"/>
        <v>6.7827213333333344E-2</v>
      </c>
      <c r="J23" s="13" t="s">
        <v>75</v>
      </c>
      <c r="K23" t="s">
        <v>76</v>
      </c>
      <c r="L23" s="66">
        <f>N18</f>
        <v>5.6057142857142861E-2</v>
      </c>
    </row>
    <row r="24" spans="1:15" x14ac:dyDescent="0.2">
      <c r="A24" s="2">
        <v>44530</v>
      </c>
      <c r="B24" s="3">
        <v>-6.2072608619928402E-2</v>
      </c>
      <c r="C24" s="3">
        <v>-8.3337310000000005E-3</v>
      </c>
      <c r="D24" s="4">
        <v>1.56</v>
      </c>
      <c r="E24" s="3">
        <f t="shared" si="0"/>
        <v>1.2999999999999999E-3</v>
      </c>
      <c r="F24" s="5">
        <f t="shared" si="1"/>
        <v>-6.3372608619928397E-2</v>
      </c>
      <c r="G24" s="5">
        <f t="shared" si="2"/>
        <v>-9.6337309999999995E-3</v>
      </c>
      <c r="J24" s="13" t="s">
        <v>77</v>
      </c>
      <c r="K24" t="s">
        <v>139</v>
      </c>
      <c r="L24" s="67">
        <v>40340</v>
      </c>
    </row>
    <row r="25" spans="1:15" x14ac:dyDescent="0.2">
      <c r="A25" s="2">
        <v>44561</v>
      </c>
      <c r="B25" s="3">
        <v>5.6085251271724701E-2</v>
      </c>
      <c r="C25" s="3">
        <v>4.361288E-2</v>
      </c>
      <c r="D25" s="4">
        <v>1.47</v>
      </c>
      <c r="E25" s="3">
        <f t="shared" si="0"/>
        <v>1.225E-3</v>
      </c>
      <c r="F25" s="5">
        <f t="shared" si="1"/>
        <v>5.4860251271724704E-2</v>
      </c>
      <c r="G25" s="5">
        <f t="shared" si="2"/>
        <v>4.2387880000000003E-2</v>
      </c>
      <c r="J25" s="13" t="s">
        <v>79</v>
      </c>
      <c r="K25" t="s">
        <v>140</v>
      </c>
      <c r="L25" s="67">
        <v>16141</v>
      </c>
    </row>
    <row r="26" spans="1:15" x14ac:dyDescent="0.2">
      <c r="A26" s="2">
        <v>44592</v>
      </c>
      <c r="B26" s="3">
        <v>-1.8056277185678499E-2</v>
      </c>
      <c r="C26" s="3">
        <v>-5.2585090000000001E-2</v>
      </c>
      <c r="D26" s="4">
        <v>1.76</v>
      </c>
      <c r="E26" s="3">
        <f t="shared" si="0"/>
        <v>1.4666666666666667E-3</v>
      </c>
      <c r="F26" s="5">
        <f t="shared" si="1"/>
        <v>-1.9522943852345168E-2</v>
      </c>
      <c r="G26" s="5">
        <f t="shared" si="2"/>
        <v>-5.4051756666666666E-2</v>
      </c>
      <c r="J26" s="13" t="s">
        <v>141</v>
      </c>
      <c r="K26" t="s">
        <v>142</v>
      </c>
      <c r="L26" s="68">
        <v>0.21</v>
      </c>
    </row>
    <row r="27" spans="1:15" x14ac:dyDescent="0.2">
      <c r="A27" s="2">
        <v>44620</v>
      </c>
      <c r="B27" s="3">
        <v>-0.10952902585268</v>
      </c>
      <c r="C27" s="3">
        <v>-3.1360520000000003E-2</v>
      </c>
      <c r="D27" s="4">
        <v>1.93</v>
      </c>
      <c r="E27" s="3">
        <f t="shared" si="0"/>
        <v>1.6083333333333334E-3</v>
      </c>
      <c r="F27" s="5">
        <f t="shared" si="1"/>
        <v>-0.11113735918601333</v>
      </c>
      <c r="G27" s="5">
        <f t="shared" si="2"/>
        <v>-3.2968853333333339E-2</v>
      </c>
      <c r="J27" s="75" t="s">
        <v>83</v>
      </c>
      <c r="K27" s="76" t="s">
        <v>143</v>
      </c>
      <c r="L27" s="77">
        <f>L22*(L24/(L24+L25))+L23*(1-L26)*(L25/(L24+L25))</f>
        <v>7.9962601447746209E-2</v>
      </c>
    </row>
    <row r="28" spans="1:15" x14ac:dyDescent="0.2">
      <c r="A28" s="2">
        <v>44651</v>
      </c>
      <c r="B28" s="3">
        <v>9.2865966260433197E-2</v>
      </c>
      <c r="C28" s="3">
        <v>3.5773239999999998E-2</v>
      </c>
      <c r="D28" s="4">
        <v>2.13</v>
      </c>
      <c r="E28" s="3">
        <f t="shared" si="0"/>
        <v>1.7749999999999999E-3</v>
      </c>
      <c r="F28" s="5">
        <f t="shared" si="1"/>
        <v>9.1090966260433198E-2</v>
      </c>
      <c r="G28" s="5">
        <f t="shared" si="2"/>
        <v>3.3998239999999999E-2</v>
      </c>
    </row>
    <row r="29" spans="1:15" x14ac:dyDescent="0.2">
      <c r="A29" s="2">
        <v>44680</v>
      </c>
      <c r="B29" s="3">
        <v>-2.2805102169513699E-2</v>
      </c>
      <c r="C29" s="3">
        <v>-8.7956720000000002E-2</v>
      </c>
      <c r="D29" s="4">
        <v>2.75</v>
      </c>
      <c r="E29" s="3">
        <f t="shared" si="0"/>
        <v>2.2916666666666667E-3</v>
      </c>
      <c r="F29" s="5">
        <f t="shared" si="1"/>
        <v>-2.5096768836180366E-2</v>
      </c>
      <c r="G29" s="5">
        <f t="shared" si="2"/>
        <v>-9.0248386666666666E-2</v>
      </c>
    </row>
    <row r="30" spans="1:15" x14ac:dyDescent="0.2">
      <c r="A30" s="2">
        <v>44712</v>
      </c>
      <c r="B30" s="3">
        <v>8.2263708114623996E-2</v>
      </c>
      <c r="C30" s="3">
        <v>5.3243879999999999E-5</v>
      </c>
      <c r="D30" s="4">
        <v>2.9</v>
      </c>
      <c r="E30" s="3">
        <f t="shared" si="0"/>
        <v>2.4166666666666668E-3</v>
      </c>
      <c r="F30" s="5">
        <f t="shared" si="1"/>
        <v>7.9847041447957331E-2</v>
      </c>
      <c r="G30" s="5">
        <f t="shared" si="2"/>
        <v>-2.3634227866666667E-3</v>
      </c>
    </row>
    <row r="31" spans="1:15" x14ac:dyDescent="0.2">
      <c r="A31" s="2">
        <v>44742</v>
      </c>
      <c r="B31" s="3">
        <v>-5.9299111366272E-2</v>
      </c>
      <c r="C31" s="3">
        <v>-8.391999E-2</v>
      </c>
      <c r="D31" s="4">
        <v>3.14</v>
      </c>
      <c r="E31" s="3">
        <f t="shared" si="0"/>
        <v>2.6166666666666664E-3</v>
      </c>
      <c r="F31" s="5">
        <f t="shared" si="1"/>
        <v>-6.191577803293867E-2</v>
      </c>
      <c r="G31" s="5">
        <f t="shared" si="2"/>
        <v>-8.653665666666667E-2</v>
      </c>
    </row>
    <row r="32" spans="1:15" x14ac:dyDescent="0.2">
      <c r="A32" s="2">
        <v>44771</v>
      </c>
      <c r="B32" s="3">
        <v>3.1518604606389999E-2</v>
      </c>
      <c r="C32" s="3">
        <v>9.1116349999999999E-2</v>
      </c>
      <c r="D32" s="4">
        <v>2.9</v>
      </c>
      <c r="E32" s="3">
        <f t="shared" si="0"/>
        <v>2.4166666666666668E-3</v>
      </c>
      <c r="F32" s="5">
        <f t="shared" si="1"/>
        <v>2.9101937939723332E-2</v>
      </c>
      <c r="G32" s="5">
        <f t="shared" si="2"/>
        <v>8.8699683333333335E-2</v>
      </c>
    </row>
    <row r="33" spans="1:7" x14ac:dyDescent="0.2">
      <c r="A33" s="2">
        <v>44804</v>
      </c>
      <c r="B33" s="3">
        <v>-6.2464859336614602E-2</v>
      </c>
      <c r="C33" s="3">
        <v>-4.2440119999999998E-2</v>
      </c>
      <c r="D33" s="4">
        <v>2.9</v>
      </c>
      <c r="E33" s="3">
        <f t="shared" si="0"/>
        <v>2.4166666666666668E-3</v>
      </c>
      <c r="F33" s="5">
        <f t="shared" si="1"/>
        <v>-6.4881526003281273E-2</v>
      </c>
      <c r="G33" s="5">
        <f t="shared" si="2"/>
        <v>-4.4856786666666662E-2</v>
      </c>
    </row>
    <row r="34" spans="1:7" x14ac:dyDescent="0.2">
      <c r="A34" s="2">
        <v>44834</v>
      </c>
      <c r="B34" s="3">
        <v>-9.7238890826702104E-2</v>
      </c>
      <c r="C34" s="3">
        <v>-9.3395699999999998E-2</v>
      </c>
      <c r="D34" s="4">
        <v>3.52</v>
      </c>
      <c r="E34" s="3">
        <f t="shared" ref="E34:E61" si="3">(D34/12)/100</f>
        <v>2.9333333333333334E-3</v>
      </c>
      <c r="F34" s="5">
        <f t="shared" ref="F34:F61" si="4">B34-E34</f>
        <v>-0.10017222416003543</v>
      </c>
      <c r="G34" s="5">
        <f t="shared" ref="G34:G61" si="5">C34-E34</f>
        <v>-9.6329033333333328E-2</v>
      </c>
    </row>
    <row r="35" spans="1:7" x14ac:dyDescent="0.2">
      <c r="A35" s="2">
        <v>44865</v>
      </c>
      <c r="B35" s="3">
        <v>1.6622371971607201E-2</v>
      </c>
      <c r="C35" s="3">
        <v>7.9863450000000002E-2</v>
      </c>
      <c r="D35" s="4">
        <v>3.98</v>
      </c>
      <c r="E35" s="3">
        <f t="shared" si="3"/>
        <v>3.3166666666666665E-3</v>
      </c>
      <c r="F35" s="5">
        <f t="shared" si="4"/>
        <v>1.3305705304940536E-2</v>
      </c>
      <c r="G35" s="5">
        <f t="shared" si="5"/>
        <v>7.654678333333334E-2</v>
      </c>
    </row>
    <row r="36" spans="1:7" x14ac:dyDescent="0.2">
      <c r="A36" s="2">
        <v>44895</v>
      </c>
      <c r="B36" s="3">
        <v>-8.6321458220481907E-3</v>
      </c>
      <c r="C36" s="3">
        <v>5.375286E-2</v>
      </c>
      <c r="D36" s="4">
        <v>3.89</v>
      </c>
      <c r="E36" s="3">
        <f t="shared" si="3"/>
        <v>3.2416666666666666E-3</v>
      </c>
      <c r="F36" s="5">
        <f t="shared" si="4"/>
        <v>-1.1873812488714858E-2</v>
      </c>
      <c r="G36" s="5">
        <f t="shared" si="5"/>
        <v>5.0511193333333336E-2</v>
      </c>
    </row>
    <row r="37" spans="1:7" x14ac:dyDescent="0.2">
      <c r="A37" s="2">
        <v>44925</v>
      </c>
      <c r="B37" s="3">
        <v>-3.0810451135039298E-2</v>
      </c>
      <c r="C37" s="3">
        <v>-5.8971450000000002E-2</v>
      </c>
      <c r="D37" s="4">
        <v>3.62</v>
      </c>
      <c r="E37" s="3">
        <f t="shared" si="3"/>
        <v>3.0166666666666671E-3</v>
      </c>
      <c r="F37" s="5">
        <f t="shared" si="4"/>
        <v>-3.3827117801705962E-2</v>
      </c>
      <c r="G37" s="5">
        <f t="shared" si="5"/>
        <v>-6.1988116666666669E-2</v>
      </c>
    </row>
    <row r="38" spans="1:7" x14ac:dyDescent="0.2">
      <c r="A38" s="2">
        <v>44957</v>
      </c>
      <c r="B38" s="3">
        <v>0.111955724656582</v>
      </c>
      <c r="C38" s="3">
        <v>6.1752830000000002E-2</v>
      </c>
      <c r="D38" s="4">
        <v>3.53</v>
      </c>
      <c r="E38" s="3">
        <f t="shared" si="3"/>
        <v>2.9416666666666662E-3</v>
      </c>
      <c r="F38" s="5">
        <f t="shared" si="4"/>
        <v>0.10901405798991534</v>
      </c>
      <c r="G38" s="5">
        <f t="shared" si="5"/>
        <v>5.8811163333333333E-2</v>
      </c>
    </row>
    <row r="39" spans="1:7" x14ac:dyDescent="0.2">
      <c r="A39" s="2">
        <v>44985</v>
      </c>
      <c r="B39" s="3">
        <v>-6.4943239092826802E-2</v>
      </c>
      <c r="C39" s="3">
        <v>-2.6112449999999999E-2</v>
      </c>
      <c r="D39" s="4">
        <v>3.75</v>
      </c>
      <c r="E39" s="3">
        <f t="shared" si="3"/>
        <v>3.1250000000000002E-3</v>
      </c>
      <c r="F39" s="5">
        <f t="shared" si="4"/>
        <v>-6.8068239092826804E-2</v>
      </c>
      <c r="G39" s="5">
        <f t="shared" si="5"/>
        <v>-2.9237449999999998E-2</v>
      </c>
    </row>
    <row r="40" spans="1:7" x14ac:dyDescent="0.2">
      <c r="A40" s="2">
        <v>45016</v>
      </c>
      <c r="B40" s="3">
        <v>6.7431139759719398E-3</v>
      </c>
      <c r="C40" s="3">
        <v>3.5051569999999997E-2</v>
      </c>
      <c r="D40" s="4">
        <v>3.66</v>
      </c>
      <c r="E40" s="3">
        <f t="shared" si="3"/>
        <v>3.0499999999999998E-3</v>
      </c>
      <c r="F40" s="5">
        <f t="shared" si="4"/>
        <v>3.69311397597194E-3</v>
      </c>
      <c r="G40" s="5">
        <f t="shared" si="5"/>
        <v>3.200157E-2</v>
      </c>
    </row>
    <row r="41" spans="1:7" x14ac:dyDescent="0.2">
      <c r="A41" s="2">
        <v>45044</v>
      </c>
      <c r="B41" s="3">
        <v>-1.87542010098696E-2</v>
      </c>
      <c r="C41" s="3">
        <v>1.464236E-2</v>
      </c>
      <c r="D41" s="4">
        <v>3.46</v>
      </c>
      <c r="E41" s="3">
        <f t="shared" si="3"/>
        <v>2.8833333333333332E-3</v>
      </c>
      <c r="F41" s="5">
        <f t="shared" si="4"/>
        <v>-2.1637534343202931E-2</v>
      </c>
      <c r="G41" s="5">
        <f t="shared" si="5"/>
        <v>1.1759026666666667E-2</v>
      </c>
    </row>
    <row r="42" spans="1:7" x14ac:dyDescent="0.2">
      <c r="A42" s="2">
        <v>45077</v>
      </c>
      <c r="B42" s="3">
        <v>-5.2704591304063797E-2</v>
      </c>
      <c r="C42" s="3">
        <v>2.4823240000000002E-3</v>
      </c>
      <c r="D42" s="4">
        <v>3.57</v>
      </c>
      <c r="E42" s="3">
        <f t="shared" si="3"/>
        <v>2.9749999999999998E-3</v>
      </c>
      <c r="F42" s="5">
        <f t="shared" si="4"/>
        <v>-5.5679591304063795E-2</v>
      </c>
      <c r="G42" s="5">
        <f t="shared" si="5"/>
        <v>-4.9267599999999962E-4</v>
      </c>
    </row>
    <row r="43" spans="1:7" x14ac:dyDescent="0.2">
      <c r="A43" s="2">
        <v>45107</v>
      </c>
      <c r="B43" s="3">
        <v>2.41581201553345E-2</v>
      </c>
      <c r="C43" s="3">
        <v>6.4727510000000002E-2</v>
      </c>
      <c r="D43" s="4">
        <v>3.75</v>
      </c>
      <c r="E43" s="3">
        <f t="shared" si="3"/>
        <v>3.1250000000000002E-3</v>
      </c>
      <c r="F43" s="5">
        <f t="shared" si="4"/>
        <v>2.1033120155334501E-2</v>
      </c>
      <c r="G43" s="5">
        <f t="shared" si="5"/>
        <v>6.1602509999999999E-2</v>
      </c>
    </row>
    <row r="44" spans="1:7" x14ac:dyDescent="0.2">
      <c r="A44" s="2">
        <v>45138</v>
      </c>
      <c r="B44" s="3">
        <v>7.0050038397312206E-2</v>
      </c>
      <c r="C44" s="3">
        <v>3.1138909999999999E-2</v>
      </c>
      <c r="D44" s="4">
        <v>3.9</v>
      </c>
      <c r="E44" s="3">
        <f t="shared" si="3"/>
        <v>3.2500000000000003E-3</v>
      </c>
      <c r="F44" s="5">
        <f t="shared" si="4"/>
        <v>6.6800038397312203E-2</v>
      </c>
      <c r="G44" s="5">
        <f t="shared" si="5"/>
        <v>2.7888909999999999E-2</v>
      </c>
    </row>
    <row r="45" spans="1:7" x14ac:dyDescent="0.2">
      <c r="A45" s="2">
        <v>45169</v>
      </c>
      <c r="B45" s="3">
        <v>-5.6309357285499601E-2</v>
      </c>
      <c r="C45" s="3">
        <v>-1.7716429999999998E-2</v>
      </c>
      <c r="D45" s="4">
        <v>4.17</v>
      </c>
      <c r="E45" s="3">
        <f t="shared" si="3"/>
        <v>3.4749999999999998E-3</v>
      </c>
      <c r="F45" s="5">
        <f t="shared" si="4"/>
        <v>-5.9784357285499599E-2</v>
      </c>
      <c r="G45" s="5">
        <f t="shared" si="5"/>
        <v>-2.1191429999999997E-2</v>
      </c>
    </row>
    <row r="46" spans="1:7" x14ac:dyDescent="0.2">
      <c r="A46" s="2">
        <v>45198</v>
      </c>
      <c r="B46" s="3">
        <v>-0.123652070760727</v>
      </c>
      <c r="C46" s="3">
        <v>-4.8719289999999998E-2</v>
      </c>
      <c r="D46" s="4">
        <v>4.38</v>
      </c>
      <c r="E46" s="3">
        <f t="shared" si="3"/>
        <v>3.65E-3</v>
      </c>
      <c r="F46" s="5">
        <f t="shared" si="4"/>
        <v>-0.127302070760727</v>
      </c>
      <c r="G46" s="5">
        <f t="shared" si="5"/>
        <v>-5.2369289999999999E-2</v>
      </c>
    </row>
    <row r="47" spans="1:7" x14ac:dyDescent="0.2">
      <c r="A47" s="2">
        <v>45230</v>
      </c>
      <c r="B47" s="3">
        <v>-9.0237893164157895E-2</v>
      </c>
      <c r="C47" s="3">
        <v>-2.197969E-2</v>
      </c>
      <c r="D47" s="4">
        <v>4.8</v>
      </c>
      <c r="E47" s="3">
        <f t="shared" si="3"/>
        <v>4.0000000000000001E-3</v>
      </c>
      <c r="F47" s="5">
        <f t="shared" si="4"/>
        <v>-9.4237893164157899E-2</v>
      </c>
      <c r="G47" s="5">
        <f t="shared" si="5"/>
        <v>-2.597969E-2</v>
      </c>
    </row>
    <row r="48" spans="1:7" x14ac:dyDescent="0.2">
      <c r="A48" s="2">
        <v>45260</v>
      </c>
      <c r="B48" s="3">
        <v>7.5506508350372301E-2</v>
      </c>
      <c r="C48" s="3">
        <v>8.9179259999999996E-2</v>
      </c>
      <c r="D48" s="4">
        <v>4.5</v>
      </c>
      <c r="E48" s="3">
        <f t="shared" si="3"/>
        <v>3.7499999999999999E-3</v>
      </c>
      <c r="F48" s="5">
        <f t="shared" si="4"/>
        <v>7.1756508350372297E-2</v>
      </c>
      <c r="G48" s="5">
        <f t="shared" si="5"/>
        <v>8.5429259999999993E-2</v>
      </c>
    </row>
    <row r="49" spans="1:7" x14ac:dyDescent="0.2">
      <c r="A49" s="2">
        <v>45289</v>
      </c>
      <c r="B49" s="3">
        <v>0.139554798603058</v>
      </c>
      <c r="C49" s="3">
        <v>4.4229169999999998E-2</v>
      </c>
      <c r="D49" s="4">
        <v>4.0199999999999996</v>
      </c>
      <c r="E49" s="3">
        <f t="shared" si="3"/>
        <v>3.3499999999999997E-3</v>
      </c>
      <c r="F49" s="5">
        <f t="shared" si="4"/>
        <v>0.13620479860305801</v>
      </c>
      <c r="G49" s="5">
        <f t="shared" si="5"/>
        <v>4.0879169999999999E-2</v>
      </c>
    </row>
    <row r="50" spans="1:7" x14ac:dyDescent="0.2">
      <c r="A50" s="2">
        <v>45322</v>
      </c>
      <c r="B50" s="3">
        <v>-6.31104931235313E-2</v>
      </c>
      <c r="C50" s="3">
        <v>1.5895739999999998E-2</v>
      </c>
      <c r="D50" s="4">
        <v>4.0599999999999996</v>
      </c>
      <c r="E50" s="3">
        <f t="shared" si="3"/>
        <v>3.3833333333333332E-3</v>
      </c>
      <c r="F50" s="5">
        <f t="shared" si="4"/>
        <v>-6.6493826456864635E-2</v>
      </c>
      <c r="G50" s="5">
        <f t="shared" si="5"/>
        <v>1.2512406666666665E-2</v>
      </c>
    </row>
    <row r="51" spans="1:7" x14ac:dyDescent="0.2">
      <c r="A51" s="2">
        <v>45351</v>
      </c>
      <c r="B51" s="3">
        <v>-8.2516357302665697E-2</v>
      </c>
      <c r="C51" s="3">
        <v>5.1720620000000002E-2</v>
      </c>
      <c r="D51" s="4">
        <v>4.21</v>
      </c>
      <c r="E51" s="3">
        <f t="shared" si="3"/>
        <v>3.5083333333333334E-3</v>
      </c>
      <c r="F51" s="5">
        <f t="shared" si="4"/>
        <v>-8.6024690635999032E-2</v>
      </c>
      <c r="G51" s="5">
        <f t="shared" si="5"/>
        <v>4.8212286666666666E-2</v>
      </c>
    </row>
    <row r="52" spans="1:7" x14ac:dyDescent="0.2">
      <c r="A52" s="2">
        <v>45379</v>
      </c>
      <c r="B52" s="3">
        <v>0.11940298229456001</v>
      </c>
      <c r="C52" s="3">
        <v>3.1018759999999999E-2</v>
      </c>
      <c r="D52" s="4">
        <v>4.21</v>
      </c>
      <c r="E52" s="3">
        <f t="shared" si="3"/>
        <v>3.5083333333333334E-3</v>
      </c>
      <c r="F52" s="5">
        <f t="shared" si="4"/>
        <v>0.11589464896122667</v>
      </c>
      <c r="G52" s="5">
        <f t="shared" si="5"/>
        <v>2.7510426666666667E-2</v>
      </c>
    </row>
    <row r="53" spans="1:7" x14ac:dyDescent="0.2">
      <c r="A53" s="2">
        <v>45412</v>
      </c>
      <c r="B53" s="3">
        <v>-7.4666342698037598E-3</v>
      </c>
      <c r="C53" s="3">
        <v>-4.1615039999999999E-2</v>
      </c>
      <c r="D53" s="4">
        <v>4.54</v>
      </c>
      <c r="E53" s="3">
        <f t="shared" si="3"/>
        <v>3.7833333333333334E-3</v>
      </c>
      <c r="F53" s="5">
        <f t="shared" si="4"/>
        <v>-1.1249967603137094E-2</v>
      </c>
      <c r="G53" s="5">
        <f t="shared" si="5"/>
        <v>-4.5398373333333332E-2</v>
      </c>
    </row>
    <row r="54" spans="1:7" x14ac:dyDescent="0.2">
      <c r="A54" s="2">
        <v>45443</v>
      </c>
      <c r="B54" s="3">
        <v>8.5437878966331496E-2</v>
      </c>
      <c r="C54" s="3">
        <v>4.8021220000000003E-2</v>
      </c>
      <c r="D54" s="4">
        <v>4.4800000000000004</v>
      </c>
      <c r="E54" s="3">
        <f t="shared" si="3"/>
        <v>3.7333333333333333E-3</v>
      </c>
      <c r="F54" s="5">
        <f t="shared" si="4"/>
        <v>8.1704545632998157E-2</v>
      </c>
      <c r="G54" s="5">
        <f t="shared" si="5"/>
        <v>4.4287886666666672E-2</v>
      </c>
    </row>
    <row r="55" spans="1:7" x14ac:dyDescent="0.2">
      <c r="A55" s="2">
        <v>45471</v>
      </c>
      <c r="B55" s="3">
        <v>-1.5075339004397399E-2</v>
      </c>
      <c r="C55" s="3">
        <v>3.4669760000000001E-2</v>
      </c>
      <c r="D55" s="4">
        <v>4.3099999999999996</v>
      </c>
      <c r="E55" s="3">
        <f t="shared" si="3"/>
        <v>3.5916666666666662E-3</v>
      </c>
      <c r="F55" s="5">
        <f t="shared" si="4"/>
        <v>-1.8667005671064066E-2</v>
      </c>
      <c r="G55" s="5">
        <f t="shared" si="5"/>
        <v>3.1078093333333334E-2</v>
      </c>
    </row>
    <row r="56" spans="1:7" x14ac:dyDescent="0.2">
      <c r="A56" s="2">
        <v>45504</v>
      </c>
      <c r="B56" s="3">
        <v>0.11326526850462</v>
      </c>
      <c r="C56" s="3">
        <v>1.1321350000000001E-2</v>
      </c>
      <c r="D56" s="4">
        <v>4.25</v>
      </c>
      <c r="E56" s="3">
        <f t="shared" si="3"/>
        <v>3.5416666666666669E-3</v>
      </c>
      <c r="F56" s="5">
        <f t="shared" si="4"/>
        <v>0.10972360183795334</v>
      </c>
      <c r="G56" s="5">
        <f t="shared" si="5"/>
        <v>7.7796833333333339E-3</v>
      </c>
    </row>
    <row r="57" spans="1:7" x14ac:dyDescent="0.2">
      <c r="A57" s="2">
        <v>45534</v>
      </c>
      <c r="B57" s="3">
        <v>3.4830477088689797E-2</v>
      </c>
      <c r="C57" s="3">
        <v>2.2834690000000001E-2</v>
      </c>
      <c r="D57" s="4">
        <v>3.87</v>
      </c>
      <c r="E57" s="3">
        <f t="shared" si="3"/>
        <v>3.225E-3</v>
      </c>
      <c r="F57" s="5">
        <f t="shared" si="4"/>
        <v>3.1605477088689798E-2</v>
      </c>
      <c r="G57" s="5">
        <f t="shared" si="5"/>
        <v>1.9609690000000003E-2</v>
      </c>
    </row>
    <row r="58" spans="1:7" x14ac:dyDescent="0.2">
      <c r="A58" s="2">
        <v>45565</v>
      </c>
      <c r="B58" s="3">
        <v>2.6481155306100901E-2</v>
      </c>
      <c r="C58" s="3">
        <v>2.0196869999999999E-2</v>
      </c>
      <c r="D58" s="4">
        <v>3.72</v>
      </c>
      <c r="E58" s="3">
        <f t="shared" si="3"/>
        <v>3.0999999999999999E-3</v>
      </c>
      <c r="F58" s="5">
        <f t="shared" si="4"/>
        <v>2.3381155306100902E-2</v>
      </c>
      <c r="G58" s="5">
        <f t="shared" si="5"/>
        <v>1.709687E-2</v>
      </c>
    </row>
    <row r="59" spans="1:7" x14ac:dyDescent="0.2">
      <c r="A59" s="2">
        <v>45596</v>
      </c>
      <c r="B59" s="3">
        <v>-1.8364671617746402E-2</v>
      </c>
      <c r="C59" s="3">
        <v>-9.8967800000000009E-3</v>
      </c>
      <c r="D59" s="4">
        <v>4.0999999999999996</v>
      </c>
      <c r="E59" s="3">
        <f t="shared" si="3"/>
        <v>3.4166666666666664E-3</v>
      </c>
      <c r="F59" s="5">
        <f t="shared" si="4"/>
        <v>-2.1781338284413067E-2</v>
      </c>
      <c r="G59" s="5">
        <f t="shared" si="5"/>
        <v>-1.3313446666666668E-2</v>
      </c>
    </row>
    <row r="60" spans="1:7" x14ac:dyDescent="0.2">
      <c r="A60" s="2">
        <v>45625</v>
      </c>
      <c r="B60" s="3">
        <v>-7.1269921027123902E-3</v>
      </c>
      <c r="C60" s="3">
        <v>5.7301350000000001E-2</v>
      </c>
      <c r="D60" s="4">
        <v>4.3600000000000003</v>
      </c>
      <c r="E60" s="3">
        <f t="shared" si="3"/>
        <v>3.6333333333333335E-3</v>
      </c>
      <c r="F60" s="5">
        <f t="shared" si="4"/>
        <v>-1.0760325436045723E-2</v>
      </c>
      <c r="G60" s="5">
        <f t="shared" si="5"/>
        <v>5.3668016666666665E-2</v>
      </c>
    </row>
    <row r="61" spans="1:7" x14ac:dyDescent="0.2">
      <c r="A61" s="2">
        <v>45657</v>
      </c>
      <c r="B61" s="3">
        <v>-7.8217342495918302E-2</v>
      </c>
      <c r="C61" s="3">
        <v>-2.4990140000000001E-2</v>
      </c>
      <c r="D61" s="4">
        <v>4.3899999999999997</v>
      </c>
      <c r="E61" s="3">
        <f t="shared" si="3"/>
        <v>3.6583333333333329E-3</v>
      </c>
      <c r="F61" s="5">
        <f t="shared" si="4"/>
        <v>-8.1875675829251635E-2</v>
      </c>
      <c r="G61" s="5">
        <f t="shared" si="5"/>
        <v>-2.8648473333333334E-2</v>
      </c>
    </row>
    <row r="62" spans="1:7" x14ac:dyDescent="0.2">
      <c r="D62" s="4"/>
    </row>
    <row r="63" spans="1:7" x14ac:dyDescent="0.2">
      <c r="D63" s="4"/>
    </row>
    <row r="64" spans="1:7" x14ac:dyDescent="0.2">
      <c r="D64" s="4"/>
    </row>
    <row r="65" spans="1:6" x14ac:dyDescent="0.2">
      <c r="D65" s="4"/>
    </row>
    <row r="66" spans="1:6" x14ac:dyDescent="0.2">
      <c r="A66" t="s">
        <v>85</v>
      </c>
    </row>
    <row r="67" spans="1:6" ht="15.75" customHeight="1" x14ac:dyDescent="0.2"/>
    <row r="68" spans="1:6" x14ac:dyDescent="0.2">
      <c r="A68" s="95" t="s">
        <v>86</v>
      </c>
      <c r="B68" s="95"/>
    </row>
    <row r="69" spans="1:6" x14ac:dyDescent="0.2">
      <c r="A69" t="s">
        <v>87</v>
      </c>
      <c r="B69">
        <v>0.67756186939860497</v>
      </c>
    </row>
    <row r="70" spans="1:6" x14ac:dyDescent="0.2">
      <c r="A70" t="s">
        <v>88</v>
      </c>
      <c r="B70">
        <v>0.45909008686293301</v>
      </c>
    </row>
    <row r="71" spans="1:6" x14ac:dyDescent="0.2">
      <c r="A71" t="s">
        <v>89</v>
      </c>
      <c r="B71">
        <v>0.44976405387781099</v>
      </c>
    </row>
    <row r="72" spans="1:6" x14ac:dyDescent="0.2">
      <c r="A72" t="s">
        <v>90</v>
      </c>
      <c r="B72">
        <v>5.4005605593920002E-2</v>
      </c>
    </row>
    <row r="73" spans="1:6" ht="15.75" customHeight="1" x14ac:dyDescent="0.2">
      <c r="A73" s="8" t="s">
        <v>91</v>
      </c>
      <c r="B73" s="8">
        <v>60</v>
      </c>
    </row>
    <row r="75" spans="1:6" ht="15.75" customHeight="1" x14ac:dyDescent="0.2">
      <c r="A75" t="s">
        <v>92</v>
      </c>
    </row>
    <row r="76" spans="1:6" x14ac:dyDescent="0.2">
      <c r="A76" s="1"/>
      <c r="B76" s="1" t="s">
        <v>93</v>
      </c>
      <c r="C76" s="1" t="s">
        <v>94</v>
      </c>
      <c r="D76" s="1" t="s">
        <v>95</v>
      </c>
      <c r="E76" s="1" t="s">
        <v>96</v>
      </c>
      <c r="F76" s="1" t="s">
        <v>97</v>
      </c>
    </row>
    <row r="77" spans="1:6" x14ac:dyDescent="0.2">
      <c r="A77" t="s">
        <v>98</v>
      </c>
      <c r="B77">
        <v>1</v>
      </c>
      <c r="C77">
        <v>0.143574941767314</v>
      </c>
      <c r="D77">
        <v>0.143574941767314</v>
      </c>
      <c r="E77">
        <v>49.226727762526203</v>
      </c>
      <c r="F77">
        <v>2.75340707871756E-9</v>
      </c>
    </row>
    <row r="78" spans="1:6" x14ac:dyDescent="0.2">
      <c r="A78" t="s">
        <v>99</v>
      </c>
      <c r="B78">
        <v>58</v>
      </c>
      <c r="C78">
        <v>0.16916311526283001</v>
      </c>
      <c r="D78">
        <v>2.9166054355660399E-3</v>
      </c>
    </row>
    <row r="79" spans="1:6" ht="15.75" customHeight="1" x14ac:dyDescent="0.2">
      <c r="A79" s="8" t="s">
        <v>100</v>
      </c>
      <c r="B79" s="8">
        <v>59</v>
      </c>
      <c r="C79" s="8">
        <v>0.31273805703014401</v>
      </c>
      <c r="D79" s="8"/>
      <c r="E79" s="8"/>
      <c r="F79" s="8"/>
    </row>
    <row r="80" spans="1:6" ht="15.75" customHeight="1" x14ac:dyDescent="0.2"/>
    <row r="81" spans="1:9" x14ac:dyDescent="0.2">
      <c r="A81" s="1"/>
      <c r="B81" s="1" t="s">
        <v>101</v>
      </c>
      <c r="C81" s="1" t="s">
        <v>90</v>
      </c>
      <c r="D81" s="1" t="s">
        <v>102</v>
      </c>
      <c r="E81" s="1" t="s">
        <v>103</v>
      </c>
      <c r="F81" s="1" t="s">
        <v>104</v>
      </c>
      <c r="G81" s="1" t="s">
        <v>105</v>
      </c>
      <c r="H81" s="1" t="s">
        <v>106</v>
      </c>
      <c r="I81" s="1" t="s">
        <v>107</v>
      </c>
    </row>
    <row r="82" spans="1:9" x14ac:dyDescent="0.2">
      <c r="A82" t="s">
        <v>108</v>
      </c>
      <c r="B82">
        <v>-8.9480411883779108E-3</v>
      </c>
      <c r="C82">
        <v>7.0788867936625796E-3</v>
      </c>
      <c r="D82">
        <v>-1.2640463746910999</v>
      </c>
      <c r="E82">
        <v>0.21126996260458999</v>
      </c>
      <c r="F82">
        <v>-2.3117972651537099E-2</v>
      </c>
      <c r="G82">
        <v>5.2218902747812697E-3</v>
      </c>
      <c r="H82">
        <v>-2.3117972651537099E-2</v>
      </c>
      <c r="I82">
        <v>5.2218902747812697E-3</v>
      </c>
    </row>
    <row r="83" spans="1:9" ht="15.75" customHeight="1" x14ac:dyDescent="0.2">
      <c r="A83" s="8" t="s">
        <v>25</v>
      </c>
      <c r="B83" s="8">
        <v>0.93887285415469002</v>
      </c>
      <c r="C83" s="8">
        <v>0.133815462173831</v>
      </c>
      <c r="D83" s="8">
        <v>7.01617614962211</v>
      </c>
      <c r="E83" s="8">
        <v>2.75340707871756E-9</v>
      </c>
      <c r="F83" s="8">
        <v>0.67101210387235799</v>
      </c>
      <c r="G83" s="8">
        <v>1.20673360443702</v>
      </c>
      <c r="H83" s="8">
        <v>0.67101210387235799</v>
      </c>
      <c r="I83" s="8">
        <v>1.20673360443702</v>
      </c>
    </row>
    <row r="87" spans="1:9" x14ac:dyDescent="0.2">
      <c r="D87" s="4"/>
    </row>
    <row r="88" spans="1:9" x14ac:dyDescent="0.2">
      <c r="D88" s="4"/>
    </row>
    <row r="89" spans="1:9" x14ac:dyDescent="0.2">
      <c r="D89" s="4"/>
    </row>
    <row r="90" spans="1:9" x14ac:dyDescent="0.2">
      <c r="D90" s="4"/>
    </row>
    <row r="91" spans="1:9" x14ac:dyDescent="0.2">
      <c r="D91" s="4"/>
    </row>
    <row r="92" spans="1:9" x14ac:dyDescent="0.2">
      <c r="D92" s="4"/>
    </row>
    <row r="93" spans="1:9" x14ac:dyDescent="0.2">
      <c r="D93" s="4"/>
    </row>
    <row r="94" spans="1:9" x14ac:dyDescent="0.2">
      <c r="D94" s="4"/>
    </row>
    <row r="95" spans="1:9" x14ac:dyDescent="0.2">
      <c r="D95" s="4"/>
    </row>
    <row r="96" spans="1:9" x14ac:dyDescent="0.2">
      <c r="D96" s="4"/>
    </row>
    <row r="97" spans="4:4" x14ac:dyDescent="0.2">
      <c r="D97" s="4"/>
    </row>
  </sheetData>
  <mergeCells count="1">
    <mergeCell ref="A68:B68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7"/>
  <sheetViews>
    <sheetView showGridLines="0" zoomScaleNormal="100" workbookViewId="0">
      <selection activeCell="Q15" sqref="Q15"/>
    </sheetView>
  </sheetViews>
  <sheetFormatPr baseColWidth="10" defaultColWidth="10.6640625" defaultRowHeight="15" x14ac:dyDescent="0.2"/>
  <cols>
    <col min="1" max="1" width="11" customWidth="1"/>
    <col min="2" max="3" width="12.6640625" customWidth="1"/>
    <col min="4" max="4" width="22.1640625" customWidth="1"/>
    <col min="5" max="5" width="12.6640625" customWidth="1"/>
    <col min="6" max="7" width="12" customWidth="1"/>
    <col min="8" max="9" width="8.83203125" customWidth="1"/>
    <col min="10" max="10" width="40.6640625" customWidth="1"/>
    <col min="11" max="11" width="38.33203125" customWidth="1"/>
    <col min="12" max="12" width="12.1640625" bestFit="1" customWidth="1"/>
  </cols>
  <sheetData>
    <row r="1" spans="1:12" ht="35" customHeight="1" x14ac:dyDescent="0.2">
      <c r="A1" s="61" t="s">
        <v>20</v>
      </c>
      <c r="B1" s="61" t="s">
        <v>205</v>
      </c>
      <c r="C1" s="61" t="s">
        <v>22</v>
      </c>
      <c r="D1" s="60" t="s">
        <v>23</v>
      </c>
      <c r="E1" s="61" t="s">
        <v>24</v>
      </c>
      <c r="F1" s="61" t="s">
        <v>204</v>
      </c>
      <c r="G1" s="61" t="s">
        <v>25</v>
      </c>
      <c r="J1" s="69" t="s">
        <v>26</v>
      </c>
      <c r="K1" s="70"/>
      <c r="L1" s="71"/>
    </row>
    <row r="2" spans="1:12" ht="15.75" customHeight="1" x14ac:dyDescent="0.2">
      <c r="A2" s="2">
        <v>43861</v>
      </c>
      <c r="B2" s="3">
        <v>0.118012458086014</v>
      </c>
      <c r="C2" s="3">
        <v>-1.62809E-3</v>
      </c>
      <c r="D2" s="4">
        <v>1.76</v>
      </c>
      <c r="E2" s="3">
        <f t="shared" ref="E2:E33" si="0">(D2/12)/100</f>
        <v>1.4666666666666667E-3</v>
      </c>
      <c r="F2" s="5">
        <f t="shared" ref="F2:F33" si="1">B2-E2</f>
        <v>0.11654579141934733</v>
      </c>
      <c r="G2" s="5">
        <f t="shared" ref="G2:G33" si="2">C2-E2</f>
        <v>-3.0947566666666669E-3</v>
      </c>
      <c r="J2" s="62" t="s">
        <v>27</v>
      </c>
      <c r="K2" s="6" t="s">
        <v>110</v>
      </c>
      <c r="L2" s="63">
        <f>B83</f>
        <v>1.80785647862782</v>
      </c>
    </row>
    <row r="3" spans="1:12" x14ac:dyDescent="0.2">
      <c r="A3" s="2">
        <v>43889</v>
      </c>
      <c r="B3" s="3">
        <v>9.4444394111633301E-2</v>
      </c>
      <c r="C3" s="3">
        <v>-8.4110470000000007E-2</v>
      </c>
      <c r="D3" s="4">
        <v>1.5</v>
      </c>
      <c r="E3" s="3">
        <f t="shared" si="0"/>
        <v>1.25E-3</v>
      </c>
      <c r="F3" s="5">
        <f t="shared" si="1"/>
        <v>9.31943941116333E-2</v>
      </c>
      <c r="G3" s="5">
        <f t="shared" si="2"/>
        <v>-8.5360470000000008E-2</v>
      </c>
      <c r="J3" s="13" t="s">
        <v>28</v>
      </c>
      <c r="K3" t="s">
        <v>29</v>
      </c>
      <c r="L3" s="64">
        <v>4.2599999999999999E-2</v>
      </c>
    </row>
    <row r="4" spans="1:12" x14ac:dyDescent="0.2">
      <c r="A4" s="2">
        <v>43921</v>
      </c>
      <c r="B4" s="3">
        <v>-0.28764802217483498</v>
      </c>
      <c r="C4" s="3">
        <v>-0.12511929999999999</v>
      </c>
      <c r="D4" s="4">
        <v>0.87</v>
      </c>
      <c r="E4" s="3">
        <f t="shared" si="0"/>
        <v>7.2499999999999995E-4</v>
      </c>
      <c r="F4" s="5">
        <f t="shared" si="1"/>
        <v>-0.28837302217483496</v>
      </c>
      <c r="G4" s="5">
        <f t="shared" si="2"/>
        <v>-0.12584429999999999</v>
      </c>
      <c r="J4" s="13" t="s">
        <v>30</v>
      </c>
      <c r="K4" t="s">
        <v>111</v>
      </c>
      <c r="L4" s="64">
        <v>5.5E-2</v>
      </c>
    </row>
    <row r="5" spans="1:12" x14ac:dyDescent="0.2">
      <c r="A5" s="2">
        <v>43951</v>
      </c>
      <c r="B5" s="3">
        <v>0.19239903986453999</v>
      </c>
      <c r="C5" s="3">
        <v>0.12684409999999999</v>
      </c>
      <c r="D5" s="4">
        <v>0.66</v>
      </c>
      <c r="E5" s="3">
        <f t="shared" si="0"/>
        <v>5.5000000000000003E-4</v>
      </c>
      <c r="F5" s="5">
        <f t="shared" si="1"/>
        <v>0.19184903986453999</v>
      </c>
      <c r="G5" s="5">
        <f t="shared" si="2"/>
        <v>0.12629409999999999</v>
      </c>
      <c r="J5" s="75" t="s">
        <v>32</v>
      </c>
      <c r="K5" s="76" t="s">
        <v>33</v>
      </c>
      <c r="L5" s="77">
        <f>L3+L2*L4</f>
        <v>0.14203210632453012</v>
      </c>
    </row>
    <row r="6" spans="1:12" x14ac:dyDescent="0.2">
      <c r="A6" s="2">
        <v>43980</v>
      </c>
      <c r="B6" s="3">
        <v>0.84661364555358898</v>
      </c>
      <c r="C6" s="3">
        <v>4.5281780000000001E-2</v>
      </c>
      <c r="D6" s="4">
        <v>0.67</v>
      </c>
      <c r="E6" s="3">
        <f t="shared" si="0"/>
        <v>5.5833333333333342E-4</v>
      </c>
      <c r="F6" s="5">
        <f t="shared" si="1"/>
        <v>0.84605531222025565</v>
      </c>
      <c r="G6" s="5">
        <f t="shared" si="2"/>
        <v>4.4723446666666666E-2</v>
      </c>
    </row>
    <row r="7" spans="1:12" x14ac:dyDescent="0.2">
      <c r="A7" s="2">
        <v>44012</v>
      </c>
      <c r="B7" s="3">
        <v>0.26968714594840998</v>
      </c>
      <c r="C7" s="3">
        <v>1.8388399999999999E-2</v>
      </c>
      <c r="D7" s="4">
        <v>0.73</v>
      </c>
      <c r="E7" s="3">
        <f t="shared" si="0"/>
        <v>6.0833333333333334E-4</v>
      </c>
      <c r="F7" s="5">
        <f t="shared" si="1"/>
        <v>0.26907881261507666</v>
      </c>
      <c r="G7" s="5">
        <f t="shared" si="2"/>
        <v>1.7780066666666667E-2</v>
      </c>
    </row>
    <row r="8" spans="1:12" x14ac:dyDescent="0.2">
      <c r="A8" s="2">
        <v>44043</v>
      </c>
      <c r="B8" s="3">
        <v>0.24638907611370101</v>
      </c>
      <c r="C8" s="3">
        <v>5.5101299999999999E-2</v>
      </c>
      <c r="D8" s="4">
        <v>0.62</v>
      </c>
      <c r="E8" s="3">
        <f t="shared" si="0"/>
        <v>5.1666666666666668E-4</v>
      </c>
      <c r="F8" s="5">
        <f t="shared" si="1"/>
        <v>0.24587240944703434</v>
      </c>
      <c r="G8" s="5">
        <f t="shared" si="2"/>
        <v>5.4584633333333334E-2</v>
      </c>
      <c r="J8" s="72" t="s">
        <v>145</v>
      </c>
      <c r="K8" s="73"/>
    </row>
    <row r="9" spans="1:12" x14ac:dyDescent="0.2">
      <c r="A9" s="2">
        <v>44074</v>
      </c>
      <c r="B9" s="3">
        <v>0.323790043592453</v>
      </c>
      <c r="C9" s="3">
        <v>7.0064689999999999E-2</v>
      </c>
      <c r="D9" s="4">
        <v>0.65</v>
      </c>
      <c r="E9" s="3">
        <f t="shared" si="0"/>
        <v>5.4166666666666664E-4</v>
      </c>
      <c r="F9" s="5">
        <f t="shared" si="1"/>
        <v>0.32324837692578634</v>
      </c>
      <c r="G9" s="5">
        <f t="shared" si="2"/>
        <v>6.9523023333333336E-2</v>
      </c>
      <c r="J9" s="13" t="s">
        <v>164</v>
      </c>
      <c r="K9" s="14"/>
    </row>
    <row r="10" spans="1:12" x14ac:dyDescent="0.2">
      <c r="A10" s="2">
        <v>44104</v>
      </c>
      <c r="B10" s="3">
        <v>0.16941292583942399</v>
      </c>
      <c r="C10" s="3">
        <v>-3.9227959999999999E-2</v>
      </c>
      <c r="D10" s="4">
        <v>0.68</v>
      </c>
      <c r="E10" s="3">
        <f t="shared" si="0"/>
        <v>5.6666666666666671E-4</v>
      </c>
      <c r="F10" s="5">
        <f t="shared" si="1"/>
        <v>0.16884625917275733</v>
      </c>
      <c r="G10" s="5">
        <f t="shared" si="2"/>
        <v>-3.9794626666666666E-2</v>
      </c>
      <c r="J10" s="13" t="s">
        <v>206</v>
      </c>
      <c r="K10" s="14"/>
    </row>
    <row r="11" spans="1:12" x14ac:dyDescent="0.2">
      <c r="A11" s="2">
        <v>44134</v>
      </c>
      <c r="B11" s="3">
        <v>-0.114486947655678</v>
      </c>
      <c r="C11" s="3">
        <v>-2.7665780000000001E-2</v>
      </c>
      <c r="D11" s="4">
        <v>0.79</v>
      </c>
      <c r="E11" s="3">
        <f t="shared" si="0"/>
        <v>6.5833333333333336E-4</v>
      </c>
      <c r="F11" s="5">
        <f t="shared" si="1"/>
        <v>-0.11514528098901133</v>
      </c>
      <c r="G11" s="5">
        <f t="shared" si="2"/>
        <v>-2.8324113333333335E-2</v>
      </c>
      <c r="J11" s="13" t="s">
        <v>147</v>
      </c>
      <c r="K11" s="14"/>
    </row>
    <row r="12" spans="1:12" x14ac:dyDescent="0.2">
      <c r="A12" s="2">
        <v>44165</v>
      </c>
      <c r="B12" s="3">
        <v>0.60367971658706698</v>
      </c>
      <c r="C12" s="3">
        <v>0.10754569999999999</v>
      </c>
      <c r="D12" s="4">
        <v>0.87</v>
      </c>
      <c r="E12" s="3">
        <f t="shared" si="0"/>
        <v>7.2499999999999995E-4</v>
      </c>
      <c r="F12" s="5">
        <f t="shared" si="1"/>
        <v>0.60295471658706701</v>
      </c>
      <c r="G12" s="5">
        <f t="shared" si="2"/>
        <v>0.10682069999999999</v>
      </c>
      <c r="J12" s="13"/>
      <c r="K12" s="14"/>
    </row>
    <row r="13" spans="1:12" x14ac:dyDescent="0.2">
      <c r="A13" s="2">
        <v>44196</v>
      </c>
      <c r="B13" s="3">
        <v>0.56000006198883101</v>
      </c>
      <c r="C13" s="3">
        <v>3.7121410000000001E-2</v>
      </c>
      <c r="D13" s="4">
        <v>0.93</v>
      </c>
      <c r="E13" s="3">
        <f t="shared" si="0"/>
        <v>7.7499999999999997E-4</v>
      </c>
      <c r="F13" s="5">
        <f t="shared" si="1"/>
        <v>0.55922506198883104</v>
      </c>
      <c r="G13" s="5">
        <f t="shared" si="2"/>
        <v>3.6346410000000003E-2</v>
      </c>
      <c r="J13" s="65" t="s">
        <v>165</v>
      </c>
      <c r="K13" s="93">
        <v>9.5</v>
      </c>
    </row>
    <row r="14" spans="1:12" x14ac:dyDescent="0.2">
      <c r="A14" s="2">
        <v>44225</v>
      </c>
      <c r="B14" s="3">
        <v>6.1419203877449001E-2</v>
      </c>
      <c r="C14" s="3">
        <v>-1.113664E-2</v>
      </c>
      <c r="D14" s="4">
        <v>1.08</v>
      </c>
      <c r="E14" s="3">
        <f t="shared" si="0"/>
        <v>9.0000000000000008E-4</v>
      </c>
      <c r="F14" s="5">
        <f t="shared" si="1"/>
        <v>6.0519203877449003E-2</v>
      </c>
      <c r="G14" s="5">
        <f t="shared" si="2"/>
        <v>-1.2036639999999999E-2</v>
      </c>
      <c r="J14" s="65" t="s">
        <v>148</v>
      </c>
      <c r="K14" s="91" t="s">
        <v>196</v>
      </c>
    </row>
    <row r="15" spans="1:12" x14ac:dyDescent="0.2">
      <c r="A15" s="2">
        <v>44253</v>
      </c>
      <c r="B15" s="3">
        <v>0.114793956279755</v>
      </c>
      <c r="C15" s="3">
        <v>2.609148E-2</v>
      </c>
      <c r="D15" s="4">
        <v>1.26</v>
      </c>
      <c r="E15" s="3">
        <f t="shared" si="0"/>
        <v>1.0499999999999999E-3</v>
      </c>
      <c r="F15" s="5">
        <f t="shared" si="1"/>
        <v>0.113743956279755</v>
      </c>
      <c r="G15" s="5">
        <f t="shared" si="2"/>
        <v>2.5041480000000001E-2</v>
      </c>
      <c r="J15" s="65" t="s">
        <v>150</v>
      </c>
      <c r="K15" s="94">
        <v>1.38E-2</v>
      </c>
    </row>
    <row r="16" spans="1:12" x14ac:dyDescent="0.2">
      <c r="A16" s="2">
        <v>44286</v>
      </c>
      <c r="B16" s="3">
        <v>-0.192843943834305</v>
      </c>
      <c r="C16" s="3">
        <v>4.2438629999999998E-2</v>
      </c>
      <c r="D16" s="4">
        <v>1.61</v>
      </c>
      <c r="E16" s="3">
        <f t="shared" si="0"/>
        <v>1.3416666666666668E-3</v>
      </c>
      <c r="F16" s="5">
        <f t="shared" si="1"/>
        <v>-0.19418561050097166</v>
      </c>
      <c r="G16" s="5">
        <f t="shared" si="2"/>
        <v>4.1096963333333333E-2</v>
      </c>
      <c r="J16" s="75" t="s">
        <v>151</v>
      </c>
      <c r="K16" s="77">
        <f>L3+K15</f>
        <v>5.6399999999999999E-2</v>
      </c>
    </row>
    <row r="17" spans="1:12" x14ac:dyDescent="0.2">
      <c r="A17" s="2">
        <v>44316</v>
      </c>
      <c r="B17" s="3">
        <v>0.19250780344009399</v>
      </c>
      <c r="C17" s="3">
        <v>5.2425310000000003E-2</v>
      </c>
      <c r="D17" s="4">
        <v>1.64</v>
      </c>
      <c r="E17" s="3">
        <f t="shared" si="0"/>
        <v>1.3666666666666666E-3</v>
      </c>
      <c r="F17" s="5">
        <f t="shared" si="1"/>
        <v>0.19114113677342734</v>
      </c>
      <c r="G17" s="5">
        <f t="shared" si="2"/>
        <v>5.1058643333333334E-2</v>
      </c>
    </row>
    <row r="18" spans="1:12" x14ac:dyDescent="0.2">
      <c r="A18" s="2">
        <v>44344</v>
      </c>
      <c r="B18" s="3">
        <v>0.14380456507205999</v>
      </c>
      <c r="C18" s="3">
        <v>5.4865030000000002E-3</v>
      </c>
      <c r="D18" s="4">
        <v>1.62</v>
      </c>
      <c r="E18" s="3">
        <f t="shared" si="0"/>
        <v>1.3500000000000001E-3</v>
      </c>
      <c r="F18" s="5">
        <f t="shared" si="1"/>
        <v>0.14245456507206</v>
      </c>
      <c r="G18" s="5">
        <f t="shared" si="2"/>
        <v>4.1365029999999997E-3</v>
      </c>
    </row>
    <row r="19" spans="1:12" x14ac:dyDescent="0.2">
      <c r="A19" s="2">
        <v>44377</v>
      </c>
      <c r="B19" s="3">
        <v>0.16097033023834201</v>
      </c>
      <c r="C19" s="3">
        <v>2.2213980000000001E-2</v>
      </c>
      <c r="D19" s="4">
        <v>1.52</v>
      </c>
      <c r="E19" s="3">
        <f t="shared" si="0"/>
        <v>1.2666666666666668E-3</v>
      </c>
      <c r="F19" s="5">
        <f t="shared" si="1"/>
        <v>0.15970366357167534</v>
      </c>
      <c r="G19" s="5">
        <f t="shared" si="2"/>
        <v>2.0947313333333335E-2</v>
      </c>
      <c r="J19" s="72" t="s">
        <v>137</v>
      </c>
      <c r="K19" s="74"/>
      <c r="L19" s="73"/>
    </row>
    <row r="20" spans="1:12" x14ac:dyDescent="0.2">
      <c r="A20" s="2">
        <v>44407</v>
      </c>
      <c r="B20" s="3">
        <v>-9.8041787743568407E-2</v>
      </c>
      <c r="C20" s="3">
        <v>2.2748109999999998E-2</v>
      </c>
      <c r="D20" s="4">
        <v>1.32</v>
      </c>
      <c r="E20" s="3">
        <f t="shared" si="0"/>
        <v>1.1000000000000001E-3</v>
      </c>
      <c r="F20" s="5">
        <f t="shared" si="1"/>
        <v>-9.914178774356841E-2</v>
      </c>
      <c r="G20" s="5">
        <f t="shared" si="2"/>
        <v>2.1648109999999998E-2</v>
      </c>
      <c r="J20" s="13" t="s">
        <v>32</v>
      </c>
      <c r="K20" t="s">
        <v>138</v>
      </c>
      <c r="L20" s="66">
        <f>L5</f>
        <v>0.14203210632453012</v>
      </c>
    </row>
    <row r="21" spans="1:12" x14ac:dyDescent="0.2">
      <c r="A21" s="2">
        <v>44439</v>
      </c>
      <c r="B21" s="3">
        <v>0.19131582975387601</v>
      </c>
      <c r="C21" s="3">
        <v>2.899032E-2</v>
      </c>
      <c r="D21" s="4">
        <v>1.28</v>
      </c>
      <c r="E21" s="3">
        <f t="shared" si="0"/>
        <v>1.0666666666666667E-3</v>
      </c>
      <c r="F21" s="5">
        <f t="shared" si="1"/>
        <v>0.19024916308720935</v>
      </c>
      <c r="G21" s="5">
        <f t="shared" si="2"/>
        <v>2.7923653333333333E-2</v>
      </c>
      <c r="J21" s="13" t="s">
        <v>75</v>
      </c>
      <c r="K21" t="s">
        <v>76</v>
      </c>
      <c r="L21" s="66">
        <f>K16</f>
        <v>5.6399999999999999E-2</v>
      </c>
    </row>
    <row r="22" spans="1:12" x14ac:dyDescent="0.2">
      <c r="A22" s="2">
        <v>44469</v>
      </c>
      <c r="B22" s="3">
        <v>0.10188348591327701</v>
      </c>
      <c r="C22" s="3">
        <v>-4.7569140000000003E-2</v>
      </c>
      <c r="D22" s="4">
        <v>1.37</v>
      </c>
      <c r="E22" s="3">
        <f t="shared" si="0"/>
        <v>1.1416666666666667E-3</v>
      </c>
      <c r="F22" s="5">
        <f t="shared" si="1"/>
        <v>0.10074181924661034</v>
      </c>
      <c r="G22" s="5">
        <f t="shared" si="2"/>
        <v>-4.8710806666666669E-2</v>
      </c>
      <c r="J22" s="13" t="s">
        <v>77</v>
      </c>
      <c r="K22" t="s">
        <v>139</v>
      </c>
      <c r="L22" s="67">
        <v>13950</v>
      </c>
    </row>
    <row r="23" spans="1:12" x14ac:dyDescent="0.2">
      <c r="A23" s="2">
        <v>44498</v>
      </c>
      <c r="B23" s="3">
        <v>7.1373075246810899E-2</v>
      </c>
      <c r="C23" s="3">
        <v>6.9143880000000005E-2</v>
      </c>
      <c r="D23" s="4">
        <v>1.58</v>
      </c>
      <c r="E23" s="3">
        <f t="shared" si="0"/>
        <v>1.3166666666666667E-3</v>
      </c>
      <c r="F23" s="5">
        <f t="shared" si="1"/>
        <v>7.0056408580144239E-2</v>
      </c>
      <c r="G23" s="5">
        <f t="shared" si="2"/>
        <v>6.7827213333333344E-2</v>
      </c>
      <c r="J23" s="13" t="s">
        <v>79</v>
      </c>
      <c r="K23" t="s">
        <v>140</v>
      </c>
      <c r="L23" s="67">
        <v>677</v>
      </c>
    </row>
    <row r="24" spans="1:12" x14ac:dyDescent="0.2">
      <c r="A24" s="2">
        <v>44530</v>
      </c>
      <c r="B24" s="3">
        <v>-0.291234910488129</v>
      </c>
      <c r="C24" s="3">
        <v>-8.3337310000000005E-3</v>
      </c>
      <c r="D24" s="4">
        <v>1.56</v>
      </c>
      <c r="E24" s="3">
        <f t="shared" si="0"/>
        <v>1.2999999999999999E-3</v>
      </c>
      <c r="F24" s="5">
        <f t="shared" si="1"/>
        <v>-0.29253491048812902</v>
      </c>
      <c r="G24" s="5">
        <f t="shared" si="2"/>
        <v>-9.6337309999999995E-3</v>
      </c>
      <c r="J24" s="13" t="s">
        <v>141</v>
      </c>
      <c r="K24" t="s">
        <v>142</v>
      </c>
      <c r="L24" s="68">
        <v>0.21</v>
      </c>
    </row>
    <row r="25" spans="1:12" x14ac:dyDescent="0.2">
      <c r="A25" s="2">
        <v>44561</v>
      </c>
      <c r="B25" s="3">
        <v>9.0045250952243805E-2</v>
      </c>
      <c r="C25" s="3">
        <v>4.361288E-2</v>
      </c>
      <c r="D25" s="4">
        <v>1.47</v>
      </c>
      <c r="E25" s="3">
        <f t="shared" si="0"/>
        <v>1.225E-3</v>
      </c>
      <c r="F25" s="5">
        <f t="shared" si="1"/>
        <v>8.8820250952243801E-2</v>
      </c>
      <c r="G25" s="5">
        <f t="shared" si="2"/>
        <v>4.2387880000000003E-2</v>
      </c>
      <c r="J25" s="75" t="s">
        <v>83</v>
      </c>
      <c r="K25" s="76" t="s">
        <v>143</v>
      </c>
      <c r="L25" s="77">
        <f>L20*(L22/(L22+L23))+L21*(1-L24)*(L23/(L22+L23))</f>
        <v>0.13752049601607949</v>
      </c>
    </row>
    <row r="26" spans="1:12" x14ac:dyDescent="0.2">
      <c r="A26" s="2">
        <v>44592</v>
      </c>
      <c r="B26" s="3">
        <v>-0.35993027687072798</v>
      </c>
      <c r="C26" s="3">
        <v>-5.2585090000000001E-2</v>
      </c>
      <c r="D26" s="4">
        <v>1.76</v>
      </c>
      <c r="E26" s="3">
        <f t="shared" si="0"/>
        <v>1.4666666666666667E-3</v>
      </c>
      <c r="F26" s="5">
        <f t="shared" si="1"/>
        <v>-0.36139694353739465</v>
      </c>
      <c r="G26" s="5">
        <f t="shared" si="2"/>
        <v>-5.4051756666666666E-2</v>
      </c>
    </row>
    <row r="27" spans="1:12" x14ac:dyDescent="0.2">
      <c r="A27" s="2">
        <v>44620</v>
      </c>
      <c r="B27" s="3">
        <v>0.33857113122940102</v>
      </c>
      <c r="C27" s="3">
        <v>-3.1360520000000003E-2</v>
      </c>
      <c r="D27" s="4">
        <v>1.93</v>
      </c>
      <c r="E27" s="3">
        <f t="shared" si="0"/>
        <v>1.6083333333333334E-3</v>
      </c>
      <c r="F27" s="5">
        <f t="shared" si="1"/>
        <v>0.3369627978960677</v>
      </c>
      <c r="G27" s="5">
        <f t="shared" si="2"/>
        <v>-3.2968853333333339E-2</v>
      </c>
    </row>
    <row r="28" spans="1:12" x14ac:dyDescent="0.2">
      <c r="A28" s="2">
        <v>44651</v>
      </c>
      <c r="B28" s="3">
        <v>-0.13632805645465901</v>
      </c>
      <c r="C28" s="3">
        <v>3.5773239999999998E-2</v>
      </c>
      <c r="D28" s="4">
        <v>2.13</v>
      </c>
      <c r="E28" s="3">
        <f t="shared" si="0"/>
        <v>1.7749999999999999E-3</v>
      </c>
      <c r="F28" s="5">
        <f t="shared" si="1"/>
        <v>-0.13810305645465901</v>
      </c>
      <c r="G28" s="5">
        <f t="shared" si="2"/>
        <v>3.3998239999999999E-2</v>
      </c>
    </row>
    <row r="29" spans="1:12" x14ac:dyDescent="0.2">
      <c r="A29" s="2">
        <v>44680</v>
      </c>
      <c r="B29" s="3">
        <v>-5.7629581540822997E-2</v>
      </c>
      <c r="C29" s="3">
        <v>-8.7956720000000002E-2</v>
      </c>
      <c r="D29" s="4">
        <v>2.75</v>
      </c>
      <c r="E29" s="3">
        <f t="shared" si="0"/>
        <v>2.2916666666666667E-3</v>
      </c>
      <c r="F29" s="5">
        <f t="shared" si="1"/>
        <v>-5.9921248207489661E-2</v>
      </c>
      <c r="G29" s="5">
        <f t="shared" si="2"/>
        <v>-9.0248386666666666E-2</v>
      </c>
    </row>
    <row r="30" spans="1:12" ht="18" x14ac:dyDescent="0.2">
      <c r="A30" s="2">
        <v>44712</v>
      </c>
      <c r="B30" s="3">
        <v>0.29019224643707298</v>
      </c>
      <c r="C30" s="3">
        <v>5.3243879999999999E-5</v>
      </c>
      <c r="D30" s="4">
        <v>2.9</v>
      </c>
      <c r="E30" s="3">
        <f t="shared" si="0"/>
        <v>2.4166666666666668E-3</v>
      </c>
      <c r="F30" s="5">
        <f t="shared" si="1"/>
        <v>0.2877755797704063</v>
      </c>
      <c r="G30" s="5">
        <f t="shared" si="2"/>
        <v>-2.3634227866666667E-3</v>
      </c>
      <c r="K30" s="92"/>
    </row>
    <row r="31" spans="1:12" x14ac:dyDescent="0.2">
      <c r="A31" s="2">
        <v>44742</v>
      </c>
      <c r="B31" s="3">
        <v>-2.7276707813143699E-2</v>
      </c>
      <c r="C31" s="3">
        <v>-8.391999E-2</v>
      </c>
      <c r="D31" s="4">
        <v>3.14</v>
      </c>
      <c r="E31" s="3">
        <f t="shared" si="0"/>
        <v>2.6166666666666664E-3</v>
      </c>
      <c r="F31" s="5">
        <f t="shared" si="1"/>
        <v>-2.9893374479810365E-2</v>
      </c>
      <c r="G31" s="5">
        <f t="shared" si="2"/>
        <v>-8.653665666666667E-2</v>
      </c>
    </row>
    <row r="32" spans="1:12" x14ac:dyDescent="0.2">
      <c r="A32" s="2">
        <v>44771</v>
      </c>
      <c r="B32" s="3">
        <v>0.36316266655921903</v>
      </c>
      <c r="C32" s="3">
        <v>9.1116349999999999E-2</v>
      </c>
      <c r="D32" s="4">
        <v>2.9</v>
      </c>
      <c r="E32" s="3">
        <f t="shared" si="0"/>
        <v>2.4166666666666668E-3</v>
      </c>
      <c r="F32" s="5">
        <f t="shared" si="1"/>
        <v>0.36074599989255235</v>
      </c>
      <c r="G32" s="5">
        <f t="shared" si="2"/>
        <v>8.8699683333333335E-2</v>
      </c>
    </row>
    <row r="33" spans="1:12" ht="18" x14ac:dyDescent="0.2">
      <c r="A33" s="2">
        <v>44804</v>
      </c>
      <c r="B33" s="3">
        <v>0.16333182156086001</v>
      </c>
      <c r="C33" s="3">
        <v>-4.2440119999999998E-2</v>
      </c>
      <c r="D33" s="4">
        <v>2.9</v>
      </c>
      <c r="E33" s="3">
        <f t="shared" si="0"/>
        <v>2.4166666666666668E-3</v>
      </c>
      <c r="F33" s="5">
        <f t="shared" si="1"/>
        <v>0.16091515489419334</v>
      </c>
      <c r="G33" s="5">
        <f t="shared" si="2"/>
        <v>-4.4856786666666662E-2</v>
      </c>
      <c r="K33" s="92"/>
    </row>
    <row r="34" spans="1:12" x14ac:dyDescent="0.2">
      <c r="A34" s="2">
        <v>44834</v>
      </c>
      <c r="B34" s="3">
        <v>-0.123780056834221</v>
      </c>
      <c r="C34" s="3">
        <v>-9.3395699999999998E-2</v>
      </c>
      <c r="D34" s="4">
        <v>3.52</v>
      </c>
      <c r="E34" s="3">
        <f t="shared" ref="E34:E61" si="3">(D34/12)/100</f>
        <v>2.9333333333333334E-3</v>
      </c>
      <c r="F34" s="5">
        <f t="shared" ref="F34:F61" si="4">B34-E34</f>
        <v>-0.12671339016755434</v>
      </c>
      <c r="G34" s="5">
        <f t="shared" ref="G34:G61" si="5">C34-E34</f>
        <v>-9.6329033333333328E-2</v>
      </c>
    </row>
    <row r="35" spans="1:12" x14ac:dyDescent="0.2">
      <c r="A35" s="2">
        <v>44865</v>
      </c>
      <c r="B35" s="3">
        <v>4.4111330062150999E-3</v>
      </c>
      <c r="C35" s="3">
        <v>7.9863450000000002E-2</v>
      </c>
      <c r="D35" s="4">
        <v>3.98</v>
      </c>
      <c r="E35" s="3">
        <f t="shared" si="3"/>
        <v>3.3166666666666665E-3</v>
      </c>
      <c r="F35" s="5">
        <f t="shared" si="4"/>
        <v>1.0944663395484333E-3</v>
      </c>
      <c r="G35" s="5">
        <f t="shared" si="5"/>
        <v>7.654678333333334E-2</v>
      </c>
    </row>
    <row r="36" spans="1:12" ht="18" x14ac:dyDescent="0.2">
      <c r="A36" s="2">
        <v>44895</v>
      </c>
      <c r="B36" s="3">
        <v>0.22244174778461501</v>
      </c>
      <c r="C36" s="3">
        <v>5.375286E-2</v>
      </c>
      <c r="D36" s="4">
        <v>3.89</v>
      </c>
      <c r="E36" s="3">
        <f t="shared" si="3"/>
        <v>3.2416666666666666E-3</v>
      </c>
      <c r="F36" s="5">
        <f t="shared" si="4"/>
        <v>0.21920008111794834</v>
      </c>
      <c r="G36" s="5">
        <f t="shared" si="5"/>
        <v>5.0511193333333336E-2</v>
      </c>
      <c r="L36" s="92"/>
    </row>
    <row r="37" spans="1:12" x14ac:dyDescent="0.2">
      <c r="A37" s="2">
        <v>44925</v>
      </c>
      <c r="B37" s="3">
        <v>-6.5564900636673001E-2</v>
      </c>
      <c r="C37" s="3">
        <v>-5.8971450000000002E-2</v>
      </c>
      <c r="D37" s="4">
        <v>3.62</v>
      </c>
      <c r="E37" s="3">
        <f t="shared" si="3"/>
        <v>3.0166666666666671E-3</v>
      </c>
      <c r="F37" s="5">
        <f t="shared" si="4"/>
        <v>-6.8581567303339669E-2</v>
      </c>
      <c r="G37" s="5">
        <f t="shared" si="5"/>
        <v>-6.1988116666666669E-2</v>
      </c>
    </row>
    <row r="38" spans="1:12" x14ac:dyDescent="0.2">
      <c r="A38" s="2">
        <v>44957</v>
      </c>
      <c r="B38" s="3">
        <v>-3.5755489021539702E-2</v>
      </c>
      <c r="C38" s="3">
        <v>6.1752830000000002E-2</v>
      </c>
      <c r="D38" s="4">
        <v>3.53</v>
      </c>
      <c r="E38" s="3">
        <f t="shared" si="3"/>
        <v>2.9416666666666662E-3</v>
      </c>
      <c r="F38" s="5">
        <f t="shared" si="4"/>
        <v>-3.8697155688206371E-2</v>
      </c>
      <c r="G38" s="5">
        <f t="shared" si="5"/>
        <v>5.8811163333333333E-2</v>
      </c>
    </row>
    <row r="39" spans="1:12" ht="18" x14ac:dyDescent="0.2">
      <c r="A39" s="2">
        <v>44985</v>
      </c>
      <c r="B39" s="3">
        <v>-9.4896301627159105E-2</v>
      </c>
      <c r="C39" s="3">
        <v>-2.6112449999999999E-2</v>
      </c>
      <c r="D39" s="4">
        <v>3.75</v>
      </c>
      <c r="E39" s="3">
        <f t="shared" si="3"/>
        <v>3.1250000000000002E-3</v>
      </c>
      <c r="F39" s="5">
        <f t="shared" si="4"/>
        <v>-9.8021301627159108E-2</v>
      </c>
      <c r="G39" s="5">
        <f t="shared" si="5"/>
        <v>-2.9237449999999998E-2</v>
      </c>
      <c r="K39" s="92"/>
    </row>
    <row r="40" spans="1:12" x14ac:dyDescent="0.2">
      <c r="A40" s="2">
        <v>45016</v>
      </c>
      <c r="B40" s="3">
        <v>2.3568274453282401E-2</v>
      </c>
      <c r="C40" s="3">
        <v>3.5051569999999997E-2</v>
      </c>
      <c r="D40" s="4">
        <v>3.66</v>
      </c>
      <c r="E40" s="3">
        <f t="shared" si="3"/>
        <v>3.0499999999999998E-3</v>
      </c>
      <c r="F40" s="5">
        <f t="shared" si="4"/>
        <v>2.0518274453282401E-2</v>
      </c>
      <c r="G40" s="5">
        <f t="shared" si="5"/>
        <v>3.200157E-2</v>
      </c>
    </row>
    <row r="41" spans="1:12" x14ac:dyDescent="0.2">
      <c r="A41" s="2">
        <v>45044</v>
      </c>
      <c r="B41" s="3">
        <v>2.82977968454361E-2</v>
      </c>
      <c r="C41" s="3">
        <v>1.464236E-2</v>
      </c>
      <c r="D41" s="4">
        <v>3.46</v>
      </c>
      <c r="E41" s="3">
        <f t="shared" si="3"/>
        <v>2.8833333333333332E-3</v>
      </c>
      <c r="F41" s="5">
        <f t="shared" si="4"/>
        <v>2.5414463512102768E-2</v>
      </c>
      <c r="G41" s="5">
        <f t="shared" si="5"/>
        <v>1.1759026666666667E-2</v>
      </c>
    </row>
    <row r="42" spans="1:12" x14ac:dyDescent="0.2">
      <c r="A42" s="2">
        <v>45077</v>
      </c>
      <c r="B42" s="3">
        <v>0.31348749995231601</v>
      </c>
      <c r="C42" s="3">
        <v>2.4823240000000002E-3</v>
      </c>
      <c r="D42" s="4">
        <v>3.57</v>
      </c>
      <c r="E42" s="3">
        <f t="shared" si="3"/>
        <v>2.9749999999999998E-3</v>
      </c>
      <c r="F42" s="5">
        <f t="shared" si="4"/>
        <v>0.310512499952316</v>
      </c>
      <c r="G42" s="5">
        <f t="shared" si="5"/>
        <v>-4.9267599999999962E-4</v>
      </c>
    </row>
    <row r="43" spans="1:12" x14ac:dyDescent="0.2">
      <c r="A43" s="2">
        <v>45107</v>
      </c>
      <c r="B43" s="3">
        <v>0.18848086893558499</v>
      </c>
      <c r="C43" s="3">
        <v>6.4727510000000002E-2</v>
      </c>
      <c r="D43" s="4">
        <v>3.75</v>
      </c>
      <c r="E43" s="3">
        <f t="shared" si="3"/>
        <v>3.1250000000000002E-3</v>
      </c>
      <c r="F43" s="5">
        <f t="shared" si="4"/>
        <v>0.18535586893558501</v>
      </c>
      <c r="G43" s="5">
        <f t="shared" si="5"/>
        <v>6.1602509999999999E-2</v>
      </c>
    </row>
    <row r="44" spans="1:12" x14ac:dyDescent="0.2">
      <c r="A44" s="2">
        <v>45138</v>
      </c>
      <c r="B44" s="3">
        <v>-3.0095886439085E-2</v>
      </c>
      <c r="C44" s="3">
        <v>3.1138909999999999E-2</v>
      </c>
      <c r="D44" s="4">
        <v>3.9</v>
      </c>
      <c r="E44" s="3">
        <f t="shared" si="3"/>
        <v>3.2500000000000003E-3</v>
      </c>
      <c r="F44" s="5">
        <f t="shared" si="4"/>
        <v>-3.3345886439085003E-2</v>
      </c>
      <c r="G44" s="5">
        <f t="shared" si="5"/>
        <v>2.7888909999999999E-2</v>
      </c>
    </row>
    <row r="45" spans="1:12" x14ac:dyDescent="0.2">
      <c r="A45" s="2">
        <v>45169</v>
      </c>
      <c r="B45" s="3">
        <v>0.354803025722504</v>
      </c>
      <c r="C45" s="3">
        <v>-1.7716429999999998E-2</v>
      </c>
      <c r="D45" s="4">
        <v>4.17</v>
      </c>
      <c r="E45" s="3">
        <f t="shared" si="3"/>
        <v>3.4749999999999998E-3</v>
      </c>
      <c r="F45" s="5">
        <f t="shared" si="4"/>
        <v>0.35132802572250399</v>
      </c>
      <c r="G45" s="5">
        <f t="shared" si="5"/>
        <v>-2.1191429999999997E-2</v>
      </c>
    </row>
    <row r="46" spans="1:12" x14ac:dyDescent="0.2">
      <c r="A46" s="2">
        <v>45198</v>
      </c>
      <c r="B46" s="3">
        <v>-0.124668374657631</v>
      </c>
      <c r="C46" s="3">
        <v>-4.8719289999999998E-2</v>
      </c>
      <c r="D46" s="4">
        <v>4.38</v>
      </c>
      <c r="E46" s="3">
        <f t="shared" si="3"/>
        <v>3.65E-3</v>
      </c>
      <c r="F46" s="5">
        <f t="shared" si="4"/>
        <v>-0.12831837465763099</v>
      </c>
      <c r="G46" s="5">
        <f t="shared" si="5"/>
        <v>-5.2369289999999999E-2</v>
      </c>
    </row>
    <row r="47" spans="1:12" x14ac:dyDescent="0.2">
      <c r="A47" s="2">
        <v>45230</v>
      </c>
      <c r="B47" s="3">
        <v>-0.113694690167904</v>
      </c>
      <c r="C47" s="3">
        <v>-2.197969E-2</v>
      </c>
      <c r="D47" s="4">
        <v>4.8</v>
      </c>
      <c r="E47" s="3">
        <f t="shared" si="3"/>
        <v>4.0000000000000001E-3</v>
      </c>
      <c r="F47" s="5">
        <f t="shared" si="4"/>
        <v>-0.117694690167904</v>
      </c>
      <c r="G47" s="5">
        <f t="shared" si="5"/>
        <v>-2.597969E-2</v>
      </c>
    </row>
    <row r="48" spans="1:12" x14ac:dyDescent="0.2">
      <c r="A48" s="2">
        <v>45260</v>
      </c>
      <c r="B48" s="3">
        <v>-2.3407202214002599E-2</v>
      </c>
      <c r="C48" s="3">
        <v>8.9179259999999996E-2</v>
      </c>
      <c r="D48" s="4">
        <v>4.5</v>
      </c>
      <c r="E48" s="3">
        <f t="shared" si="3"/>
        <v>3.7499999999999999E-3</v>
      </c>
      <c r="F48" s="5">
        <f t="shared" si="4"/>
        <v>-2.7157202214002599E-2</v>
      </c>
      <c r="G48" s="5">
        <f t="shared" si="5"/>
        <v>8.5429259999999993E-2</v>
      </c>
    </row>
    <row r="49" spans="1:7" x14ac:dyDescent="0.2">
      <c r="A49" s="2">
        <v>45289</v>
      </c>
      <c r="B49" s="3">
        <v>0.101191721856594</v>
      </c>
      <c r="C49" s="3">
        <v>4.4229169999999998E-2</v>
      </c>
      <c r="D49" s="4">
        <v>4.0199999999999996</v>
      </c>
      <c r="E49" s="3">
        <f t="shared" si="3"/>
        <v>3.3499999999999997E-3</v>
      </c>
      <c r="F49" s="5">
        <f t="shared" si="4"/>
        <v>9.7841721856593997E-2</v>
      </c>
      <c r="G49" s="5">
        <f t="shared" si="5"/>
        <v>4.0879169999999999E-2</v>
      </c>
    </row>
    <row r="50" spans="1:7" x14ac:dyDescent="0.2">
      <c r="A50" s="2">
        <v>45322</v>
      </c>
      <c r="B50" s="3">
        <v>-8.4739521145820604E-2</v>
      </c>
      <c r="C50" s="3">
        <v>1.5895739999999998E-2</v>
      </c>
      <c r="D50" s="4">
        <v>4.0599999999999996</v>
      </c>
      <c r="E50" s="3">
        <f t="shared" si="3"/>
        <v>3.3833333333333332E-3</v>
      </c>
      <c r="F50" s="5">
        <f t="shared" si="4"/>
        <v>-8.8122854479153939E-2</v>
      </c>
      <c r="G50" s="5">
        <f t="shared" si="5"/>
        <v>1.2512406666666665E-2</v>
      </c>
    </row>
    <row r="51" spans="1:7" x14ac:dyDescent="0.2">
      <c r="A51" s="2">
        <v>45351</v>
      </c>
      <c r="B51" s="3">
        <v>0.63567137718200695</v>
      </c>
      <c r="C51" s="3">
        <v>5.1720620000000002E-2</v>
      </c>
      <c r="D51" s="4">
        <v>4.21</v>
      </c>
      <c r="E51" s="3">
        <f t="shared" si="3"/>
        <v>3.5083333333333334E-3</v>
      </c>
      <c r="F51" s="5">
        <f t="shared" si="4"/>
        <v>0.63216304384867361</v>
      </c>
      <c r="G51" s="5">
        <f t="shared" si="5"/>
        <v>4.8212286666666666E-2</v>
      </c>
    </row>
    <row r="52" spans="1:7" x14ac:dyDescent="0.2">
      <c r="A52" s="2">
        <v>45379</v>
      </c>
      <c r="B52" s="3">
        <v>1.59274116158485E-2</v>
      </c>
      <c r="C52" s="3">
        <v>3.1018759999999999E-2</v>
      </c>
      <c r="D52" s="4">
        <v>4.21</v>
      </c>
      <c r="E52" s="3">
        <f t="shared" si="3"/>
        <v>3.5083333333333334E-3</v>
      </c>
      <c r="F52" s="5">
        <f t="shared" si="4"/>
        <v>1.2419078282515166E-2</v>
      </c>
      <c r="G52" s="5">
        <f t="shared" si="5"/>
        <v>2.7510426666666667E-2</v>
      </c>
    </row>
    <row r="53" spans="1:7" x14ac:dyDescent="0.2">
      <c r="A53" s="2">
        <v>45412</v>
      </c>
      <c r="B53" s="3">
        <v>-0.14049687981605499</v>
      </c>
      <c r="C53" s="3">
        <v>-4.1615039999999999E-2</v>
      </c>
      <c r="D53" s="4">
        <v>4.54</v>
      </c>
      <c r="E53" s="3">
        <f t="shared" si="3"/>
        <v>3.7833333333333334E-3</v>
      </c>
      <c r="F53" s="5">
        <f t="shared" si="4"/>
        <v>-0.14428021314938833</v>
      </c>
      <c r="G53" s="5">
        <f t="shared" si="5"/>
        <v>-4.5398373333333332E-2</v>
      </c>
    </row>
    <row r="54" spans="1:7" x14ac:dyDescent="0.2">
      <c r="A54" s="2">
        <v>45443</v>
      </c>
      <c r="B54" s="3">
        <v>0.122211411595345</v>
      </c>
      <c r="C54" s="3">
        <v>4.8021220000000003E-2</v>
      </c>
      <c r="D54" s="4">
        <v>4.4800000000000004</v>
      </c>
      <c r="E54" s="3">
        <f t="shared" si="3"/>
        <v>3.7333333333333333E-3</v>
      </c>
      <c r="F54" s="5">
        <f t="shared" si="4"/>
        <v>0.11847807826201166</v>
      </c>
      <c r="G54" s="5">
        <f t="shared" si="5"/>
        <v>4.4287886666666672E-2</v>
      </c>
    </row>
    <row r="55" spans="1:7" x14ac:dyDescent="0.2">
      <c r="A55" s="2">
        <v>45471</v>
      </c>
      <c r="B55" s="3">
        <v>-0.28619658946991</v>
      </c>
      <c r="C55" s="3">
        <v>3.4669760000000001E-2</v>
      </c>
      <c r="D55" s="4">
        <v>4.3099999999999996</v>
      </c>
      <c r="E55" s="3">
        <f t="shared" si="3"/>
        <v>3.5916666666666662E-3</v>
      </c>
      <c r="F55" s="5">
        <f t="shared" si="4"/>
        <v>-0.28978825613657666</v>
      </c>
      <c r="G55" s="5">
        <f t="shared" si="5"/>
        <v>3.1078093333333334E-2</v>
      </c>
    </row>
    <row r="56" spans="1:7" x14ac:dyDescent="0.2">
      <c r="A56" s="2">
        <v>45504</v>
      </c>
      <c r="B56" s="3">
        <v>-0.17971621453762099</v>
      </c>
      <c r="C56" s="3">
        <v>1.1321350000000001E-2</v>
      </c>
      <c r="D56" s="4">
        <v>4.25</v>
      </c>
      <c r="E56" s="3">
        <f t="shared" si="3"/>
        <v>3.5416666666666669E-3</v>
      </c>
      <c r="F56" s="5">
        <f t="shared" si="4"/>
        <v>-0.18325788120428765</v>
      </c>
      <c r="G56" s="5">
        <f t="shared" si="5"/>
        <v>7.7796833333333339E-3</v>
      </c>
    </row>
    <row r="57" spans="1:7" x14ac:dyDescent="0.2">
      <c r="A57" s="2">
        <v>45534</v>
      </c>
      <c r="B57" s="3">
        <v>-0.18791379034519201</v>
      </c>
      <c r="C57" s="3">
        <v>2.2834690000000001E-2</v>
      </c>
      <c r="D57" s="4">
        <v>3.87</v>
      </c>
      <c r="E57" s="3">
        <f t="shared" si="3"/>
        <v>3.225E-3</v>
      </c>
      <c r="F57" s="5">
        <f t="shared" si="4"/>
        <v>-0.19113879034519202</v>
      </c>
      <c r="G57" s="5">
        <f t="shared" si="5"/>
        <v>1.9609690000000003E-2</v>
      </c>
    </row>
    <row r="58" spans="1:7" x14ac:dyDescent="0.2">
      <c r="A58" s="2">
        <v>45565</v>
      </c>
      <c r="B58" s="3">
        <v>-0.17538781464099901</v>
      </c>
      <c r="C58" s="3">
        <v>2.0196869999999999E-2</v>
      </c>
      <c r="D58" s="4">
        <v>3.72</v>
      </c>
      <c r="E58" s="3">
        <f t="shared" si="3"/>
        <v>3.0999999999999999E-3</v>
      </c>
      <c r="F58" s="5">
        <f t="shared" si="4"/>
        <v>-0.178487814640999</v>
      </c>
      <c r="G58" s="5">
        <f t="shared" si="5"/>
        <v>1.709687E-2</v>
      </c>
    </row>
    <row r="59" spans="1:7" x14ac:dyDescent="0.2">
      <c r="A59" s="2">
        <v>45596</v>
      </c>
      <c r="B59" s="3">
        <v>-4.0816348046064398E-2</v>
      </c>
      <c r="C59" s="3">
        <v>-9.8967800000000009E-3</v>
      </c>
      <c r="D59" s="4">
        <v>4.0999999999999996</v>
      </c>
      <c r="E59" s="3">
        <f t="shared" si="3"/>
        <v>3.4166666666666664E-3</v>
      </c>
      <c r="F59" s="5">
        <f t="shared" si="4"/>
        <v>-4.4233014712731063E-2</v>
      </c>
      <c r="G59" s="5">
        <f t="shared" si="5"/>
        <v>-1.3313446666666668E-2</v>
      </c>
    </row>
    <row r="60" spans="1:7" x14ac:dyDescent="0.2">
      <c r="A60" s="2">
        <v>45625</v>
      </c>
      <c r="B60" s="3">
        <v>-5.41888028383255E-2</v>
      </c>
      <c r="C60" s="3">
        <v>5.7301350000000001E-2</v>
      </c>
      <c r="D60" s="4">
        <v>4.3600000000000003</v>
      </c>
      <c r="E60" s="3">
        <f t="shared" si="3"/>
        <v>3.6333333333333335E-3</v>
      </c>
      <c r="F60" s="5">
        <f t="shared" si="4"/>
        <v>-5.7822136171658836E-2</v>
      </c>
      <c r="G60" s="5">
        <f t="shared" si="5"/>
        <v>5.3668016666666665E-2</v>
      </c>
    </row>
    <row r="61" spans="1:7" x14ac:dyDescent="0.2">
      <c r="A61" s="2">
        <v>45657</v>
      </c>
      <c r="B61" s="3">
        <v>-7.4165225028991699E-2</v>
      </c>
      <c r="C61" s="3">
        <v>-2.4990140000000001E-2</v>
      </c>
      <c r="D61" s="4">
        <v>4.3899999999999997</v>
      </c>
      <c r="E61" s="3">
        <f t="shared" si="3"/>
        <v>3.6583333333333329E-3</v>
      </c>
      <c r="F61" s="5">
        <f t="shared" si="4"/>
        <v>-7.7823558362325032E-2</v>
      </c>
      <c r="G61" s="5">
        <f t="shared" si="5"/>
        <v>-2.8648473333333334E-2</v>
      </c>
    </row>
    <row r="62" spans="1:7" x14ac:dyDescent="0.2">
      <c r="D62" s="4"/>
    </row>
    <row r="63" spans="1:7" x14ac:dyDescent="0.2">
      <c r="D63" s="4"/>
    </row>
    <row r="64" spans="1:7" x14ac:dyDescent="0.2">
      <c r="D64" s="4"/>
    </row>
    <row r="65" spans="1:6" x14ac:dyDescent="0.2">
      <c r="D65" s="4"/>
    </row>
    <row r="66" spans="1:6" x14ac:dyDescent="0.2">
      <c r="A66" t="s">
        <v>85</v>
      </c>
    </row>
    <row r="67" spans="1:6" ht="15.75" customHeight="1" x14ac:dyDescent="0.2"/>
    <row r="68" spans="1:6" x14ac:dyDescent="0.2">
      <c r="A68" s="95" t="s">
        <v>86</v>
      </c>
      <c r="B68" s="95"/>
    </row>
    <row r="69" spans="1:6" x14ac:dyDescent="0.2">
      <c r="A69" t="s">
        <v>87</v>
      </c>
      <c r="B69">
        <v>0.39945594219244601</v>
      </c>
    </row>
    <row r="70" spans="1:6" x14ac:dyDescent="0.2">
      <c r="A70" t="s">
        <v>88</v>
      </c>
      <c r="B70">
        <v>0.15956504975285399</v>
      </c>
    </row>
    <row r="71" spans="1:6" x14ac:dyDescent="0.2">
      <c r="A71" t="s">
        <v>89</v>
      </c>
      <c r="B71">
        <v>0.145074791989973</v>
      </c>
    </row>
    <row r="72" spans="1:6" x14ac:dyDescent="0.2">
      <c r="A72" t="s">
        <v>90</v>
      </c>
      <c r="B72">
        <v>0.21986984056286199</v>
      </c>
    </row>
    <row r="73" spans="1:6" ht="15.75" customHeight="1" x14ac:dyDescent="0.2">
      <c r="A73" s="8" t="s">
        <v>91</v>
      </c>
      <c r="B73" s="8">
        <v>60</v>
      </c>
    </row>
    <row r="75" spans="1:6" ht="15.75" customHeight="1" x14ac:dyDescent="0.2">
      <c r="A75" t="s">
        <v>92</v>
      </c>
    </row>
    <row r="76" spans="1:6" x14ac:dyDescent="0.2">
      <c r="A76" s="1"/>
      <c r="B76" s="1" t="s">
        <v>93</v>
      </c>
      <c r="C76" s="1" t="s">
        <v>94</v>
      </c>
      <c r="D76" s="1" t="s">
        <v>95</v>
      </c>
      <c r="E76" s="1" t="s">
        <v>96</v>
      </c>
      <c r="F76" s="1" t="s">
        <v>97</v>
      </c>
    </row>
    <row r="77" spans="1:6" x14ac:dyDescent="0.2">
      <c r="A77" t="s">
        <v>98</v>
      </c>
      <c r="B77">
        <v>1</v>
      </c>
      <c r="C77">
        <v>0.53234476037811995</v>
      </c>
      <c r="D77">
        <v>0.53234476037811995</v>
      </c>
      <c r="E77">
        <v>11.0118848376594</v>
      </c>
      <c r="F77">
        <v>1.5677924181825701E-3</v>
      </c>
    </row>
    <row r="78" spans="1:6" x14ac:dyDescent="0.2">
      <c r="A78" t="s">
        <v>99</v>
      </c>
      <c r="B78">
        <v>58</v>
      </c>
      <c r="C78">
        <v>2.8038793137700302</v>
      </c>
      <c r="D78">
        <v>4.8342746789138497E-2</v>
      </c>
    </row>
    <row r="79" spans="1:6" ht="15.75" customHeight="1" x14ac:dyDescent="0.2">
      <c r="A79" s="8" t="s">
        <v>100</v>
      </c>
      <c r="B79" s="8">
        <v>59</v>
      </c>
      <c r="C79" s="8">
        <v>3.3362240741481499</v>
      </c>
      <c r="D79" s="8"/>
      <c r="E79" s="8"/>
      <c r="F79" s="8"/>
    </row>
    <row r="80" spans="1:6" ht="15.75" customHeight="1" x14ac:dyDescent="0.2"/>
    <row r="81" spans="1:9" x14ac:dyDescent="0.2">
      <c r="A81" s="1"/>
      <c r="B81" s="1" t="s">
        <v>101</v>
      </c>
      <c r="C81" s="1" t="s">
        <v>90</v>
      </c>
      <c r="D81" s="1" t="s">
        <v>102</v>
      </c>
      <c r="E81" s="1" t="s">
        <v>103</v>
      </c>
      <c r="F81" s="1" t="s">
        <v>104</v>
      </c>
      <c r="G81" s="1" t="s">
        <v>105</v>
      </c>
      <c r="H81" s="1" t="s">
        <v>106</v>
      </c>
      <c r="I81" s="1" t="s">
        <v>107</v>
      </c>
    </row>
    <row r="82" spans="1:9" x14ac:dyDescent="0.2">
      <c r="A82" t="s">
        <v>108</v>
      </c>
      <c r="B82">
        <v>5.3164691399839703E-2</v>
      </c>
      <c r="C82">
        <v>2.88198547830073E-2</v>
      </c>
      <c r="D82">
        <v>1.8447244720742499</v>
      </c>
      <c r="E82">
        <v>7.0185827609901802E-2</v>
      </c>
      <c r="F82">
        <v>-4.5245158098327701E-3</v>
      </c>
      <c r="G82">
        <v>0.110853898609512</v>
      </c>
      <c r="H82">
        <v>-4.5245158098327701E-3</v>
      </c>
      <c r="I82">
        <v>0.110853898609512</v>
      </c>
    </row>
    <row r="83" spans="1:9" ht="15.75" customHeight="1" x14ac:dyDescent="0.2">
      <c r="A83" s="8" t="s">
        <v>25</v>
      </c>
      <c r="B83" s="8">
        <v>1.80785647862782</v>
      </c>
      <c r="C83" s="8">
        <v>0.54479500802631897</v>
      </c>
      <c r="D83" s="8">
        <v>3.3184160133502498</v>
      </c>
      <c r="E83" s="8">
        <v>1.5677924181825701E-3</v>
      </c>
      <c r="F83" s="8">
        <v>0.71733078578648901</v>
      </c>
      <c r="G83" s="8">
        <v>2.89838217146914</v>
      </c>
      <c r="H83" s="8">
        <v>0.71733078578648901</v>
      </c>
      <c r="I83" s="8">
        <v>2.89838217146914</v>
      </c>
    </row>
    <row r="87" spans="1:9" x14ac:dyDescent="0.2">
      <c r="D87" s="4"/>
    </row>
    <row r="88" spans="1:9" x14ac:dyDescent="0.2">
      <c r="D88" s="4"/>
    </row>
    <row r="89" spans="1:9" x14ac:dyDescent="0.2">
      <c r="D89" s="4"/>
    </row>
    <row r="90" spans="1:9" x14ac:dyDescent="0.2">
      <c r="D90" s="4"/>
    </row>
    <row r="91" spans="1:9" x14ac:dyDescent="0.2">
      <c r="D91" s="4"/>
    </row>
    <row r="92" spans="1:9" x14ac:dyDescent="0.2">
      <c r="D92" s="4"/>
    </row>
    <row r="93" spans="1:9" x14ac:dyDescent="0.2">
      <c r="D93" s="4"/>
    </row>
    <row r="94" spans="1:9" x14ac:dyDescent="0.2">
      <c r="D94" s="4"/>
    </row>
    <row r="95" spans="1:9" x14ac:dyDescent="0.2">
      <c r="D95" s="4"/>
    </row>
    <row r="96" spans="1:9" x14ac:dyDescent="0.2">
      <c r="D96" s="4"/>
    </row>
    <row r="97" spans="4:4" x14ac:dyDescent="0.2">
      <c r="D97" s="4"/>
    </row>
  </sheetData>
  <mergeCells count="1">
    <mergeCell ref="A68:B6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WACC Summary</vt:lpstr>
      <vt:lpstr>Payout Summary</vt:lpstr>
      <vt:lpstr>KO WACC</vt:lpstr>
      <vt:lpstr>PEP WACC</vt:lpstr>
      <vt:lpstr>MNST WACC</vt:lpstr>
      <vt:lpstr>KDP WACC</vt:lpstr>
      <vt:lpstr>CELH WACC</vt:lpstr>
      <vt:lpstr>hdwppxojiay22red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dc:description/>
  <cp:lastModifiedBy>Safna Sahibo</cp:lastModifiedBy>
  <cp:revision>1</cp:revision>
  <dcterms:created xsi:type="dcterms:W3CDTF">2026-04-18T03:51:43Z</dcterms:created>
  <dcterms:modified xsi:type="dcterms:W3CDTF">2026-04-24T21:59:15Z</dcterms:modified>
  <dc:language>en-US</dc:language>
</cp:coreProperties>
</file>