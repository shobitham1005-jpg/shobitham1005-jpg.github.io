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shobithakiran/Downloads/"/>
    </mc:Choice>
  </mc:AlternateContent>
  <xr:revisionPtr revIDLastSave="0" documentId="8_{A498565B-2012-9746-BE8A-6EC9C4363D78}" xr6:coauthVersionLast="47" xr6:coauthVersionMax="47" xr10:uidLastSave="{00000000-0000-0000-0000-000000000000}"/>
  <bookViews>
    <workbookView xWindow="4420" yWindow="660" windowWidth="25820" windowHeight="18980" activeTab="10" xr2:uid="{157A143F-5C90-42E8-BF54-BAF16E834076}"/>
  </bookViews>
  <sheets>
    <sheet name="MONSTER (MNST)" sheetId="11" r:id="rId1"/>
    <sheet name="Monster data sheet" sheetId="8" state="hidden" r:id="rId2"/>
    <sheet name="PepsiCo (PEP)" sheetId="2" r:id="rId3"/>
    <sheet name="Pepsi data sheet" sheetId="9" state="hidden" r:id="rId4"/>
    <sheet name="Coca Cola (KO)" sheetId="3" r:id="rId5"/>
    <sheet name="CELSIUS (CELH)" sheetId="13" r:id="rId6"/>
    <sheet name="K.Dr Paper (KDP)" sheetId="14" r:id="rId7"/>
    <sheet name="KDP" sheetId="4" state="hidden" r:id="rId8"/>
    <sheet name="Celsius Holdings, Inc." sheetId="10" state="hidden" r:id="rId9"/>
    <sheet name="Company 5" sheetId="5" state="hidden" r:id="rId10"/>
    <sheet name="FINANCIAL RATIOS" sheetId="6" r:id="rId11"/>
    <sheet name="GRAPHS" sheetId="7" r:id="rId12"/>
    <sheet name="Monster" sheetId="1" state="hidden" r:id="rId13"/>
  </sheets>
  <definedNames>
    <definedName name="_xlnm.Print_Area" localSheetId="12">Monster!$A$1:$U$142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6" l="1"/>
  <c r="N14" i="6"/>
  <c r="M14" i="6"/>
  <c r="L14" i="6"/>
  <c r="K14" i="6"/>
  <c r="O6" i="6"/>
  <c r="N6" i="6"/>
  <c r="M6" i="6"/>
  <c r="L6" i="6"/>
  <c r="K6" i="6"/>
  <c r="G204" i="6"/>
  <c r="F204" i="6"/>
  <c r="E204" i="6"/>
  <c r="D204" i="6"/>
  <c r="C204" i="6"/>
  <c r="G179" i="6"/>
  <c r="F179" i="6"/>
  <c r="E179" i="6"/>
  <c r="D179" i="6"/>
  <c r="C179" i="6"/>
  <c r="G207" i="6"/>
  <c r="F207" i="6"/>
  <c r="E207" i="6"/>
  <c r="D207" i="6"/>
  <c r="C207" i="6"/>
  <c r="G182" i="6"/>
  <c r="F182" i="6"/>
  <c r="E182" i="6"/>
  <c r="D182" i="6"/>
  <c r="C182" i="6"/>
  <c r="G6" i="6"/>
  <c r="F6" i="6"/>
  <c r="E6" i="6"/>
  <c r="D6" i="6"/>
  <c r="C6" i="6"/>
  <c r="O17" i="6"/>
  <c r="N17" i="6"/>
  <c r="M17" i="6"/>
  <c r="L17" i="6"/>
  <c r="K17" i="6"/>
  <c r="O9" i="6"/>
  <c r="N9" i="6"/>
  <c r="M9" i="6"/>
  <c r="L9" i="6"/>
  <c r="K9" i="6"/>
  <c r="G9" i="6"/>
  <c r="F9" i="6"/>
  <c r="E9" i="6"/>
  <c r="D9" i="6"/>
  <c r="C9" i="6"/>
  <c r="G35" i="13"/>
  <c r="F35" i="13"/>
  <c r="E35" i="13"/>
  <c r="D35" i="13"/>
  <c r="C35" i="13"/>
  <c r="G35" i="14"/>
  <c r="F35" i="14"/>
  <c r="E35" i="14"/>
  <c r="D35" i="14"/>
  <c r="C35" i="14"/>
  <c r="G31" i="14"/>
  <c r="F31" i="14"/>
  <c r="E31" i="14"/>
  <c r="D31" i="14"/>
  <c r="C31" i="14"/>
  <c r="G30" i="14"/>
  <c r="F30" i="14"/>
  <c r="E30" i="14"/>
  <c r="D30" i="14"/>
  <c r="C30" i="14"/>
  <c r="F201" i="6"/>
  <c r="F123" i="14" s="1"/>
  <c r="E201" i="6"/>
  <c r="E123" i="14" s="1"/>
  <c r="C201" i="6"/>
  <c r="G194" i="6"/>
  <c r="G201" i="6" s="1"/>
  <c r="G123" i="14" s="1"/>
  <c r="F194" i="6"/>
  <c r="E194" i="6"/>
  <c r="D194" i="6"/>
  <c r="D122" i="14" s="1"/>
  <c r="C194" i="6"/>
  <c r="G175" i="6"/>
  <c r="G168" i="6"/>
  <c r="G160" i="6"/>
  <c r="G152" i="6"/>
  <c r="G144" i="6"/>
  <c r="G133" i="6"/>
  <c r="G126" i="6"/>
  <c r="G119" i="6"/>
  <c r="G112" i="6"/>
  <c r="G105" i="6"/>
  <c r="G98" i="6"/>
  <c r="G87" i="6"/>
  <c r="G103" i="14" s="1"/>
  <c r="G79" i="6"/>
  <c r="G71" i="6"/>
  <c r="G63" i="6"/>
  <c r="G52" i="6"/>
  <c r="G44" i="6"/>
  <c r="G36" i="6"/>
  <c r="G28" i="6"/>
  <c r="G20" i="6"/>
  <c r="O18" i="6"/>
  <c r="O10" i="6"/>
  <c r="G10" i="6"/>
  <c r="G208" i="6" s="1"/>
  <c r="F175" i="6"/>
  <c r="F168" i="6"/>
  <c r="F160" i="6"/>
  <c r="F152" i="6"/>
  <c r="F144" i="6"/>
  <c r="F133" i="6"/>
  <c r="F126" i="6"/>
  <c r="F119" i="6"/>
  <c r="F112" i="6"/>
  <c r="F105" i="6"/>
  <c r="F98" i="6"/>
  <c r="F87" i="6"/>
  <c r="F103" i="14" s="1"/>
  <c r="F79" i="6"/>
  <c r="F71" i="6"/>
  <c r="F63" i="6"/>
  <c r="F52" i="6"/>
  <c r="F44" i="6"/>
  <c r="F36" i="6"/>
  <c r="F28" i="6"/>
  <c r="F20" i="6"/>
  <c r="N18" i="6"/>
  <c r="N10" i="6"/>
  <c r="F10" i="6"/>
  <c r="F183" i="6" s="1"/>
  <c r="E175" i="6"/>
  <c r="E168" i="6"/>
  <c r="E160" i="6"/>
  <c r="E152" i="6"/>
  <c r="E144" i="6"/>
  <c r="E133" i="6"/>
  <c r="E126" i="6"/>
  <c r="E119" i="6"/>
  <c r="E112" i="6"/>
  <c r="E105" i="6"/>
  <c r="E98" i="6"/>
  <c r="E87" i="6"/>
  <c r="E79" i="6"/>
  <c r="E71" i="6"/>
  <c r="E63" i="6"/>
  <c r="E52" i="6"/>
  <c r="E44" i="6"/>
  <c r="E36" i="6"/>
  <c r="E28" i="6"/>
  <c r="E20" i="6"/>
  <c r="M18" i="6"/>
  <c r="M10" i="6"/>
  <c r="E10" i="6"/>
  <c r="E208" i="6" s="1"/>
  <c r="D175" i="6"/>
  <c r="D168" i="6"/>
  <c r="D160" i="6"/>
  <c r="D152" i="6"/>
  <c r="D144" i="6"/>
  <c r="D133" i="6"/>
  <c r="D126" i="6"/>
  <c r="D119" i="6"/>
  <c r="D112" i="6"/>
  <c r="D105" i="6"/>
  <c r="D98" i="6"/>
  <c r="D87" i="6"/>
  <c r="D79" i="6"/>
  <c r="D71" i="6"/>
  <c r="D63" i="6"/>
  <c r="D52" i="6"/>
  <c r="D44" i="6"/>
  <c r="D36" i="6"/>
  <c r="D28" i="6"/>
  <c r="D20" i="6"/>
  <c r="L18" i="6"/>
  <c r="L10" i="6"/>
  <c r="D10" i="6"/>
  <c r="D183" i="6" s="1"/>
  <c r="C175" i="6"/>
  <c r="C168" i="6"/>
  <c r="C160" i="6"/>
  <c r="C152" i="6"/>
  <c r="C144" i="6"/>
  <c r="C133" i="6"/>
  <c r="C126" i="6"/>
  <c r="C119" i="6"/>
  <c r="C112" i="6"/>
  <c r="C105" i="6"/>
  <c r="C98" i="6"/>
  <c r="C87" i="6"/>
  <c r="C79" i="6"/>
  <c r="C71" i="6"/>
  <c r="C63" i="6"/>
  <c r="C52" i="6"/>
  <c r="C44" i="6"/>
  <c r="C36" i="6"/>
  <c r="C28" i="6"/>
  <c r="C20" i="6"/>
  <c r="K18" i="6"/>
  <c r="K10" i="6"/>
  <c r="C10" i="6"/>
  <c r="C208" i="6" s="1"/>
  <c r="G200" i="6"/>
  <c r="G193" i="6"/>
  <c r="G174" i="6"/>
  <c r="G167" i="6"/>
  <c r="G159" i="6"/>
  <c r="G151" i="6"/>
  <c r="G143" i="6"/>
  <c r="G132" i="6"/>
  <c r="G125" i="6"/>
  <c r="G118" i="6"/>
  <c r="G111" i="6"/>
  <c r="G104" i="6"/>
  <c r="G97" i="6"/>
  <c r="G86" i="6"/>
  <c r="G104" i="13" s="1"/>
  <c r="G78" i="6"/>
  <c r="G70" i="6"/>
  <c r="G62" i="6"/>
  <c r="G51" i="6"/>
  <c r="G43" i="6"/>
  <c r="G35" i="6"/>
  <c r="G27" i="6"/>
  <c r="G19" i="6"/>
  <c r="F200" i="6"/>
  <c r="F193" i="6"/>
  <c r="F174" i="6"/>
  <c r="F167" i="6"/>
  <c r="F159" i="6"/>
  <c r="F151" i="6"/>
  <c r="F143" i="6"/>
  <c r="F132" i="6"/>
  <c r="F125" i="6"/>
  <c r="F118" i="6"/>
  <c r="F111" i="6"/>
  <c r="F104" i="6"/>
  <c r="F97" i="6"/>
  <c r="F86" i="6"/>
  <c r="F104" i="13" s="1"/>
  <c r="F78" i="6"/>
  <c r="F70" i="6"/>
  <c r="F62" i="6"/>
  <c r="F51" i="6"/>
  <c r="F43" i="6"/>
  <c r="F35" i="6"/>
  <c r="F27" i="6"/>
  <c r="F19" i="6"/>
  <c r="E200" i="6"/>
  <c r="E193" i="6"/>
  <c r="E174" i="6"/>
  <c r="E167" i="6"/>
  <c r="E159" i="6"/>
  <c r="E151" i="6"/>
  <c r="E143" i="6"/>
  <c r="E132" i="6"/>
  <c r="E125" i="6"/>
  <c r="E118" i="6"/>
  <c r="E111" i="6"/>
  <c r="E104" i="6"/>
  <c r="E97" i="6"/>
  <c r="E86" i="6"/>
  <c r="E78" i="6"/>
  <c r="E103" i="13" s="1"/>
  <c r="E70" i="6"/>
  <c r="E62" i="6"/>
  <c r="E51" i="6"/>
  <c r="E43" i="6"/>
  <c r="E35" i="6"/>
  <c r="E27" i="6"/>
  <c r="E19" i="6"/>
  <c r="D200" i="6"/>
  <c r="D193" i="6"/>
  <c r="D174" i="6"/>
  <c r="D167" i="6"/>
  <c r="D159" i="6"/>
  <c r="D151" i="6"/>
  <c r="D143" i="6"/>
  <c r="D132" i="6"/>
  <c r="D125" i="6"/>
  <c r="D118" i="6"/>
  <c r="D111" i="6"/>
  <c r="D104" i="6"/>
  <c r="D97" i="6"/>
  <c r="D86" i="6"/>
  <c r="D104" i="13" s="1"/>
  <c r="D78" i="6"/>
  <c r="D70" i="6"/>
  <c r="D62" i="6"/>
  <c r="D51" i="6"/>
  <c r="D43" i="6"/>
  <c r="D35" i="6"/>
  <c r="D27" i="6"/>
  <c r="D19" i="6"/>
  <c r="C200" i="6"/>
  <c r="C193" i="6"/>
  <c r="C174" i="6"/>
  <c r="C167" i="6"/>
  <c r="C159" i="6"/>
  <c r="C151" i="6"/>
  <c r="C143" i="6"/>
  <c r="C132" i="6"/>
  <c r="C125" i="6"/>
  <c r="C118" i="6"/>
  <c r="C111" i="6"/>
  <c r="C104" i="6"/>
  <c r="C97" i="6"/>
  <c r="C86" i="6"/>
  <c r="C78" i="6"/>
  <c r="C70" i="6"/>
  <c r="C62" i="6"/>
  <c r="C51" i="6"/>
  <c r="C43" i="6"/>
  <c r="C35" i="6"/>
  <c r="C27" i="6"/>
  <c r="C19" i="6"/>
  <c r="G206" i="6"/>
  <c r="G199" i="6"/>
  <c r="G192" i="6"/>
  <c r="G181" i="6"/>
  <c r="G173" i="6"/>
  <c r="G166" i="6"/>
  <c r="G158" i="6"/>
  <c r="G150" i="6"/>
  <c r="G142" i="6"/>
  <c r="G131" i="6"/>
  <c r="G124" i="6"/>
  <c r="G117" i="6"/>
  <c r="G110" i="6"/>
  <c r="G103" i="6"/>
  <c r="G96" i="6"/>
  <c r="G85" i="6"/>
  <c r="G77" i="6"/>
  <c r="G69" i="6"/>
  <c r="G61" i="6"/>
  <c r="G50" i="6"/>
  <c r="G42" i="6"/>
  <c r="G34" i="6"/>
  <c r="G26" i="6"/>
  <c r="G18" i="6"/>
  <c r="O25" i="6"/>
  <c r="O16" i="6"/>
  <c r="O8" i="6"/>
  <c r="G8" i="6"/>
  <c r="F206" i="6"/>
  <c r="F199" i="6"/>
  <c r="F192" i="6"/>
  <c r="F181" i="6"/>
  <c r="F173" i="6"/>
  <c r="F166" i="6"/>
  <c r="F158" i="6"/>
  <c r="F150" i="6"/>
  <c r="F142" i="6"/>
  <c r="F131" i="6"/>
  <c r="F124" i="6"/>
  <c r="F117" i="6"/>
  <c r="F110" i="6"/>
  <c r="F103" i="6"/>
  <c r="F96" i="6"/>
  <c r="F85" i="6"/>
  <c r="F77" i="6"/>
  <c r="F69" i="6"/>
  <c r="F61" i="6"/>
  <c r="F50" i="6"/>
  <c r="F42" i="6"/>
  <c r="F34" i="6"/>
  <c r="F26" i="6"/>
  <c r="F18" i="6"/>
  <c r="N25" i="6"/>
  <c r="N16" i="6"/>
  <c r="N8" i="6"/>
  <c r="F8" i="6"/>
  <c r="E206" i="6"/>
  <c r="E199" i="6"/>
  <c r="E192" i="6"/>
  <c r="E181" i="6"/>
  <c r="E173" i="6"/>
  <c r="E166" i="6"/>
  <c r="E158" i="6"/>
  <c r="E150" i="6"/>
  <c r="E142" i="6"/>
  <c r="E131" i="6"/>
  <c r="E124" i="6"/>
  <c r="E117" i="6"/>
  <c r="E110" i="6"/>
  <c r="E103" i="6"/>
  <c r="E96" i="6"/>
  <c r="E85" i="6"/>
  <c r="E77" i="6"/>
  <c r="E69" i="6"/>
  <c r="E61" i="6"/>
  <c r="E50" i="6"/>
  <c r="E42" i="6"/>
  <c r="E34" i="6"/>
  <c r="E26" i="6"/>
  <c r="E18" i="6"/>
  <c r="M25" i="6"/>
  <c r="M16" i="6"/>
  <c r="M8" i="6"/>
  <c r="E8" i="6"/>
  <c r="D206" i="6"/>
  <c r="D199" i="6"/>
  <c r="D192" i="6"/>
  <c r="D181" i="6"/>
  <c r="D173" i="6"/>
  <c r="D166" i="6"/>
  <c r="D158" i="6"/>
  <c r="D150" i="6"/>
  <c r="D142" i="6"/>
  <c r="D131" i="6"/>
  <c r="D124" i="6"/>
  <c r="D117" i="6"/>
  <c r="D110" i="6"/>
  <c r="D103" i="6"/>
  <c r="D96" i="6"/>
  <c r="D85" i="6"/>
  <c r="D77" i="6"/>
  <c r="D69" i="6"/>
  <c r="D61" i="6"/>
  <c r="D50" i="6"/>
  <c r="D42" i="6"/>
  <c r="D34" i="6"/>
  <c r="D26" i="6"/>
  <c r="D18" i="6"/>
  <c r="L25" i="6"/>
  <c r="L16" i="6"/>
  <c r="L8" i="6"/>
  <c r="D8" i="6"/>
  <c r="C206" i="6"/>
  <c r="C199" i="6"/>
  <c r="C192" i="6"/>
  <c r="C181" i="6"/>
  <c r="C173" i="6"/>
  <c r="C166" i="6"/>
  <c r="C158" i="6"/>
  <c r="C150" i="6"/>
  <c r="C142" i="6"/>
  <c r="C131" i="6"/>
  <c r="C124" i="6"/>
  <c r="C117" i="6"/>
  <c r="C110" i="6"/>
  <c r="C103" i="6"/>
  <c r="C96" i="6"/>
  <c r="C85" i="6"/>
  <c r="C77" i="6"/>
  <c r="C69" i="6"/>
  <c r="C61" i="6"/>
  <c r="C50" i="6"/>
  <c r="C42" i="6"/>
  <c r="C34" i="6"/>
  <c r="C26" i="6"/>
  <c r="C18" i="6"/>
  <c r="K25" i="6"/>
  <c r="K16" i="6"/>
  <c r="K8" i="6"/>
  <c r="C8" i="6"/>
  <c r="G198" i="6"/>
  <c r="G191" i="6"/>
  <c r="G172" i="6"/>
  <c r="G165" i="6"/>
  <c r="G157" i="6"/>
  <c r="G149" i="6"/>
  <c r="G141" i="6"/>
  <c r="G130" i="6"/>
  <c r="G123" i="6"/>
  <c r="G116" i="6"/>
  <c r="G109" i="6"/>
  <c r="G102" i="6"/>
  <c r="G95" i="6"/>
  <c r="G84" i="6"/>
  <c r="G76" i="6"/>
  <c r="G68" i="6"/>
  <c r="G60" i="6"/>
  <c r="G49" i="6"/>
  <c r="G41" i="6"/>
  <c r="G33" i="6"/>
  <c r="G25" i="6"/>
  <c r="G17" i="6"/>
  <c r="O24" i="6"/>
  <c r="O15" i="6"/>
  <c r="O7" i="6"/>
  <c r="G7" i="6"/>
  <c r="G180" i="6" s="1"/>
  <c r="F130" i="2" s="1"/>
  <c r="F205" i="6"/>
  <c r="F198" i="6"/>
  <c r="F191" i="6"/>
  <c r="F180" i="6"/>
  <c r="F172" i="6"/>
  <c r="F165" i="6"/>
  <c r="F157" i="6"/>
  <c r="F149" i="6"/>
  <c r="F141" i="6"/>
  <c r="F130" i="6"/>
  <c r="F123" i="6"/>
  <c r="F116" i="6"/>
  <c r="F109" i="6"/>
  <c r="F102" i="6"/>
  <c r="F95" i="6"/>
  <c r="F84" i="6"/>
  <c r="F76" i="6"/>
  <c r="F68" i="6"/>
  <c r="F60" i="6"/>
  <c r="F49" i="6"/>
  <c r="F41" i="6"/>
  <c r="F33" i="6"/>
  <c r="F25" i="6"/>
  <c r="F17" i="6"/>
  <c r="N24" i="6"/>
  <c r="N15" i="6"/>
  <c r="N7" i="6"/>
  <c r="F7" i="6"/>
  <c r="E198" i="6"/>
  <c r="E191" i="6"/>
  <c r="E180" i="6"/>
  <c r="E172" i="6"/>
  <c r="E165" i="6"/>
  <c r="E157" i="6"/>
  <c r="E149" i="6"/>
  <c r="E141" i="6"/>
  <c r="E130" i="6"/>
  <c r="E123" i="6"/>
  <c r="E116" i="6"/>
  <c r="E109" i="6"/>
  <c r="E102" i="6"/>
  <c r="E95" i="6"/>
  <c r="E84" i="6"/>
  <c r="E76" i="6"/>
  <c r="E68" i="6"/>
  <c r="E60" i="6"/>
  <c r="E49" i="6"/>
  <c r="E41" i="6"/>
  <c r="E33" i="6"/>
  <c r="E25" i="6"/>
  <c r="E17" i="6"/>
  <c r="M24" i="6"/>
  <c r="M15" i="6"/>
  <c r="M7" i="6"/>
  <c r="E7" i="6"/>
  <c r="E205" i="6" s="1"/>
  <c r="D198" i="6"/>
  <c r="D191" i="6"/>
  <c r="D172" i="6"/>
  <c r="D165" i="6"/>
  <c r="D157" i="6"/>
  <c r="D149" i="6"/>
  <c r="D141" i="6"/>
  <c r="D130" i="6"/>
  <c r="D123" i="6"/>
  <c r="D116" i="6"/>
  <c r="D109" i="6"/>
  <c r="D102" i="6"/>
  <c r="D95" i="6"/>
  <c r="D84" i="6"/>
  <c r="D76" i="6"/>
  <c r="D68" i="6"/>
  <c r="D60" i="6"/>
  <c r="D49" i="6"/>
  <c r="D41" i="6"/>
  <c r="D33" i="6"/>
  <c r="D25" i="6"/>
  <c r="D17" i="6"/>
  <c r="L24" i="6"/>
  <c r="L15" i="6"/>
  <c r="L7" i="6"/>
  <c r="D7" i="6"/>
  <c r="D205" i="6" s="1"/>
  <c r="C198" i="6"/>
  <c r="C191" i="6"/>
  <c r="C172" i="6"/>
  <c r="C165" i="6"/>
  <c r="C157" i="6"/>
  <c r="C149" i="6"/>
  <c r="C141" i="6"/>
  <c r="C130" i="6"/>
  <c r="C123" i="6"/>
  <c r="C116" i="6"/>
  <c r="C109" i="6"/>
  <c r="C102" i="6"/>
  <c r="C95" i="6"/>
  <c r="C84" i="6"/>
  <c r="C76" i="6"/>
  <c r="C68" i="6"/>
  <c r="C60" i="6"/>
  <c r="C49" i="6"/>
  <c r="C41" i="6"/>
  <c r="C33" i="6"/>
  <c r="C25" i="6"/>
  <c r="C17" i="6"/>
  <c r="K24" i="6"/>
  <c r="K15" i="6"/>
  <c r="K7" i="6"/>
  <c r="C7" i="6"/>
  <c r="C205" i="6" s="1"/>
  <c r="G197" i="6"/>
  <c r="G190" i="6"/>
  <c r="G171" i="6"/>
  <c r="G164" i="6"/>
  <c r="G156" i="6"/>
  <c r="G148" i="6"/>
  <c r="G140" i="6"/>
  <c r="G129" i="6"/>
  <c r="G122" i="6"/>
  <c r="G115" i="6"/>
  <c r="G108" i="6"/>
  <c r="G101" i="6"/>
  <c r="G94" i="6"/>
  <c r="G83" i="6"/>
  <c r="G75" i="6"/>
  <c r="G67" i="6"/>
  <c r="G59" i="6"/>
  <c r="G48" i="6"/>
  <c r="G40" i="6"/>
  <c r="G32" i="6"/>
  <c r="G24" i="6"/>
  <c r="G16" i="6"/>
  <c r="F197" i="6"/>
  <c r="F190" i="6"/>
  <c r="F171" i="6"/>
  <c r="F164" i="6"/>
  <c r="F156" i="6"/>
  <c r="F148" i="6"/>
  <c r="F140" i="6"/>
  <c r="F129" i="6"/>
  <c r="F122" i="6"/>
  <c r="F115" i="6"/>
  <c r="F108" i="6"/>
  <c r="F101" i="6"/>
  <c r="F94" i="6"/>
  <c r="F83" i="6"/>
  <c r="F75" i="6"/>
  <c r="F67" i="6"/>
  <c r="F59" i="6"/>
  <c r="F48" i="6"/>
  <c r="F40" i="6"/>
  <c r="F32" i="6"/>
  <c r="F24" i="6"/>
  <c r="F16" i="6"/>
  <c r="E197" i="6"/>
  <c r="E190" i="6"/>
  <c r="E171" i="6"/>
  <c r="E164" i="6"/>
  <c r="E156" i="6"/>
  <c r="E148" i="6"/>
  <c r="E140" i="6"/>
  <c r="E129" i="6"/>
  <c r="E122" i="6"/>
  <c r="E115" i="6"/>
  <c r="E108" i="6"/>
  <c r="E101" i="6"/>
  <c r="E94" i="6"/>
  <c r="E83" i="6"/>
  <c r="E75" i="6"/>
  <c r="E67" i="6"/>
  <c r="E59" i="6"/>
  <c r="E48" i="6"/>
  <c r="E40" i="6"/>
  <c r="E32" i="6"/>
  <c r="E24" i="6"/>
  <c r="E16" i="6"/>
  <c r="D197" i="6"/>
  <c r="D190" i="6"/>
  <c r="D171" i="6"/>
  <c r="D164" i="6"/>
  <c r="D156" i="6"/>
  <c r="D148" i="6"/>
  <c r="D140" i="6"/>
  <c r="D129" i="6"/>
  <c r="D122" i="6"/>
  <c r="D115" i="6"/>
  <c r="D108" i="6"/>
  <c r="D101" i="6"/>
  <c r="D94" i="6"/>
  <c r="D83" i="6"/>
  <c r="D75" i="6"/>
  <c r="D67" i="6"/>
  <c r="D59" i="6"/>
  <c r="D48" i="6"/>
  <c r="D40" i="6"/>
  <c r="D32" i="6"/>
  <c r="D24" i="6"/>
  <c r="D16" i="6"/>
  <c r="C197" i="6"/>
  <c r="C190" i="6"/>
  <c r="C171" i="6"/>
  <c r="C164" i="6"/>
  <c r="C156" i="6"/>
  <c r="C148" i="6"/>
  <c r="C140" i="6"/>
  <c r="C129" i="6"/>
  <c r="C122" i="6"/>
  <c r="C115" i="6"/>
  <c r="C108" i="6"/>
  <c r="C101" i="6"/>
  <c r="C94" i="6"/>
  <c r="C83" i="6"/>
  <c r="C75" i="6"/>
  <c r="C67" i="6"/>
  <c r="C59" i="6"/>
  <c r="C48" i="6"/>
  <c r="C40" i="6"/>
  <c r="C32" i="6"/>
  <c r="C24" i="6"/>
  <c r="C16" i="6"/>
  <c r="G125" i="14"/>
  <c r="F125" i="14"/>
  <c r="E125" i="14"/>
  <c r="D125" i="14"/>
  <c r="C125" i="14"/>
  <c r="B125" i="14"/>
  <c r="B124" i="14"/>
  <c r="B123" i="14"/>
  <c r="G122" i="14"/>
  <c r="B122" i="14"/>
  <c r="B119" i="14"/>
  <c r="B118" i="14"/>
  <c r="B117" i="14"/>
  <c r="B116" i="14"/>
  <c r="B115" i="14"/>
  <c r="B114" i="14"/>
  <c r="B111" i="14"/>
  <c r="B110" i="14"/>
  <c r="B109" i="14"/>
  <c r="B108" i="14"/>
  <c r="B107" i="14"/>
  <c r="B106" i="14"/>
  <c r="B103" i="14"/>
  <c r="B102" i="14"/>
  <c r="B101" i="14"/>
  <c r="B100" i="14"/>
  <c r="B97" i="14"/>
  <c r="B96" i="14"/>
  <c r="B95" i="14"/>
  <c r="B94" i="14"/>
  <c r="B93" i="14"/>
  <c r="U22" i="14"/>
  <c r="J22" i="14"/>
  <c r="G63" i="13"/>
  <c r="U63" i="13" s="1"/>
  <c r="G126" i="13"/>
  <c r="F126" i="13"/>
  <c r="E126" i="13"/>
  <c r="D126" i="13"/>
  <c r="C126" i="13"/>
  <c r="B126" i="13"/>
  <c r="B125" i="13"/>
  <c r="B124" i="13"/>
  <c r="B123" i="13"/>
  <c r="B120" i="13"/>
  <c r="B119" i="13"/>
  <c r="B118" i="13"/>
  <c r="B117" i="13"/>
  <c r="B116" i="13"/>
  <c r="B115" i="13"/>
  <c r="B112" i="13"/>
  <c r="B111" i="13"/>
  <c r="B110" i="13"/>
  <c r="B109" i="13"/>
  <c r="B108" i="13"/>
  <c r="B107" i="13"/>
  <c r="B104" i="13"/>
  <c r="B103" i="13"/>
  <c r="B102" i="13"/>
  <c r="B101" i="13"/>
  <c r="B98" i="13"/>
  <c r="B97" i="13"/>
  <c r="B96" i="13"/>
  <c r="B95" i="13"/>
  <c r="B94" i="13"/>
  <c r="G30" i="13"/>
  <c r="F30" i="13"/>
  <c r="E30" i="13"/>
  <c r="D30" i="13"/>
  <c r="C30" i="13"/>
  <c r="G86" i="14"/>
  <c r="F86" i="14"/>
  <c r="E86" i="14"/>
  <c r="D86" i="14"/>
  <c r="C86" i="14"/>
  <c r="Q86" i="14" s="1"/>
  <c r="U84" i="14"/>
  <c r="T84" i="14"/>
  <c r="S84" i="14"/>
  <c r="R84" i="14"/>
  <c r="Q84" i="14"/>
  <c r="U83" i="14"/>
  <c r="T83" i="14"/>
  <c r="S83" i="14"/>
  <c r="R83" i="14"/>
  <c r="Q83" i="14"/>
  <c r="U82" i="14"/>
  <c r="T82" i="14"/>
  <c r="S82" i="14"/>
  <c r="R82" i="14"/>
  <c r="Q82" i="14"/>
  <c r="U81" i="14"/>
  <c r="T81" i="14"/>
  <c r="S81" i="14"/>
  <c r="R81" i="14"/>
  <c r="Q81" i="14"/>
  <c r="U77" i="14"/>
  <c r="T77" i="14"/>
  <c r="S77" i="14"/>
  <c r="R77" i="14"/>
  <c r="Q77" i="14"/>
  <c r="U76" i="14"/>
  <c r="T76" i="14"/>
  <c r="S76" i="14"/>
  <c r="R76" i="14"/>
  <c r="Q76" i="14"/>
  <c r="G75" i="14"/>
  <c r="G79" i="14" s="1"/>
  <c r="F75" i="14"/>
  <c r="F79" i="14" s="1"/>
  <c r="E75" i="14"/>
  <c r="E79" i="14" s="1"/>
  <c r="D75" i="14"/>
  <c r="C75" i="14"/>
  <c r="Q75" i="14" s="1"/>
  <c r="U74" i="14"/>
  <c r="T74" i="14"/>
  <c r="S74" i="14"/>
  <c r="R74" i="14"/>
  <c r="Q74" i="14"/>
  <c r="U73" i="14"/>
  <c r="T73" i="14"/>
  <c r="S73" i="14"/>
  <c r="R73" i="14"/>
  <c r="Q73" i="14"/>
  <c r="U72" i="14"/>
  <c r="T72" i="14"/>
  <c r="S72" i="14"/>
  <c r="R72" i="14"/>
  <c r="Q72" i="14"/>
  <c r="U71" i="14"/>
  <c r="T71" i="14"/>
  <c r="S71" i="14"/>
  <c r="R71" i="14"/>
  <c r="Q71" i="14"/>
  <c r="U65" i="14"/>
  <c r="T65" i="14"/>
  <c r="S65" i="14"/>
  <c r="R65" i="14"/>
  <c r="Q65" i="14"/>
  <c r="U64" i="14"/>
  <c r="T64" i="14"/>
  <c r="S64" i="14"/>
  <c r="R64" i="14"/>
  <c r="Q64" i="14"/>
  <c r="U63" i="14"/>
  <c r="T63" i="14"/>
  <c r="S63" i="14"/>
  <c r="R63" i="14"/>
  <c r="Q63" i="14"/>
  <c r="U62" i="14"/>
  <c r="T62" i="14"/>
  <c r="S62" i="14"/>
  <c r="R62" i="14"/>
  <c r="Q62" i="14"/>
  <c r="U61" i="14"/>
  <c r="T61" i="14"/>
  <c r="S61" i="14"/>
  <c r="R61" i="14"/>
  <c r="Q61" i="14"/>
  <c r="U60" i="14"/>
  <c r="T60" i="14"/>
  <c r="S60" i="14"/>
  <c r="R60" i="14"/>
  <c r="Q60" i="14"/>
  <c r="U58" i="14"/>
  <c r="T58" i="14"/>
  <c r="S58" i="14"/>
  <c r="R58" i="14"/>
  <c r="Q58" i="14"/>
  <c r="U57" i="14"/>
  <c r="T57" i="14"/>
  <c r="S57" i="14"/>
  <c r="R57" i="14"/>
  <c r="Q57" i="14"/>
  <c r="U56" i="14"/>
  <c r="T56" i="14"/>
  <c r="S56" i="14"/>
  <c r="R56" i="14"/>
  <c r="Q56" i="14"/>
  <c r="G54" i="14"/>
  <c r="G59" i="14" s="1"/>
  <c r="F54" i="14"/>
  <c r="F59" i="14" s="1"/>
  <c r="E54" i="14"/>
  <c r="E59" i="14" s="1"/>
  <c r="D54" i="14"/>
  <c r="D59" i="14" s="1"/>
  <c r="C54" i="14"/>
  <c r="Q54" i="14" s="1"/>
  <c r="U53" i="14"/>
  <c r="T53" i="14"/>
  <c r="S53" i="14"/>
  <c r="R53" i="14"/>
  <c r="Q53" i="14"/>
  <c r="U52" i="14"/>
  <c r="T52" i="14"/>
  <c r="S52" i="14"/>
  <c r="R52" i="14"/>
  <c r="Q52" i="14"/>
  <c r="B45" i="14"/>
  <c r="U25" i="14"/>
  <c r="T25" i="14"/>
  <c r="S25" i="14"/>
  <c r="R25" i="14"/>
  <c r="Q25" i="14"/>
  <c r="N25" i="14"/>
  <c r="M25" i="14"/>
  <c r="L25" i="14"/>
  <c r="K25" i="14"/>
  <c r="J25" i="14"/>
  <c r="T22" i="14"/>
  <c r="N22" i="14"/>
  <c r="M22" i="14"/>
  <c r="L22" i="14"/>
  <c r="U21" i="14"/>
  <c r="T21" i="14"/>
  <c r="S21" i="14"/>
  <c r="R21" i="14"/>
  <c r="Q21" i="14"/>
  <c r="N21" i="14"/>
  <c r="M21" i="14"/>
  <c r="L21" i="14"/>
  <c r="K21" i="14"/>
  <c r="J21" i="14"/>
  <c r="U20" i="14"/>
  <c r="T20" i="14"/>
  <c r="S20" i="14"/>
  <c r="R20" i="14"/>
  <c r="Q20" i="14"/>
  <c r="N20" i="14"/>
  <c r="M20" i="14"/>
  <c r="L20" i="14"/>
  <c r="K20" i="14"/>
  <c r="J20" i="14"/>
  <c r="N19" i="14"/>
  <c r="M19" i="14"/>
  <c r="L19" i="14"/>
  <c r="K19" i="14"/>
  <c r="J19" i="14"/>
  <c r="G16" i="14"/>
  <c r="U16" i="14" s="1"/>
  <c r="F16" i="14"/>
  <c r="M16" i="14" s="1"/>
  <c r="E16" i="14"/>
  <c r="L16" i="14" s="1"/>
  <c r="D16" i="14"/>
  <c r="C16" i="14"/>
  <c r="J16" i="14" s="1"/>
  <c r="U15" i="14"/>
  <c r="T15" i="14"/>
  <c r="S15" i="14"/>
  <c r="R15" i="14"/>
  <c r="Q15" i="14"/>
  <c r="N15" i="14"/>
  <c r="M15" i="14"/>
  <c r="L15" i="14"/>
  <c r="K15" i="14"/>
  <c r="J15" i="14"/>
  <c r="U14" i="14"/>
  <c r="T14" i="14"/>
  <c r="S14" i="14"/>
  <c r="R14" i="14"/>
  <c r="Q14" i="14"/>
  <c r="N14" i="14"/>
  <c r="M14" i="14"/>
  <c r="L14" i="14"/>
  <c r="K14" i="14"/>
  <c r="J14" i="14"/>
  <c r="J11" i="14"/>
  <c r="G11" i="14"/>
  <c r="N11" i="14" s="1"/>
  <c r="F11" i="14"/>
  <c r="M11" i="14" s="1"/>
  <c r="E11" i="14"/>
  <c r="L11" i="14" s="1"/>
  <c r="D11" i="14"/>
  <c r="C11" i="14"/>
  <c r="C18" i="14" s="1"/>
  <c r="U10" i="14"/>
  <c r="T10" i="14"/>
  <c r="S10" i="14"/>
  <c r="R10" i="14"/>
  <c r="Q10" i="14"/>
  <c r="N10" i="14"/>
  <c r="M10" i="14"/>
  <c r="L10" i="14"/>
  <c r="K10" i="14"/>
  <c r="J10" i="14"/>
  <c r="U9" i="14"/>
  <c r="T9" i="14"/>
  <c r="S9" i="14"/>
  <c r="R9" i="14"/>
  <c r="Q9" i="14"/>
  <c r="N9" i="14"/>
  <c r="M9" i="14"/>
  <c r="L9" i="14"/>
  <c r="K9" i="14"/>
  <c r="J9" i="14"/>
  <c r="U88" i="13"/>
  <c r="T88" i="13"/>
  <c r="S88" i="13"/>
  <c r="R88" i="13"/>
  <c r="Q88" i="13"/>
  <c r="G87" i="13"/>
  <c r="F87" i="13"/>
  <c r="E87" i="13"/>
  <c r="D87" i="13"/>
  <c r="C87" i="13"/>
  <c r="Q87" i="13" s="1"/>
  <c r="U84" i="13"/>
  <c r="T84" i="13"/>
  <c r="S84" i="13"/>
  <c r="R84" i="13"/>
  <c r="Q84" i="13"/>
  <c r="U83" i="13"/>
  <c r="T83" i="13"/>
  <c r="S83" i="13"/>
  <c r="R83" i="13"/>
  <c r="Q83" i="13"/>
  <c r="U82" i="13"/>
  <c r="T82" i="13"/>
  <c r="S82" i="13"/>
  <c r="R82" i="13"/>
  <c r="Q82" i="13"/>
  <c r="U81" i="13"/>
  <c r="T81" i="13"/>
  <c r="S81" i="13"/>
  <c r="R81" i="13"/>
  <c r="Q81" i="13"/>
  <c r="U77" i="13"/>
  <c r="T77" i="13"/>
  <c r="S77" i="13"/>
  <c r="R77" i="13"/>
  <c r="Q77" i="13"/>
  <c r="G75" i="13"/>
  <c r="G79" i="13" s="1"/>
  <c r="F75" i="13"/>
  <c r="E75" i="13"/>
  <c r="D75" i="13"/>
  <c r="C75" i="13"/>
  <c r="Q75" i="13" s="1"/>
  <c r="U74" i="13"/>
  <c r="T74" i="13"/>
  <c r="S74" i="13"/>
  <c r="R74" i="13"/>
  <c r="Q74" i="13"/>
  <c r="U71" i="13"/>
  <c r="T71" i="13"/>
  <c r="S71" i="13"/>
  <c r="R71" i="13"/>
  <c r="Q71" i="13"/>
  <c r="U65" i="13"/>
  <c r="T65" i="13"/>
  <c r="S65" i="13"/>
  <c r="R65" i="13"/>
  <c r="Q65" i="13"/>
  <c r="U64" i="13"/>
  <c r="T64" i="13"/>
  <c r="S64" i="13"/>
  <c r="R64" i="13"/>
  <c r="Q64" i="13"/>
  <c r="T63" i="13"/>
  <c r="S63" i="13"/>
  <c r="R63" i="13"/>
  <c r="Q63" i="13"/>
  <c r="U62" i="13"/>
  <c r="T62" i="13"/>
  <c r="S62" i="13"/>
  <c r="R62" i="13"/>
  <c r="Q62" i="13"/>
  <c r="U61" i="13"/>
  <c r="T61" i="13"/>
  <c r="S61" i="13"/>
  <c r="R61" i="13"/>
  <c r="Q61" i="13"/>
  <c r="U58" i="13"/>
  <c r="T58" i="13"/>
  <c r="S58" i="13"/>
  <c r="R58" i="13"/>
  <c r="Q58" i="13"/>
  <c r="U57" i="13"/>
  <c r="T57" i="13"/>
  <c r="S57" i="13"/>
  <c r="R57" i="13"/>
  <c r="Q57" i="13"/>
  <c r="U56" i="13"/>
  <c r="T56" i="13"/>
  <c r="S56" i="13"/>
  <c r="R56" i="13"/>
  <c r="Q56" i="13"/>
  <c r="G54" i="13"/>
  <c r="G59" i="13" s="1"/>
  <c r="F54" i="13"/>
  <c r="F59" i="13" s="1"/>
  <c r="E54" i="13"/>
  <c r="E59" i="13" s="1"/>
  <c r="D54" i="13"/>
  <c r="D59" i="13" s="1"/>
  <c r="C54" i="13"/>
  <c r="Q54" i="13" s="1"/>
  <c r="U52" i="13"/>
  <c r="T52" i="13"/>
  <c r="S52" i="13"/>
  <c r="R52" i="13"/>
  <c r="Q52" i="13"/>
  <c r="B45" i="13"/>
  <c r="U25" i="13"/>
  <c r="T25" i="13"/>
  <c r="S25" i="13"/>
  <c r="R25" i="13"/>
  <c r="Q25" i="13"/>
  <c r="N25" i="13"/>
  <c r="M25" i="13"/>
  <c r="L25" i="13"/>
  <c r="K25" i="13"/>
  <c r="J25" i="13"/>
  <c r="N22" i="13"/>
  <c r="M22" i="13"/>
  <c r="L22" i="13"/>
  <c r="K22" i="13"/>
  <c r="J22" i="13"/>
  <c r="N21" i="13"/>
  <c r="M21" i="13"/>
  <c r="L21" i="13"/>
  <c r="K21" i="13"/>
  <c r="J21" i="13"/>
  <c r="U20" i="13"/>
  <c r="T20" i="13"/>
  <c r="S20" i="13"/>
  <c r="R20" i="13"/>
  <c r="Q20" i="13"/>
  <c r="N20" i="13"/>
  <c r="M20" i="13"/>
  <c r="L20" i="13"/>
  <c r="K20" i="13"/>
  <c r="J20" i="13"/>
  <c r="U19" i="13"/>
  <c r="T19" i="13"/>
  <c r="S19" i="13"/>
  <c r="R19" i="13"/>
  <c r="Q19" i="13"/>
  <c r="N19" i="13"/>
  <c r="M19" i="13"/>
  <c r="L19" i="13"/>
  <c r="K19" i="13"/>
  <c r="J19" i="13"/>
  <c r="G16" i="13"/>
  <c r="N16" i="13" s="1"/>
  <c r="F16" i="13"/>
  <c r="E16" i="13"/>
  <c r="D16" i="13"/>
  <c r="R16" i="13" s="1"/>
  <c r="C16" i="13"/>
  <c r="J16" i="13" s="1"/>
  <c r="N15" i="13"/>
  <c r="M15" i="13"/>
  <c r="L15" i="13"/>
  <c r="K15" i="13"/>
  <c r="J15" i="13"/>
  <c r="U14" i="13"/>
  <c r="T14" i="13"/>
  <c r="S14" i="13"/>
  <c r="R14" i="13"/>
  <c r="Q14" i="13"/>
  <c r="N14" i="13"/>
  <c r="M14" i="13"/>
  <c r="L14" i="13"/>
  <c r="K14" i="13"/>
  <c r="J14" i="13"/>
  <c r="G11" i="13"/>
  <c r="N11" i="13" s="1"/>
  <c r="F11" i="13"/>
  <c r="M11" i="13" s="1"/>
  <c r="E11" i="13"/>
  <c r="L11" i="13" s="1"/>
  <c r="D11" i="13"/>
  <c r="C11" i="13"/>
  <c r="U10" i="13"/>
  <c r="T10" i="13"/>
  <c r="S10" i="13"/>
  <c r="R10" i="13"/>
  <c r="Q10" i="13"/>
  <c r="N10" i="13"/>
  <c r="M10" i="13"/>
  <c r="L10" i="13"/>
  <c r="K10" i="13"/>
  <c r="J10" i="13"/>
  <c r="U9" i="13"/>
  <c r="T9" i="13"/>
  <c r="S9" i="13"/>
  <c r="R9" i="13"/>
  <c r="Q9" i="13"/>
  <c r="N9" i="13"/>
  <c r="M9" i="13"/>
  <c r="L9" i="13"/>
  <c r="K9" i="13"/>
  <c r="J9" i="13"/>
  <c r="B95" i="11"/>
  <c r="E95" i="11"/>
  <c r="F95" i="11"/>
  <c r="G95" i="11"/>
  <c r="B96" i="11"/>
  <c r="B97" i="11"/>
  <c r="C97" i="11"/>
  <c r="B98" i="11"/>
  <c r="C98" i="11"/>
  <c r="G98" i="11"/>
  <c r="B99" i="11"/>
  <c r="F99" i="11"/>
  <c r="G99" i="11"/>
  <c r="B102" i="11"/>
  <c r="F102" i="11"/>
  <c r="G102" i="11"/>
  <c r="B103" i="11"/>
  <c r="E103" i="11"/>
  <c r="B104" i="11"/>
  <c r="F104" i="11"/>
  <c r="B105" i="11"/>
  <c r="C105" i="11"/>
  <c r="B108" i="11"/>
  <c r="C108" i="11"/>
  <c r="F108" i="11"/>
  <c r="G108" i="11"/>
  <c r="B109" i="11"/>
  <c r="B110" i="11"/>
  <c r="B111" i="11"/>
  <c r="C111" i="11"/>
  <c r="F111" i="11"/>
  <c r="B112" i="11"/>
  <c r="B113" i="11"/>
  <c r="B116" i="11"/>
  <c r="B117" i="11"/>
  <c r="B118" i="11"/>
  <c r="D118" i="11"/>
  <c r="E118" i="11"/>
  <c r="B119" i="11"/>
  <c r="C119" i="11"/>
  <c r="B120" i="11"/>
  <c r="C120" i="11"/>
  <c r="B121" i="11"/>
  <c r="B124" i="11"/>
  <c r="B125" i="11"/>
  <c r="B126" i="11"/>
  <c r="B127" i="11"/>
  <c r="C127" i="11"/>
  <c r="D127" i="11"/>
  <c r="E127" i="11"/>
  <c r="F127" i="11"/>
  <c r="G127" i="11"/>
  <c r="G88" i="11"/>
  <c r="F88" i="11"/>
  <c r="E88" i="11"/>
  <c r="D88" i="11"/>
  <c r="C88" i="11"/>
  <c r="Q88" i="11" s="1"/>
  <c r="U87" i="11"/>
  <c r="T87" i="11"/>
  <c r="S87" i="11"/>
  <c r="R87" i="11"/>
  <c r="Q87" i="11"/>
  <c r="U86" i="11"/>
  <c r="T86" i="11"/>
  <c r="S86" i="11"/>
  <c r="R86" i="11"/>
  <c r="Q86" i="11"/>
  <c r="U85" i="11"/>
  <c r="T85" i="11"/>
  <c r="S85" i="11"/>
  <c r="R85" i="11"/>
  <c r="Q85" i="11"/>
  <c r="U84" i="11"/>
  <c r="T84" i="11"/>
  <c r="S84" i="11"/>
  <c r="R84" i="11"/>
  <c r="Q84" i="11"/>
  <c r="U83" i="11"/>
  <c r="T83" i="11"/>
  <c r="S83" i="11"/>
  <c r="R83" i="11"/>
  <c r="Q83" i="11"/>
  <c r="U79" i="11"/>
  <c r="T79" i="11"/>
  <c r="S79" i="11"/>
  <c r="R79" i="11"/>
  <c r="Q79" i="11"/>
  <c r="G76" i="11"/>
  <c r="F76" i="11"/>
  <c r="E76" i="11"/>
  <c r="D76" i="11"/>
  <c r="C76" i="11"/>
  <c r="Q76" i="11" s="1"/>
  <c r="U75" i="11"/>
  <c r="T75" i="11"/>
  <c r="S75" i="11"/>
  <c r="R75" i="11"/>
  <c r="Q75" i="11"/>
  <c r="U71" i="11"/>
  <c r="T71" i="11"/>
  <c r="S71" i="11"/>
  <c r="R71" i="11"/>
  <c r="Q71" i="11"/>
  <c r="U65" i="11"/>
  <c r="T65" i="11"/>
  <c r="S65" i="11"/>
  <c r="R65" i="11"/>
  <c r="Q65" i="11"/>
  <c r="U64" i="11"/>
  <c r="T64" i="11"/>
  <c r="S64" i="11"/>
  <c r="R64" i="11"/>
  <c r="Q64" i="11"/>
  <c r="U63" i="11"/>
  <c r="T63" i="11"/>
  <c r="S63" i="11"/>
  <c r="R63" i="11"/>
  <c r="Q63" i="11"/>
  <c r="U62" i="11"/>
  <c r="T62" i="11"/>
  <c r="S62" i="11"/>
  <c r="R62" i="11"/>
  <c r="Q62" i="11"/>
  <c r="U61" i="11"/>
  <c r="T61" i="11"/>
  <c r="S61" i="11"/>
  <c r="R61" i="11"/>
  <c r="Q61" i="11"/>
  <c r="U60" i="11"/>
  <c r="T60" i="11"/>
  <c r="S60" i="11"/>
  <c r="R60" i="11"/>
  <c r="Q60" i="11"/>
  <c r="U58" i="11"/>
  <c r="T58" i="11"/>
  <c r="S58" i="11"/>
  <c r="R58" i="11"/>
  <c r="Q58" i="11"/>
  <c r="U57" i="11"/>
  <c r="T57" i="11"/>
  <c r="S57" i="11"/>
  <c r="R57" i="11"/>
  <c r="Q57" i="11"/>
  <c r="U56" i="11"/>
  <c r="T56" i="11"/>
  <c r="S56" i="11"/>
  <c r="R56" i="11"/>
  <c r="Q56" i="11"/>
  <c r="G54" i="11"/>
  <c r="F54" i="11"/>
  <c r="F59" i="11" s="1"/>
  <c r="E54" i="11"/>
  <c r="E59" i="11" s="1"/>
  <c r="D54" i="11"/>
  <c r="C54" i="11"/>
  <c r="U53" i="11"/>
  <c r="T53" i="11"/>
  <c r="S53" i="11"/>
  <c r="R53" i="11"/>
  <c r="Q53" i="11"/>
  <c r="U52" i="11"/>
  <c r="T52" i="11"/>
  <c r="S52" i="11"/>
  <c r="R52" i="11"/>
  <c r="Q52" i="11"/>
  <c r="B45" i="11"/>
  <c r="U25" i="11"/>
  <c r="T25" i="11"/>
  <c r="S25" i="11"/>
  <c r="R25" i="11"/>
  <c r="Q25" i="11"/>
  <c r="N25" i="11"/>
  <c r="M25" i="11"/>
  <c r="L25" i="11"/>
  <c r="K25" i="11"/>
  <c r="J25" i="11"/>
  <c r="U20" i="11"/>
  <c r="T20" i="11"/>
  <c r="S20" i="11"/>
  <c r="R20" i="11"/>
  <c r="Q20" i="11"/>
  <c r="N20" i="11"/>
  <c r="M20" i="11"/>
  <c r="L20" i="11"/>
  <c r="K20" i="11"/>
  <c r="J20" i="11"/>
  <c r="G16" i="11"/>
  <c r="F16" i="11"/>
  <c r="E16" i="11"/>
  <c r="D16" i="11"/>
  <c r="K16" i="11" s="1"/>
  <c r="C16" i="11"/>
  <c r="Q16" i="11" s="1"/>
  <c r="U15" i="11"/>
  <c r="T15" i="11"/>
  <c r="S15" i="11"/>
  <c r="R15" i="11"/>
  <c r="Q15" i="11"/>
  <c r="N15" i="11"/>
  <c r="M15" i="11"/>
  <c r="L15" i="11"/>
  <c r="K15" i="11"/>
  <c r="J15" i="11"/>
  <c r="G11" i="11"/>
  <c r="N11" i="11" s="1"/>
  <c r="F11" i="11"/>
  <c r="E11" i="11"/>
  <c r="D11" i="11"/>
  <c r="K11" i="11" s="1"/>
  <c r="C11" i="11"/>
  <c r="U10" i="11"/>
  <c r="T10" i="11"/>
  <c r="S10" i="11"/>
  <c r="R10" i="11"/>
  <c r="Q10" i="11"/>
  <c r="N10" i="11"/>
  <c r="M10" i="11"/>
  <c r="L10" i="11"/>
  <c r="K10" i="11"/>
  <c r="J10" i="11"/>
  <c r="U9" i="11"/>
  <c r="T9" i="11"/>
  <c r="S9" i="11"/>
  <c r="R9" i="11"/>
  <c r="Q9" i="11"/>
  <c r="N9" i="11"/>
  <c r="M9" i="11"/>
  <c r="L9" i="11"/>
  <c r="K9" i="11"/>
  <c r="J9" i="11"/>
  <c r="B34" i="2"/>
  <c r="C34" i="2"/>
  <c r="D34" i="2"/>
  <c r="E34" i="2"/>
  <c r="F34" i="2"/>
  <c r="F122" i="14"/>
  <c r="E122" i="14"/>
  <c r="C122" i="14"/>
  <c r="G115" i="14"/>
  <c r="F115" i="14"/>
  <c r="E115" i="14"/>
  <c r="D115" i="14"/>
  <c r="C115" i="14"/>
  <c r="E103" i="14"/>
  <c r="D103" i="14"/>
  <c r="C103" i="14"/>
  <c r="G102" i="14"/>
  <c r="F102" i="14"/>
  <c r="E102" i="14"/>
  <c r="D102" i="14"/>
  <c r="C102" i="14"/>
  <c r="I12" i="1"/>
  <c r="J12" i="1"/>
  <c r="K12" i="1"/>
  <c r="L12" i="1"/>
  <c r="M12" i="1"/>
  <c r="P12" i="1"/>
  <c r="Q12" i="1"/>
  <c r="R12" i="1"/>
  <c r="S12" i="1"/>
  <c r="T12" i="1"/>
  <c r="I40" i="4"/>
  <c r="J40" i="4"/>
  <c r="K40" i="4"/>
  <c r="L40" i="4"/>
  <c r="M40" i="4"/>
  <c r="P40" i="4"/>
  <c r="Q40" i="4"/>
  <c r="R40" i="4"/>
  <c r="S40" i="4"/>
  <c r="T40" i="4"/>
  <c r="I41" i="4"/>
  <c r="J41" i="4"/>
  <c r="K41" i="4"/>
  <c r="L41" i="4"/>
  <c r="M41" i="4"/>
  <c r="P41" i="4"/>
  <c r="Q41" i="4"/>
  <c r="R41" i="4"/>
  <c r="S41" i="4"/>
  <c r="T41" i="4"/>
  <c r="I42" i="4"/>
  <c r="J42" i="4"/>
  <c r="K42" i="4"/>
  <c r="L42" i="4"/>
  <c r="M42" i="4"/>
  <c r="P42" i="4"/>
  <c r="Q42" i="4"/>
  <c r="R42" i="4"/>
  <c r="S42" i="4"/>
  <c r="T42" i="4"/>
  <c r="P44" i="4"/>
  <c r="Q44" i="4"/>
  <c r="R44" i="4"/>
  <c r="S44" i="4"/>
  <c r="T44" i="4"/>
  <c r="I45" i="4"/>
  <c r="J45" i="4"/>
  <c r="K45" i="4"/>
  <c r="L45" i="4"/>
  <c r="M45" i="4"/>
  <c r="P45" i="4"/>
  <c r="Q45" i="4"/>
  <c r="R45" i="4"/>
  <c r="S45" i="4"/>
  <c r="T45" i="4"/>
  <c r="P46" i="4"/>
  <c r="Q46" i="4"/>
  <c r="R46" i="4"/>
  <c r="S46" i="4"/>
  <c r="T46" i="4"/>
  <c r="A136" i="2"/>
  <c r="A135" i="2"/>
  <c r="A134" i="2"/>
  <c r="A133" i="2"/>
  <c r="A130" i="2"/>
  <c r="A129" i="2"/>
  <c r="A128" i="2"/>
  <c r="A127" i="2"/>
  <c r="A126" i="2"/>
  <c r="A125" i="2"/>
  <c r="A122" i="2"/>
  <c r="A121" i="2"/>
  <c r="A120" i="2"/>
  <c r="A119" i="2"/>
  <c r="A118" i="2"/>
  <c r="A117" i="2"/>
  <c r="A114" i="2"/>
  <c r="A113" i="2"/>
  <c r="A112" i="2"/>
  <c r="A111" i="2"/>
  <c r="A108" i="2"/>
  <c r="A107" i="2"/>
  <c r="A106" i="2"/>
  <c r="A105" i="2"/>
  <c r="A104" i="2"/>
  <c r="G103" i="11"/>
  <c r="F103" i="11"/>
  <c r="D103" i="11"/>
  <c r="C103" i="11"/>
  <c r="E104" i="13"/>
  <c r="C104" i="13"/>
  <c r="G105" i="11"/>
  <c r="F105" i="11"/>
  <c r="E105" i="11"/>
  <c r="D105" i="11"/>
  <c r="G103" i="13"/>
  <c r="F103" i="13"/>
  <c r="D103" i="13"/>
  <c r="C103" i="13"/>
  <c r="G104" i="11"/>
  <c r="E104" i="11"/>
  <c r="D104" i="11"/>
  <c r="C104" i="11"/>
  <c r="G101" i="14"/>
  <c r="F101" i="14"/>
  <c r="E101" i="14"/>
  <c r="D101" i="14"/>
  <c r="C101" i="14"/>
  <c r="G102" i="13"/>
  <c r="F102" i="13"/>
  <c r="E102" i="13"/>
  <c r="D102" i="13"/>
  <c r="C102" i="13"/>
  <c r="G100" i="14"/>
  <c r="F100" i="14"/>
  <c r="E100" i="14"/>
  <c r="D100" i="14"/>
  <c r="C100" i="14"/>
  <c r="G101" i="13"/>
  <c r="F101" i="13"/>
  <c r="E101" i="13"/>
  <c r="D101" i="13"/>
  <c r="C101" i="13"/>
  <c r="E102" i="11"/>
  <c r="D102" i="11"/>
  <c r="C102" i="11"/>
  <c r="G97" i="14"/>
  <c r="F97" i="14"/>
  <c r="E97" i="14"/>
  <c r="D97" i="14"/>
  <c r="C97" i="14"/>
  <c r="G98" i="13"/>
  <c r="F98" i="13"/>
  <c r="E98" i="13"/>
  <c r="D98" i="13"/>
  <c r="C98" i="13"/>
  <c r="E99" i="11"/>
  <c r="D99" i="11"/>
  <c r="C99" i="11"/>
  <c r="C102" i="3"/>
  <c r="R14" i="10"/>
  <c r="R28" i="10"/>
  <c r="O101" i="10"/>
  <c r="P101" i="10"/>
  <c r="Q101" i="10"/>
  <c r="R101" i="10"/>
  <c r="O100" i="10"/>
  <c r="P100" i="10"/>
  <c r="Q100" i="10"/>
  <c r="R100" i="10"/>
  <c r="O98" i="10"/>
  <c r="P98" i="10"/>
  <c r="Q98" i="10"/>
  <c r="R98" i="10"/>
  <c r="O96" i="10"/>
  <c r="R96" i="10"/>
  <c r="O95" i="10"/>
  <c r="P95" i="10"/>
  <c r="Q95" i="10"/>
  <c r="R95" i="10"/>
  <c r="O94" i="10"/>
  <c r="P94" i="10"/>
  <c r="Q94" i="10"/>
  <c r="R94" i="10"/>
  <c r="O92" i="10"/>
  <c r="P92" i="10"/>
  <c r="Q92" i="10"/>
  <c r="R92" i="10"/>
  <c r="O90" i="10"/>
  <c r="P90" i="10"/>
  <c r="Q90" i="10"/>
  <c r="R90" i="10"/>
  <c r="O88" i="10"/>
  <c r="P88" i="10"/>
  <c r="Q88" i="10"/>
  <c r="R88" i="10"/>
  <c r="O85" i="10"/>
  <c r="P85" i="10"/>
  <c r="Q85" i="10"/>
  <c r="R85" i="10"/>
  <c r="O84" i="10"/>
  <c r="P84" i="10"/>
  <c r="Q84" i="10"/>
  <c r="R84" i="10"/>
  <c r="O83" i="10"/>
  <c r="P83" i="10"/>
  <c r="Q83" i="10"/>
  <c r="R83" i="10"/>
  <c r="N84" i="10"/>
  <c r="N85" i="10"/>
  <c r="N88" i="10"/>
  <c r="N90" i="10"/>
  <c r="N92" i="10"/>
  <c r="N94" i="10"/>
  <c r="N95" i="10"/>
  <c r="N96" i="10"/>
  <c r="N98" i="10"/>
  <c r="N100" i="10"/>
  <c r="N101" i="10"/>
  <c r="N83" i="10"/>
  <c r="L84" i="10"/>
  <c r="L85" i="10"/>
  <c r="L88" i="10"/>
  <c r="L89" i="10"/>
  <c r="R89" i="10" s="1"/>
  <c r="L90" i="10"/>
  <c r="L92" i="10"/>
  <c r="L94" i="10"/>
  <c r="L95" i="10"/>
  <c r="L96" i="10"/>
  <c r="L97" i="10"/>
  <c r="L98" i="10"/>
  <c r="L100" i="10"/>
  <c r="L101" i="10"/>
  <c r="K84" i="10"/>
  <c r="K85" i="10"/>
  <c r="K88" i="10"/>
  <c r="K90" i="10"/>
  <c r="K92" i="10"/>
  <c r="K94" i="10"/>
  <c r="K95" i="10"/>
  <c r="K97" i="10"/>
  <c r="K98" i="10"/>
  <c r="K100" i="10"/>
  <c r="K101" i="10"/>
  <c r="J84" i="10"/>
  <c r="J85" i="10"/>
  <c r="J88" i="10"/>
  <c r="J90" i="10"/>
  <c r="J92" i="10"/>
  <c r="J94" i="10"/>
  <c r="J95" i="10"/>
  <c r="J97" i="10"/>
  <c r="J98" i="10"/>
  <c r="J100" i="10"/>
  <c r="J101" i="10"/>
  <c r="I84" i="10"/>
  <c r="I85" i="10"/>
  <c r="I88" i="10"/>
  <c r="I90" i="10"/>
  <c r="I92" i="10"/>
  <c r="I94" i="10"/>
  <c r="I95" i="10"/>
  <c r="I96" i="10"/>
  <c r="I97" i="10"/>
  <c r="I98" i="10"/>
  <c r="I100" i="10"/>
  <c r="I101" i="10"/>
  <c r="H84" i="10"/>
  <c r="H85" i="10"/>
  <c r="H88" i="10"/>
  <c r="H90" i="10"/>
  <c r="H92" i="10"/>
  <c r="H94" i="10"/>
  <c r="H95" i="10"/>
  <c r="H96" i="10"/>
  <c r="H98" i="10"/>
  <c r="H100" i="10"/>
  <c r="H101" i="10"/>
  <c r="L83" i="10"/>
  <c r="K83" i="10"/>
  <c r="J83" i="10"/>
  <c r="I83" i="10"/>
  <c r="H83" i="10"/>
  <c r="R62" i="10"/>
  <c r="P58" i="10"/>
  <c r="Q58" i="10"/>
  <c r="R58" i="10"/>
  <c r="O58" i="10"/>
  <c r="R57" i="10"/>
  <c r="P56" i="10"/>
  <c r="Q56" i="10"/>
  <c r="R56" i="10"/>
  <c r="O56" i="10"/>
  <c r="P50" i="10"/>
  <c r="Q50" i="10"/>
  <c r="R50" i="10"/>
  <c r="O50" i="10"/>
  <c r="R49" i="10"/>
  <c r="R44" i="10"/>
  <c r="P43" i="10"/>
  <c r="Q43" i="10"/>
  <c r="R43" i="10"/>
  <c r="O43" i="10"/>
  <c r="R39" i="10"/>
  <c r="Q37" i="10"/>
  <c r="R37" i="10"/>
  <c r="P37" i="10"/>
  <c r="O14" i="10"/>
  <c r="P17" i="10"/>
  <c r="Q17" i="10"/>
  <c r="R17" i="10"/>
  <c r="O17" i="10"/>
  <c r="P27" i="10"/>
  <c r="Q27" i="10"/>
  <c r="R27" i="10"/>
  <c r="O27" i="10"/>
  <c r="O9" i="10"/>
  <c r="P9" i="10"/>
  <c r="Q9" i="10"/>
  <c r="R9" i="10"/>
  <c r="O10" i="10"/>
  <c r="P10" i="10"/>
  <c r="Q10" i="10"/>
  <c r="R10" i="10"/>
  <c r="O11" i="10"/>
  <c r="P11" i="10"/>
  <c r="Q11" i="10"/>
  <c r="R11" i="10"/>
  <c r="O13" i="10"/>
  <c r="P13" i="10"/>
  <c r="Q13" i="10"/>
  <c r="R13" i="10"/>
  <c r="O15" i="10"/>
  <c r="P15" i="10"/>
  <c r="O16" i="10"/>
  <c r="P16" i="10"/>
  <c r="Q16" i="10"/>
  <c r="R16" i="10"/>
  <c r="O18" i="10"/>
  <c r="P18" i="10"/>
  <c r="Q18" i="10"/>
  <c r="R18" i="10"/>
  <c r="O21" i="10"/>
  <c r="P21" i="10"/>
  <c r="Q21" i="10"/>
  <c r="R21" i="10"/>
  <c r="O22" i="10"/>
  <c r="P22" i="10"/>
  <c r="Q22" i="10"/>
  <c r="R22" i="10"/>
  <c r="O23" i="10"/>
  <c r="P23" i="10"/>
  <c r="Q23" i="10"/>
  <c r="R23" i="10"/>
  <c r="O25" i="10"/>
  <c r="P25" i="10"/>
  <c r="Q25" i="10"/>
  <c r="R25" i="10"/>
  <c r="O26" i="10"/>
  <c r="O28" i="10"/>
  <c r="P28" i="10"/>
  <c r="Q28" i="10"/>
  <c r="O29" i="10"/>
  <c r="P29" i="10"/>
  <c r="Q29" i="10"/>
  <c r="R29" i="10"/>
  <c r="O31" i="10"/>
  <c r="P31" i="10"/>
  <c r="Q31" i="10"/>
  <c r="R31" i="10"/>
  <c r="O36" i="10"/>
  <c r="P36" i="10"/>
  <c r="Q36" i="10"/>
  <c r="R36" i="10"/>
  <c r="O38" i="10"/>
  <c r="P38" i="10"/>
  <c r="Q38" i="10"/>
  <c r="R38" i="10"/>
  <c r="O40" i="10"/>
  <c r="P40" i="10"/>
  <c r="Q40" i="10"/>
  <c r="R40" i="10"/>
  <c r="O41" i="10"/>
  <c r="P41" i="10"/>
  <c r="Q41" i="10"/>
  <c r="R41" i="10"/>
  <c r="O42" i="10"/>
  <c r="P42" i="10"/>
  <c r="Q42" i="10"/>
  <c r="R42" i="10"/>
  <c r="O45" i="10"/>
  <c r="P45" i="10"/>
  <c r="Q45" i="10"/>
  <c r="R45" i="10"/>
  <c r="O46" i="10"/>
  <c r="P46" i="10"/>
  <c r="Q46" i="10"/>
  <c r="R46" i="10"/>
  <c r="O51" i="10"/>
  <c r="P51" i="10"/>
  <c r="Q51" i="10"/>
  <c r="R51" i="10"/>
  <c r="O53" i="10"/>
  <c r="P53" i="10"/>
  <c r="Q53" i="10"/>
  <c r="R53" i="10"/>
  <c r="O60" i="10"/>
  <c r="P60" i="10"/>
  <c r="Q60" i="10"/>
  <c r="R60" i="10"/>
  <c r="O61" i="10"/>
  <c r="P61" i="10"/>
  <c r="Q61" i="10"/>
  <c r="R61" i="10"/>
  <c r="O63" i="10"/>
  <c r="P63" i="10"/>
  <c r="Q63" i="10"/>
  <c r="R63" i="10"/>
  <c r="O64" i="10"/>
  <c r="P64" i="10"/>
  <c r="Q64" i="10"/>
  <c r="R64" i="10"/>
  <c r="O66" i="10"/>
  <c r="P66" i="10"/>
  <c r="Q66" i="10"/>
  <c r="R66" i="10"/>
  <c r="O68" i="10"/>
  <c r="P68" i="10"/>
  <c r="Q68" i="10"/>
  <c r="R68" i="10"/>
  <c r="N10" i="10"/>
  <c r="N11" i="10"/>
  <c r="N13" i="10"/>
  <c r="N15" i="10"/>
  <c r="N16" i="10"/>
  <c r="N18" i="10"/>
  <c r="N21" i="10"/>
  <c r="N22" i="10"/>
  <c r="N23" i="10"/>
  <c r="N25" i="10"/>
  <c r="N26" i="10"/>
  <c r="N28" i="10"/>
  <c r="N29" i="10"/>
  <c r="N31" i="10"/>
  <c r="N36" i="10"/>
  <c r="N38" i="10"/>
  <c r="N40" i="10"/>
  <c r="N41" i="10"/>
  <c r="N42" i="10"/>
  <c r="N45" i="10"/>
  <c r="N46" i="10"/>
  <c r="N51" i="10"/>
  <c r="N53" i="10"/>
  <c r="N60" i="10"/>
  <c r="N61" i="10"/>
  <c r="N63" i="10"/>
  <c r="N64" i="10"/>
  <c r="N66" i="10"/>
  <c r="N68" i="10"/>
  <c r="L49" i="10"/>
  <c r="N9" i="10"/>
  <c r="L10" i="10"/>
  <c r="L11" i="10"/>
  <c r="L13" i="10"/>
  <c r="L14" i="10"/>
  <c r="L16" i="10"/>
  <c r="L17" i="10"/>
  <c r="L18" i="10"/>
  <c r="L21" i="10"/>
  <c r="L22" i="10"/>
  <c r="L23" i="10"/>
  <c r="L25" i="10"/>
  <c r="L27" i="10"/>
  <c r="L29" i="10"/>
  <c r="L31" i="10"/>
  <c r="L36" i="10"/>
  <c r="L37" i="10"/>
  <c r="L38" i="10"/>
  <c r="L39" i="10"/>
  <c r="L40" i="10"/>
  <c r="L43" i="10"/>
  <c r="L44" i="10"/>
  <c r="L45" i="10"/>
  <c r="L46" i="10"/>
  <c r="L50" i="10"/>
  <c r="L51" i="10"/>
  <c r="L53" i="10"/>
  <c r="L56" i="10"/>
  <c r="L57" i="10"/>
  <c r="L58" i="10"/>
  <c r="L60" i="10"/>
  <c r="L61" i="10"/>
  <c r="L62" i="10"/>
  <c r="L63" i="10"/>
  <c r="L64" i="10"/>
  <c r="L66" i="10"/>
  <c r="L68" i="10"/>
  <c r="K10" i="10"/>
  <c r="K11" i="10"/>
  <c r="K13" i="10"/>
  <c r="K16" i="10"/>
  <c r="K17" i="10"/>
  <c r="K18" i="10"/>
  <c r="K21" i="10"/>
  <c r="K22" i="10"/>
  <c r="K23" i="10"/>
  <c r="K25" i="10"/>
  <c r="K27" i="10"/>
  <c r="K28" i="10"/>
  <c r="K29" i="10"/>
  <c r="K31" i="10"/>
  <c r="K36" i="10"/>
  <c r="K37" i="10"/>
  <c r="K38" i="10"/>
  <c r="K40" i="10"/>
  <c r="K41" i="10"/>
  <c r="K42" i="10"/>
  <c r="K43" i="10"/>
  <c r="K45" i="10"/>
  <c r="K46" i="10"/>
  <c r="K50" i="10"/>
  <c r="K51" i="10"/>
  <c r="K53" i="10"/>
  <c r="K56" i="10"/>
  <c r="K58" i="10"/>
  <c r="K60" i="10"/>
  <c r="K61" i="10"/>
  <c r="K63" i="10"/>
  <c r="K64" i="10"/>
  <c r="K66" i="10"/>
  <c r="K68" i="10"/>
  <c r="J10" i="10"/>
  <c r="J11" i="10"/>
  <c r="J13" i="10"/>
  <c r="J15" i="10"/>
  <c r="J16" i="10"/>
  <c r="J17" i="10"/>
  <c r="J18" i="10"/>
  <c r="J21" i="10"/>
  <c r="J22" i="10"/>
  <c r="J23" i="10"/>
  <c r="J25" i="10"/>
  <c r="J27" i="10"/>
  <c r="J28" i="10"/>
  <c r="J29" i="10"/>
  <c r="J31" i="10"/>
  <c r="J36" i="10"/>
  <c r="J37" i="10"/>
  <c r="J38" i="10"/>
  <c r="J40" i="10"/>
  <c r="J41" i="10"/>
  <c r="J42" i="10"/>
  <c r="J43" i="10"/>
  <c r="J45" i="10"/>
  <c r="J46" i="10"/>
  <c r="J50" i="10"/>
  <c r="J51" i="10"/>
  <c r="J53" i="10"/>
  <c r="J56" i="10"/>
  <c r="J58" i="10"/>
  <c r="J60" i="10"/>
  <c r="J61" i="10"/>
  <c r="J63" i="10"/>
  <c r="J64" i="10"/>
  <c r="J66" i="10"/>
  <c r="J68" i="10"/>
  <c r="J9" i="10"/>
  <c r="I10" i="10"/>
  <c r="I11" i="10"/>
  <c r="I13" i="10"/>
  <c r="I14" i="10"/>
  <c r="I15" i="10"/>
  <c r="I16" i="10"/>
  <c r="I17" i="10"/>
  <c r="I18" i="10"/>
  <c r="I21" i="10"/>
  <c r="I22" i="10"/>
  <c r="I23" i="10"/>
  <c r="I25" i="10"/>
  <c r="I26" i="10"/>
  <c r="I27" i="10"/>
  <c r="I28" i="10"/>
  <c r="I29" i="10"/>
  <c r="I31" i="10"/>
  <c r="I36" i="10"/>
  <c r="I38" i="10"/>
  <c r="I39" i="10"/>
  <c r="I40" i="10"/>
  <c r="I41" i="10"/>
  <c r="I42" i="10"/>
  <c r="I43" i="10"/>
  <c r="I45" i="10"/>
  <c r="I46" i="10"/>
  <c r="I50" i="10"/>
  <c r="I51" i="10"/>
  <c r="I53" i="10"/>
  <c r="I56" i="10"/>
  <c r="I58" i="10"/>
  <c r="I60" i="10"/>
  <c r="I61" i="10"/>
  <c r="I63" i="10"/>
  <c r="I64" i="10"/>
  <c r="I66" i="10"/>
  <c r="I68" i="10"/>
  <c r="H10" i="10"/>
  <c r="H11" i="10"/>
  <c r="H13" i="10"/>
  <c r="H15" i="10"/>
  <c r="H16" i="10"/>
  <c r="H18" i="10"/>
  <c r="H21" i="10"/>
  <c r="H22" i="10"/>
  <c r="H23" i="10"/>
  <c r="H25" i="10"/>
  <c r="H26" i="10"/>
  <c r="H28" i="10"/>
  <c r="H29" i="10"/>
  <c r="H31" i="10"/>
  <c r="H36" i="10"/>
  <c r="H38" i="10"/>
  <c r="H40" i="10"/>
  <c r="H41" i="10"/>
  <c r="H42" i="10"/>
  <c r="H45" i="10"/>
  <c r="H46" i="10"/>
  <c r="H51" i="10"/>
  <c r="H53" i="10"/>
  <c r="H60" i="10"/>
  <c r="H61" i="10"/>
  <c r="H63" i="10"/>
  <c r="H64" i="10"/>
  <c r="H66" i="10"/>
  <c r="H68" i="10"/>
  <c r="L9" i="10"/>
  <c r="K9" i="10"/>
  <c r="I9" i="10"/>
  <c r="H9" i="10"/>
  <c r="F111" i="10"/>
  <c r="G124" i="13" s="1"/>
  <c r="E111" i="10"/>
  <c r="F124" i="13" s="1"/>
  <c r="D111" i="10"/>
  <c r="E124" i="13" s="1"/>
  <c r="C111" i="10"/>
  <c r="D124" i="13" s="1"/>
  <c r="B111" i="10"/>
  <c r="C124" i="13"/>
  <c r="C136" i="2"/>
  <c r="D136" i="2"/>
  <c r="E136" i="2"/>
  <c r="F136" i="2"/>
  <c r="B136" i="2"/>
  <c r="P65" i="4"/>
  <c r="Q65" i="4"/>
  <c r="R65" i="4"/>
  <c r="S65" i="4"/>
  <c r="T65" i="4"/>
  <c r="P66" i="4"/>
  <c r="Q66" i="4"/>
  <c r="R66" i="4"/>
  <c r="S66" i="4"/>
  <c r="T66" i="4"/>
  <c r="P67" i="4"/>
  <c r="Q67" i="4"/>
  <c r="R67" i="4"/>
  <c r="S67" i="4"/>
  <c r="T67" i="4"/>
  <c r="P68" i="4"/>
  <c r="S68" i="4"/>
  <c r="T68" i="4"/>
  <c r="P69" i="4"/>
  <c r="Q69" i="4"/>
  <c r="R69" i="4"/>
  <c r="S69" i="4"/>
  <c r="T69" i="4"/>
  <c r="P70" i="4"/>
  <c r="Q70" i="4"/>
  <c r="R70" i="4"/>
  <c r="S70" i="4"/>
  <c r="T70" i="4"/>
  <c r="P71" i="4"/>
  <c r="Q71" i="4"/>
  <c r="R71" i="4"/>
  <c r="S71" i="4"/>
  <c r="T71" i="4"/>
  <c r="P72" i="4"/>
  <c r="Q72" i="4"/>
  <c r="R72" i="4"/>
  <c r="S72" i="4"/>
  <c r="T72" i="4"/>
  <c r="P73" i="4"/>
  <c r="Q73" i="4"/>
  <c r="R73" i="4"/>
  <c r="S73" i="4"/>
  <c r="T73" i="4"/>
  <c r="P74" i="4"/>
  <c r="Q74" i="4"/>
  <c r="R74" i="4"/>
  <c r="S74" i="4"/>
  <c r="T74" i="4"/>
  <c r="P75" i="4"/>
  <c r="Q75" i="4"/>
  <c r="R75" i="4"/>
  <c r="S75" i="4"/>
  <c r="T75" i="4"/>
  <c r="P76" i="4"/>
  <c r="Q76" i="4"/>
  <c r="R76" i="4"/>
  <c r="S76" i="4"/>
  <c r="T76" i="4"/>
  <c r="P77" i="4"/>
  <c r="Q77" i="4"/>
  <c r="R77" i="4"/>
  <c r="S77" i="4"/>
  <c r="T77" i="4"/>
  <c r="P78" i="4"/>
  <c r="Q78" i="4"/>
  <c r="R78" i="4"/>
  <c r="S78" i="4"/>
  <c r="T78" i="4"/>
  <c r="P79" i="4"/>
  <c r="Q79" i="4"/>
  <c r="R79" i="4"/>
  <c r="S79" i="4"/>
  <c r="T79" i="4"/>
  <c r="P81" i="4"/>
  <c r="Q81" i="4"/>
  <c r="R81" i="4"/>
  <c r="S81" i="4"/>
  <c r="T81" i="4"/>
  <c r="P82" i="4"/>
  <c r="Q82" i="4"/>
  <c r="R82" i="4"/>
  <c r="S82" i="4"/>
  <c r="T82" i="4"/>
  <c r="P83" i="4"/>
  <c r="Q83" i="4"/>
  <c r="R83" i="4"/>
  <c r="S83" i="4"/>
  <c r="T83" i="4"/>
  <c r="P84" i="4"/>
  <c r="Q84" i="4"/>
  <c r="R84" i="4"/>
  <c r="S84" i="4"/>
  <c r="T84" i="4"/>
  <c r="P85" i="4"/>
  <c r="Q85" i="4"/>
  <c r="R85" i="4"/>
  <c r="S85" i="4"/>
  <c r="T85" i="4"/>
  <c r="P86" i="4"/>
  <c r="Q86" i="4"/>
  <c r="R86" i="4"/>
  <c r="P87" i="4"/>
  <c r="Q87" i="4"/>
  <c r="R87" i="4"/>
  <c r="S87" i="4"/>
  <c r="T87" i="4"/>
  <c r="P88" i="4"/>
  <c r="Q88" i="4"/>
  <c r="R88" i="4"/>
  <c r="S88" i="4"/>
  <c r="T88" i="4"/>
  <c r="P89" i="4"/>
  <c r="Q89" i="4"/>
  <c r="R89" i="4"/>
  <c r="S89" i="4"/>
  <c r="T89" i="4"/>
  <c r="P90" i="4"/>
  <c r="Q90" i="4"/>
  <c r="R90" i="4"/>
  <c r="S90" i="4"/>
  <c r="T90" i="4"/>
  <c r="P91" i="4"/>
  <c r="Q91" i="4"/>
  <c r="R91" i="4"/>
  <c r="S91" i="4"/>
  <c r="T91" i="4"/>
  <c r="P92" i="4"/>
  <c r="Q92" i="4"/>
  <c r="R92" i="4"/>
  <c r="S92" i="4"/>
  <c r="T92" i="4"/>
  <c r="P93" i="4"/>
  <c r="Q93" i="4"/>
  <c r="R93" i="4"/>
  <c r="S93" i="4"/>
  <c r="T93" i="4"/>
  <c r="P94" i="4"/>
  <c r="Q94" i="4"/>
  <c r="R94" i="4"/>
  <c r="S94" i="4"/>
  <c r="T94" i="4"/>
  <c r="P95" i="4"/>
  <c r="Q95" i="4"/>
  <c r="R95" i="4"/>
  <c r="S95" i="4"/>
  <c r="T95" i="4"/>
  <c r="P96" i="4"/>
  <c r="Q96" i="4"/>
  <c r="R96" i="4"/>
  <c r="S96" i="4"/>
  <c r="T96" i="4"/>
  <c r="P98" i="4"/>
  <c r="Q98" i="4"/>
  <c r="R98" i="4"/>
  <c r="S98" i="4"/>
  <c r="T98" i="4"/>
  <c r="P99" i="4"/>
  <c r="Q99" i="4"/>
  <c r="R99" i="4"/>
  <c r="S99" i="4"/>
  <c r="T99" i="4"/>
  <c r="P101" i="4"/>
  <c r="Q101" i="4"/>
  <c r="R101" i="4"/>
  <c r="S101" i="4"/>
  <c r="T101" i="4"/>
  <c r="P62" i="4"/>
  <c r="Q62" i="4"/>
  <c r="R62" i="4"/>
  <c r="S62" i="4"/>
  <c r="T62" i="4"/>
  <c r="P63" i="4"/>
  <c r="Q63" i="4"/>
  <c r="R63" i="4"/>
  <c r="S63" i="4"/>
  <c r="T63" i="4"/>
  <c r="P64" i="4"/>
  <c r="Q64" i="4"/>
  <c r="R64" i="4"/>
  <c r="Q60" i="4"/>
  <c r="R60" i="4"/>
  <c r="S60" i="4"/>
  <c r="T60" i="4"/>
  <c r="P61" i="4"/>
  <c r="P60" i="4"/>
  <c r="I61" i="4"/>
  <c r="I62" i="4"/>
  <c r="J62" i="4"/>
  <c r="K62" i="4"/>
  <c r="L62" i="4"/>
  <c r="M62" i="4"/>
  <c r="I63" i="4"/>
  <c r="J63" i="4"/>
  <c r="K63" i="4"/>
  <c r="L63" i="4"/>
  <c r="M63" i="4"/>
  <c r="I64" i="4"/>
  <c r="J64" i="4"/>
  <c r="K64" i="4"/>
  <c r="I65" i="4"/>
  <c r="J65" i="4"/>
  <c r="K65" i="4"/>
  <c r="L65" i="4"/>
  <c r="M65" i="4"/>
  <c r="I66" i="4"/>
  <c r="J66" i="4"/>
  <c r="K66" i="4"/>
  <c r="L66" i="4"/>
  <c r="M66" i="4"/>
  <c r="I67" i="4"/>
  <c r="J67" i="4"/>
  <c r="K67" i="4"/>
  <c r="L67" i="4"/>
  <c r="M67" i="4"/>
  <c r="I68" i="4"/>
  <c r="L68" i="4"/>
  <c r="M68" i="4"/>
  <c r="I69" i="4"/>
  <c r="J69" i="4"/>
  <c r="K69" i="4"/>
  <c r="L69" i="4"/>
  <c r="M69" i="4"/>
  <c r="I70" i="4"/>
  <c r="J70" i="4"/>
  <c r="K70" i="4"/>
  <c r="L70" i="4"/>
  <c r="M70" i="4"/>
  <c r="I71" i="4"/>
  <c r="J71" i="4"/>
  <c r="K71" i="4"/>
  <c r="L71" i="4"/>
  <c r="M71" i="4"/>
  <c r="I72" i="4"/>
  <c r="J72" i="4"/>
  <c r="K72" i="4"/>
  <c r="L72" i="4"/>
  <c r="M72" i="4"/>
  <c r="I73" i="4"/>
  <c r="J73" i="4"/>
  <c r="K73" i="4"/>
  <c r="L73" i="4"/>
  <c r="M73" i="4"/>
  <c r="I74" i="4"/>
  <c r="J74" i="4"/>
  <c r="K74" i="4"/>
  <c r="L74" i="4"/>
  <c r="M74" i="4"/>
  <c r="I75" i="4"/>
  <c r="J75" i="4"/>
  <c r="K75" i="4"/>
  <c r="L75" i="4"/>
  <c r="M75" i="4"/>
  <c r="I76" i="4"/>
  <c r="J76" i="4"/>
  <c r="K76" i="4"/>
  <c r="L76" i="4"/>
  <c r="M76" i="4"/>
  <c r="I77" i="4"/>
  <c r="J77" i="4"/>
  <c r="K77" i="4"/>
  <c r="L77" i="4"/>
  <c r="M77" i="4"/>
  <c r="I78" i="4"/>
  <c r="J78" i="4"/>
  <c r="K78" i="4"/>
  <c r="L78" i="4"/>
  <c r="M78" i="4"/>
  <c r="I79" i="4"/>
  <c r="J79" i="4"/>
  <c r="K79" i="4"/>
  <c r="L79" i="4"/>
  <c r="M79" i="4"/>
  <c r="I81" i="4"/>
  <c r="J81" i="4"/>
  <c r="K81" i="4"/>
  <c r="L81" i="4"/>
  <c r="M81" i="4"/>
  <c r="I82" i="4"/>
  <c r="J82" i="4"/>
  <c r="K82" i="4"/>
  <c r="L82" i="4"/>
  <c r="M82" i="4"/>
  <c r="I83" i="4"/>
  <c r="J83" i="4"/>
  <c r="K83" i="4"/>
  <c r="L83" i="4"/>
  <c r="M83" i="4"/>
  <c r="I84" i="4"/>
  <c r="J84" i="4"/>
  <c r="K84" i="4"/>
  <c r="L84" i="4"/>
  <c r="M84" i="4"/>
  <c r="I85" i="4"/>
  <c r="J85" i="4"/>
  <c r="K85" i="4"/>
  <c r="L85" i="4"/>
  <c r="M85" i="4"/>
  <c r="I86" i="4"/>
  <c r="J86" i="4"/>
  <c r="K86" i="4"/>
  <c r="I87" i="4"/>
  <c r="J87" i="4"/>
  <c r="K87" i="4"/>
  <c r="L87" i="4"/>
  <c r="M87" i="4"/>
  <c r="I88" i="4"/>
  <c r="J88" i="4"/>
  <c r="K88" i="4"/>
  <c r="L88" i="4"/>
  <c r="M88" i="4"/>
  <c r="I89" i="4"/>
  <c r="J89" i="4"/>
  <c r="K89" i="4"/>
  <c r="L89" i="4"/>
  <c r="M89" i="4"/>
  <c r="I90" i="4"/>
  <c r="J90" i="4"/>
  <c r="K90" i="4"/>
  <c r="L90" i="4"/>
  <c r="M90" i="4"/>
  <c r="I91" i="4"/>
  <c r="J91" i="4"/>
  <c r="K91" i="4"/>
  <c r="L91" i="4"/>
  <c r="M91" i="4"/>
  <c r="I92" i="4"/>
  <c r="J92" i="4"/>
  <c r="K92" i="4"/>
  <c r="L92" i="4"/>
  <c r="M92" i="4"/>
  <c r="I93" i="4"/>
  <c r="J93" i="4"/>
  <c r="K93" i="4"/>
  <c r="L93" i="4"/>
  <c r="M93" i="4"/>
  <c r="I94" i="4"/>
  <c r="J94" i="4"/>
  <c r="K94" i="4"/>
  <c r="L94" i="4"/>
  <c r="M94" i="4"/>
  <c r="I95" i="4"/>
  <c r="J95" i="4"/>
  <c r="K95" i="4"/>
  <c r="L95" i="4"/>
  <c r="M95" i="4"/>
  <c r="I96" i="4"/>
  <c r="J96" i="4"/>
  <c r="K96" i="4"/>
  <c r="L96" i="4"/>
  <c r="M96" i="4"/>
  <c r="I98" i="4"/>
  <c r="J98" i="4"/>
  <c r="K98" i="4"/>
  <c r="L98" i="4"/>
  <c r="M98" i="4"/>
  <c r="I99" i="4"/>
  <c r="J99" i="4"/>
  <c r="K99" i="4"/>
  <c r="L99" i="4"/>
  <c r="M99" i="4"/>
  <c r="I101" i="4"/>
  <c r="J101" i="4"/>
  <c r="K101" i="4"/>
  <c r="L101" i="4"/>
  <c r="M101" i="4"/>
  <c r="M60" i="4"/>
  <c r="L60" i="4"/>
  <c r="Q12" i="4"/>
  <c r="R12" i="4"/>
  <c r="S12" i="4"/>
  <c r="T12" i="4"/>
  <c r="Q13" i="4"/>
  <c r="R13" i="4"/>
  <c r="S13" i="4"/>
  <c r="T13" i="4"/>
  <c r="Q14" i="4"/>
  <c r="R14" i="4"/>
  <c r="S14" i="4"/>
  <c r="T14" i="4"/>
  <c r="Q15" i="4"/>
  <c r="R15" i="4"/>
  <c r="S15" i="4"/>
  <c r="T15" i="4"/>
  <c r="Q16" i="4"/>
  <c r="R16" i="4"/>
  <c r="S16" i="4"/>
  <c r="T16" i="4"/>
  <c r="Q17" i="4"/>
  <c r="R17" i="4"/>
  <c r="S17" i="4"/>
  <c r="T17" i="4"/>
  <c r="Q18" i="4"/>
  <c r="R18" i="4"/>
  <c r="S18" i="4"/>
  <c r="T18" i="4"/>
  <c r="Q20" i="4"/>
  <c r="R20" i="4"/>
  <c r="S20" i="4"/>
  <c r="T20" i="4"/>
  <c r="Q21" i="4"/>
  <c r="R21" i="4"/>
  <c r="S21" i="4"/>
  <c r="T21" i="4"/>
  <c r="Q22" i="4"/>
  <c r="R22" i="4"/>
  <c r="S22" i="4"/>
  <c r="T22" i="4"/>
  <c r="Q23" i="4"/>
  <c r="R23" i="4"/>
  <c r="S23" i="4"/>
  <c r="T23" i="4"/>
  <c r="Q24" i="4"/>
  <c r="R24" i="4"/>
  <c r="S24" i="4"/>
  <c r="T24" i="4"/>
  <c r="Q26" i="4"/>
  <c r="R26" i="4"/>
  <c r="S26" i="4"/>
  <c r="T26" i="4"/>
  <c r="Q27" i="4"/>
  <c r="R27" i="4"/>
  <c r="S27" i="4"/>
  <c r="T27" i="4"/>
  <c r="Q28" i="4"/>
  <c r="R28" i="4"/>
  <c r="S28" i="4"/>
  <c r="T28" i="4"/>
  <c r="Q30" i="4"/>
  <c r="Q31" i="4"/>
  <c r="Q34" i="4"/>
  <c r="Q35" i="4"/>
  <c r="R35" i="4"/>
  <c r="S35" i="4"/>
  <c r="T35" i="4"/>
  <c r="Q36" i="4"/>
  <c r="R36" i="4"/>
  <c r="S36" i="4"/>
  <c r="T36" i="4"/>
  <c r="Q37" i="4"/>
  <c r="R37" i="4"/>
  <c r="S37" i="4"/>
  <c r="T37" i="4"/>
  <c r="Q38" i="4"/>
  <c r="R38" i="4"/>
  <c r="S38" i="4"/>
  <c r="T38" i="4"/>
  <c r="Q39" i="4"/>
  <c r="P23" i="4"/>
  <c r="P24" i="4"/>
  <c r="P26" i="4"/>
  <c r="P27" i="4"/>
  <c r="P28" i="4"/>
  <c r="P30" i="4"/>
  <c r="P31" i="4"/>
  <c r="P34" i="4"/>
  <c r="P35" i="4"/>
  <c r="P36" i="4"/>
  <c r="P37" i="4"/>
  <c r="P38" i="4"/>
  <c r="P39" i="4"/>
  <c r="P13" i="4"/>
  <c r="P14" i="4"/>
  <c r="P15" i="4"/>
  <c r="P16" i="4"/>
  <c r="P17" i="4"/>
  <c r="P18" i="4"/>
  <c r="P20" i="4"/>
  <c r="P21" i="4"/>
  <c r="P22" i="4"/>
  <c r="P12" i="4"/>
  <c r="D94" i="14"/>
  <c r="E94" i="14"/>
  <c r="F94" i="14"/>
  <c r="G94" i="14"/>
  <c r="C94" i="14"/>
  <c r="C109" i="14"/>
  <c r="D93" i="14"/>
  <c r="E93" i="14"/>
  <c r="F93" i="14"/>
  <c r="G93" i="14"/>
  <c r="C93" i="14"/>
  <c r="D95" i="14"/>
  <c r="E95" i="14"/>
  <c r="F95" i="14"/>
  <c r="G95" i="14"/>
  <c r="C95" i="14"/>
  <c r="K60" i="4"/>
  <c r="J60" i="4"/>
  <c r="I60" i="4"/>
  <c r="M13" i="4"/>
  <c r="M14" i="4"/>
  <c r="M15" i="4"/>
  <c r="M16" i="4"/>
  <c r="M17" i="4"/>
  <c r="M18" i="4"/>
  <c r="M19" i="4"/>
  <c r="M20" i="4"/>
  <c r="M21" i="4"/>
  <c r="M22" i="4"/>
  <c r="M23" i="4"/>
  <c r="M24" i="4"/>
  <c r="M25" i="4"/>
  <c r="M26" i="4"/>
  <c r="M27" i="4"/>
  <c r="M28" i="4"/>
  <c r="M32" i="4"/>
  <c r="M35" i="4"/>
  <c r="M36" i="4"/>
  <c r="M37" i="4"/>
  <c r="M38" i="4"/>
  <c r="L13" i="4"/>
  <c r="L14" i="4"/>
  <c r="L15" i="4"/>
  <c r="L16" i="4"/>
  <c r="L17" i="4"/>
  <c r="L18" i="4"/>
  <c r="L19" i="4"/>
  <c r="L20" i="4"/>
  <c r="L21" i="4"/>
  <c r="L22" i="4"/>
  <c r="L23" i="4"/>
  <c r="L24" i="4"/>
  <c r="L25" i="4"/>
  <c r="L26" i="4"/>
  <c r="L27" i="4"/>
  <c r="L28" i="4"/>
  <c r="L29" i="4"/>
  <c r="L32" i="4"/>
  <c r="L35" i="4"/>
  <c r="L36" i="4"/>
  <c r="L37" i="4"/>
  <c r="L38" i="4"/>
  <c r="K13" i="4"/>
  <c r="K14" i="4"/>
  <c r="K15" i="4"/>
  <c r="K16" i="4"/>
  <c r="K17" i="4"/>
  <c r="K18" i="4"/>
  <c r="K19" i="4"/>
  <c r="K20" i="4"/>
  <c r="K21" i="4"/>
  <c r="K22" i="4"/>
  <c r="K23" i="4"/>
  <c r="K24" i="4"/>
  <c r="K25" i="4"/>
  <c r="K26" i="4"/>
  <c r="K27" i="4"/>
  <c r="K28" i="4"/>
  <c r="K32" i="4"/>
  <c r="K35" i="4"/>
  <c r="K36" i="4"/>
  <c r="K37" i="4"/>
  <c r="K38" i="4"/>
  <c r="J13" i="4"/>
  <c r="J14" i="4"/>
  <c r="J15" i="4"/>
  <c r="J16" i="4"/>
  <c r="J17" i="4"/>
  <c r="J18" i="4"/>
  <c r="J20" i="4"/>
  <c r="J21" i="4"/>
  <c r="J22" i="4"/>
  <c r="J23" i="4"/>
  <c r="J24" i="4"/>
  <c r="J25" i="4"/>
  <c r="J26" i="4"/>
  <c r="J27" i="4"/>
  <c r="J28" i="4"/>
  <c r="J30" i="4"/>
  <c r="J31" i="4"/>
  <c r="J32" i="4"/>
  <c r="J33" i="4"/>
  <c r="J34" i="4"/>
  <c r="J35" i="4"/>
  <c r="J36" i="4"/>
  <c r="J37" i="4"/>
  <c r="J38" i="4"/>
  <c r="J39" i="4"/>
  <c r="I13" i="4"/>
  <c r="I14" i="4"/>
  <c r="I15" i="4"/>
  <c r="I16" i="4"/>
  <c r="I17" i="4"/>
  <c r="I18" i="4"/>
  <c r="I20" i="4"/>
  <c r="I21" i="4"/>
  <c r="I22" i="4"/>
  <c r="I23" i="4"/>
  <c r="I24" i="4"/>
  <c r="I26" i="4"/>
  <c r="I27" i="4"/>
  <c r="I28" i="4"/>
  <c r="I30" i="4"/>
  <c r="I31" i="4"/>
  <c r="I34" i="4"/>
  <c r="I35" i="4"/>
  <c r="I36" i="4"/>
  <c r="I37" i="4"/>
  <c r="I38" i="4"/>
  <c r="I39" i="4"/>
  <c r="M12" i="4"/>
  <c r="L12" i="4"/>
  <c r="K12" i="4"/>
  <c r="J12" i="4"/>
  <c r="I12" i="4"/>
  <c r="D106" i="14"/>
  <c r="E106" i="14"/>
  <c r="F106" i="14"/>
  <c r="G106" i="14"/>
  <c r="C106" i="14"/>
  <c r="D107" i="14"/>
  <c r="E108" i="14"/>
  <c r="F107" i="14"/>
  <c r="G108" i="14"/>
  <c r="C108" i="14"/>
  <c r="D118" i="14"/>
  <c r="E118" i="14"/>
  <c r="F118" i="14"/>
  <c r="G118" i="14"/>
  <c r="C118" i="14"/>
  <c r="C123" i="14"/>
  <c r="D117" i="14"/>
  <c r="E117" i="14"/>
  <c r="F117" i="14"/>
  <c r="G117" i="14"/>
  <c r="C117" i="14"/>
  <c r="D116" i="14"/>
  <c r="E116" i="14"/>
  <c r="F116" i="14"/>
  <c r="G116" i="14"/>
  <c r="C116" i="14"/>
  <c r="D114" i="14"/>
  <c r="E114" i="14"/>
  <c r="F114" i="14"/>
  <c r="G114" i="14"/>
  <c r="C114" i="14"/>
  <c r="D110" i="14"/>
  <c r="E110" i="14"/>
  <c r="F110" i="14"/>
  <c r="G110" i="14"/>
  <c r="D96" i="14"/>
  <c r="E96" i="14"/>
  <c r="F96" i="14"/>
  <c r="G96" i="14"/>
  <c r="C96" i="14"/>
  <c r="D130" i="2"/>
  <c r="E130" i="2"/>
  <c r="B15" i="2"/>
  <c r="C15" i="2"/>
  <c r="D15" i="2"/>
  <c r="E15" i="2"/>
  <c r="F15" i="2"/>
  <c r="H7" i="9"/>
  <c r="H6" i="9"/>
  <c r="H5" i="9"/>
  <c r="C114" i="2"/>
  <c r="D114" i="2"/>
  <c r="E114" i="2"/>
  <c r="F114" i="2"/>
  <c r="B114" i="2"/>
  <c r="D119" i="13"/>
  <c r="E119" i="13"/>
  <c r="F119" i="13"/>
  <c r="G119" i="13"/>
  <c r="C119" i="13"/>
  <c r="D118" i="13"/>
  <c r="E118" i="13"/>
  <c r="F118" i="13"/>
  <c r="G118" i="13"/>
  <c r="C118" i="13"/>
  <c r="D117" i="13"/>
  <c r="E117" i="13"/>
  <c r="F117" i="13"/>
  <c r="G117" i="13"/>
  <c r="C117" i="13"/>
  <c r="D116" i="13"/>
  <c r="E116" i="13"/>
  <c r="F116" i="13"/>
  <c r="G116" i="13"/>
  <c r="C116" i="13"/>
  <c r="D115" i="13"/>
  <c r="E115" i="13"/>
  <c r="F115" i="13"/>
  <c r="G115" i="13"/>
  <c r="C115" i="13"/>
  <c r="A53" i="4"/>
  <c r="D111" i="13"/>
  <c r="E111" i="13"/>
  <c r="F111" i="13"/>
  <c r="G111" i="13"/>
  <c r="C111" i="13"/>
  <c r="D109" i="13"/>
  <c r="E109" i="13"/>
  <c r="F109" i="13"/>
  <c r="G112" i="13"/>
  <c r="D107" i="13"/>
  <c r="E107" i="13"/>
  <c r="F107" i="13"/>
  <c r="G107" i="13"/>
  <c r="C107" i="13"/>
  <c r="D97" i="13"/>
  <c r="E97" i="13"/>
  <c r="F97" i="13"/>
  <c r="G97" i="13"/>
  <c r="C97" i="13"/>
  <c r="D96" i="13"/>
  <c r="E96" i="13"/>
  <c r="F96" i="13"/>
  <c r="G96" i="13"/>
  <c r="C96" i="13"/>
  <c r="D95" i="13"/>
  <c r="E95" i="13"/>
  <c r="F95" i="13"/>
  <c r="G95" i="13"/>
  <c r="C95" i="13"/>
  <c r="D94" i="13"/>
  <c r="E94" i="13"/>
  <c r="F94" i="13"/>
  <c r="G94" i="13"/>
  <c r="C94" i="13"/>
  <c r="D119" i="11"/>
  <c r="E119" i="11"/>
  <c r="F119" i="11"/>
  <c r="G119" i="11"/>
  <c r="D117" i="11"/>
  <c r="E117" i="11"/>
  <c r="F117" i="11"/>
  <c r="G117" i="11"/>
  <c r="C117" i="11"/>
  <c r="D116" i="11"/>
  <c r="E116" i="11"/>
  <c r="F116" i="11"/>
  <c r="G116" i="11"/>
  <c r="C116" i="11"/>
  <c r="D111" i="11"/>
  <c r="E111" i="11"/>
  <c r="G111" i="11"/>
  <c r="D109" i="11"/>
  <c r="E109" i="11"/>
  <c r="F109" i="11"/>
  <c r="G109" i="11"/>
  <c r="C109" i="11"/>
  <c r="D108" i="11"/>
  <c r="E108" i="11"/>
  <c r="D97" i="11"/>
  <c r="E97" i="11"/>
  <c r="F97" i="11"/>
  <c r="G97" i="11"/>
  <c r="D96" i="11"/>
  <c r="E96" i="11"/>
  <c r="F96" i="11"/>
  <c r="G96" i="11"/>
  <c r="C96" i="11"/>
  <c r="B21" i="1"/>
  <c r="C21" i="1"/>
  <c r="D21" i="1"/>
  <c r="E21" i="1"/>
  <c r="F21" i="1"/>
  <c r="B125" i="3"/>
  <c r="B124" i="3"/>
  <c r="B123" i="3"/>
  <c r="B122" i="3"/>
  <c r="B119" i="3"/>
  <c r="B118" i="3"/>
  <c r="B117" i="3"/>
  <c r="B116" i="3"/>
  <c r="B114" i="3"/>
  <c r="B115" i="3"/>
  <c r="B113" i="3"/>
  <c r="B111" i="3"/>
  <c r="B110" i="3"/>
  <c r="B109" i="3"/>
  <c r="B108" i="3"/>
  <c r="B107" i="3"/>
  <c r="B93" i="3"/>
  <c r="B94" i="3"/>
  <c r="B95" i="3"/>
  <c r="B96" i="3"/>
  <c r="B97" i="3"/>
  <c r="B100" i="3"/>
  <c r="B101" i="3"/>
  <c r="B102" i="3"/>
  <c r="B103" i="3"/>
  <c r="D98" i="11"/>
  <c r="E98" i="11"/>
  <c r="F98" i="11"/>
  <c r="D125" i="3"/>
  <c r="E125" i="3"/>
  <c r="F125" i="3"/>
  <c r="G125" i="3"/>
  <c r="C125" i="3"/>
  <c r="C128" i="2"/>
  <c r="D128" i="2"/>
  <c r="E128" i="2"/>
  <c r="F128" i="2"/>
  <c r="B128" i="2"/>
  <c r="C127" i="2"/>
  <c r="D127" i="2"/>
  <c r="E127" i="2"/>
  <c r="F127" i="2"/>
  <c r="B127" i="2"/>
  <c r="C126" i="2"/>
  <c r="D126" i="2"/>
  <c r="E126" i="2"/>
  <c r="F126" i="2"/>
  <c r="B126" i="2"/>
  <c r="C125" i="2"/>
  <c r="D125" i="2"/>
  <c r="E125" i="2"/>
  <c r="F125" i="2"/>
  <c r="B125" i="2"/>
  <c r="C117" i="2"/>
  <c r="D117" i="2"/>
  <c r="E117" i="2"/>
  <c r="F117" i="2"/>
  <c r="B117" i="2"/>
  <c r="C113" i="2"/>
  <c r="D113" i="2"/>
  <c r="E113" i="2"/>
  <c r="F113" i="2"/>
  <c r="B113" i="2"/>
  <c r="C107" i="3"/>
  <c r="Q81" i="3"/>
  <c r="R81" i="3"/>
  <c r="S81" i="3"/>
  <c r="T81" i="3"/>
  <c r="U81" i="3"/>
  <c r="Q82" i="3"/>
  <c r="R82" i="3"/>
  <c r="S82" i="3"/>
  <c r="T82" i="3"/>
  <c r="U82" i="3"/>
  <c r="Q83" i="3"/>
  <c r="R83" i="3"/>
  <c r="S83" i="3"/>
  <c r="T83" i="3"/>
  <c r="U83" i="3"/>
  <c r="Q84" i="3"/>
  <c r="R84" i="3"/>
  <c r="S84" i="3"/>
  <c r="T84" i="3"/>
  <c r="U84" i="3"/>
  <c r="Q85" i="3"/>
  <c r="R85" i="3"/>
  <c r="S85" i="3"/>
  <c r="T85" i="3"/>
  <c r="U85" i="3"/>
  <c r="Q87" i="3"/>
  <c r="R87" i="3"/>
  <c r="S87" i="3"/>
  <c r="T87" i="3"/>
  <c r="U87" i="3"/>
  <c r="Q71" i="3"/>
  <c r="R71" i="3"/>
  <c r="S71" i="3"/>
  <c r="T71" i="3"/>
  <c r="U71" i="3"/>
  <c r="Q72" i="3"/>
  <c r="R72" i="3"/>
  <c r="S72" i="3"/>
  <c r="T72" i="3"/>
  <c r="U72" i="3"/>
  <c r="Q73" i="3"/>
  <c r="R73" i="3"/>
  <c r="S73" i="3"/>
  <c r="T73" i="3"/>
  <c r="U73" i="3"/>
  <c r="Q74" i="3"/>
  <c r="R74" i="3"/>
  <c r="S74" i="3"/>
  <c r="T74" i="3"/>
  <c r="U74" i="3"/>
  <c r="Q76" i="3"/>
  <c r="R76" i="3"/>
  <c r="S76" i="3"/>
  <c r="T76" i="3"/>
  <c r="U76" i="3"/>
  <c r="Q77" i="3"/>
  <c r="R77" i="3"/>
  <c r="S77" i="3"/>
  <c r="T77" i="3"/>
  <c r="U77" i="3"/>
  <c r="Q78" i="3"/>
  <c r="R78" i="3"/>
  <c r="S78" i="3"/>
  <c r="T78" i="3"/>
  <c r="U78" i="3"/>
  <c r="Q60" i="3"/>
  <c r="R60" i="3"/>
  <c r="S60" i="3"/>
  <c r="T60" i="3"/>
  <c r="U60" i="3"/>
  <c r="Q61" i="3"/>
  <c r="R61" i="3"/>
  <c r="S61" i="3"/>
  <c r="T61" i="3"/>
  <c r="U61" i="3"/>
  <c r="Q62" i="3"/>
  <c r="R62" i="3"/>
  <c r="S62" i="3"/>
  <c r="T62" i="3"/>
  <c r="U62" i="3"/>
  <c r="Q63" i="3"/>
  <c r="R63" i="3"/>
  <c r="S63" i="3"/>
  <c r="T63" i="3"/>
  <c r="U63" i="3"/>
  <c r="Q64" i="3"/>
  <c r="R64" i="3"/>
  <c r="S64" i="3"/>
  <c r="T64" i="3"/>
  <c r="U64" i="3"/>
  <c r="Q65" i="3"/>
  <c r="R65" i="3"/>
  <c r="S65" i="3"/>
  <c r="T65" i="3"/>
  <c r="U65" i="3"/>
  <c r="Q53" i="3"/>
  <c r="R53" i="3"/>
  <c r="S53" i="3"/>
  <c r="T53" i="3"/>
  <c r="U53" i="3"/>
  <c r="Q55" i="3"/>
  <c r="R55" i="3"/>
  <c r="S55" i="3"/>
  <c r="T55" i="3"/>
  <c r="U55" i="3"/>
  <c r="Q56" i="3"/>
  <c r="R56" i="3"/>
  <c r="S56" i="3"/>
  <c r="T56" i="3"/>
  <c r="U56" i="3"/>
  <c r="Q57" i="3"/>
  <c r="R57" i="3"/>
  <c r="S57" i="3"/>
  <c r="T57" i="3"/>
  <c r="U57" i="3"/>
  <c r="Q58" i="3"/>
  <c r="R58" i="3"/>
  <c r="S58" i="3"/>
  <c r="T58" i="3"/>
  <c r="U58" i="3"/>
  <c r="R52" i="3"/>
  <c r="S52" i="3"/>
  <c r="T52" i="3"/>
  <c r="U52" i="3"/>
  <c r="Q52" i="3"/>
  <c r="D86" i="3"/>
  <c r="E86" i="3"/>
  <c r="E124" i="3" s="1"/>
  <c r="F86" i="3"/>
  <c r="F124" i="3" s="1"/>
  <c r="G86" i="3"/>
  <c r="C86" i="3"/>
  <c r="D75" i="3"/>
  <c r="D95" i="3" s="1"/>
  <c r="E75" i="3"/>
  <c r="E95" i="3" s="1"/>
  <c r="F75" i="3"/>
  <c r="F95" i="3" s="1"/>
  <c r="G75" i="3"/>
  <c r="G95" i="3" s="1"/>
  <c r="C75" i="3"/>
  <c r="C95" i="3" s="1"/>
  <c r="D120" i="11"/>
  <c r="E120" i="11"/>
  <c r="F120" i="11"/>
  <c r="G120" i="11"/>
  <c r="Q75" i="2"/>
  <c r="R75" i="2"/>
  <c r="S75" i="2"/>
  <c r="T75" i="2"/>
  <c r="Q76" i="2"/>
  <c r="R76" i="2"/>
  <c r="S76" i="2"/>
  <c r="T76" i="2"/>
  <c r="P75" i="2"/>
  <c r="P76" i="2"/>
  <c r="Q68" i="2"/>
  <c r="R68" i="2"/>
  <c r="S68" i="2"/>
  <c r="T68" i="2"/>
  <c r="Q60" i="2"/>
  <c r="R60" i="2"/>
  <c r="S60" i="2"/>
  <c r="T60" i="2"/>
  <c r="P68" i="2"/>
  <c r="P60" i="2"/>
  <c r="R51" i="1"/>
  <c r="Q51" i="1"/>
  <c r="P51" i="1"/>
  <c r="F118" i="11"/>
  <c r="G118" i="11"/>
  <c r="C118" i="11"/>
  <c r="I75" i="2"/>
  <c r="J75" i="2"/>
  <c r="K75" i="2"/>
  <c r="L75" i="2"/>
  <c r="M75" i="2"/>
  <c r="I76" i="2"/>
  <c r="J76" i="2"/>
  <c r="K76" i="2"/>
  <c r="L76" i="2"/>
  <c r="M76" i="2"/>
  <c r="I82" i="2"/>
  <c r="J82" i="2"/>
  <c r="K82" i="2"/>
  <c r="L82" i="2"/>
  <c r="M82" i="2"/>
  <c r="I85" i="2"/>
  <c r="J85" i="2"/>
  <c r="K85" i="2"/>
  <c r="L85" i="2"/>
  <c r="M85" i="2"/>
  <c r="C89" i="2"/>
  <c r="D89" i="2"/>
  <c r="E89" i="2"/>
  <c r="F89" i="2"/>
  <c r="C90" i="2"/>
  <c r="D90" i="2"/>
  <c r="E90" i="2"/>
  <c r="F90" i="2"/>
  <c r="C91" i="2"/>
  <c r="D91" i="2"/>
  <c r="E91" i="2"/>
  <c r="F91" i="2"/>
  <c r="C92" i="2"/>
  <c r="D92" i="2"/>
  <c r="E92" i="2"/>
  <c r="F92" i="2"/>
  <c r="C93" i="2"/>
  <c r="D93" i="2"/>
  <c r="E93" i="2"/>
  <c r="F93" i="2"/>
  <c r="B93" i="2"/>
  <c r="B92" i="2"/>
  <c r="B91" i="2"/>
  <c r="B90" i="2"/>
  <c r="B89" i="2"/>
  <c r="B87" i="2"/>
  <c r="C86" i="2"/>
  <c r="D86" i="2"/>
  <c r="E86" i="2"/>
  <c r="F86" i="2"/>
  <c r="B86" i="2"/>
  <c r="D54" i="3"/>
  <c r="E54" i="3"/>
  <c r="F54" i="3"/>
  <c r="G54" i="3"/>
  <c r="C54" i="3"/>
  <c r="C88" i="2"/>
  <c r="D88" i="2"/>
  <c r="E88" i="2"/>
  <c r="F88" i="2"/>
  <c r="B88" i="2"/>
  <c r="C87" i="2"/>
  <c r="D87" i="2"/>
  <c r="E87" i="2"/>
  <c r="F87" i="2"/>
  <c r="C84" i="2"/>
  <c r="D84" i="2"/>
  <c r="E84" i="2"/>
  <c r="F84" i="2"/>
  <c r="B84" i="2"/>
  <c r="C83" i="2"/>
  <c r="D83" i="2"/>
  <c r="E83" i="2"/>
  <c r="F83" i="2"/>
  <c r="B83" i="2"/>
  <c r="J25" i="3"/>
  <c r="K25" i="3"/>
  <c r="L25" i="3"/>
  <c r="M25" i="3"/>
  <c r="N25" i="3"/>
  <c r="J19" i="3"/>
  <c r="K19" i="3"/>
  <c r="L19" i="3"/>
  <c r="M19" i="3"/>
  <c r="N19" i="3"/>
  <c r="J20" i="3"/>
  <c r="K20" i="3"/>
  <c r="L20" i="3"/>
  <c r="M20" i="3"/>
  <c r="N20" i="3"/>
  <c r="J21" i="3"/>
  <c r="K21" i="3"/>
  <c r="L21" i="3"/>
  <c r="M21" i="3"/>
  <c r="N21" i="3"/>
  <c r="J22" i="3"/>
  <c r="K22" i="3"/>
  <c r="L22" i="3"/>
  <c r="M22" i="3"/>
  <c r="N22" i="3"/>
  <c r="J14" i="3"/>
  <c r="K14" i="3"/>
  <c r="L14" i="3"/>
  <c r="M14" i="3"/>
  <c r="N14" i="3"/>
  <c r="J15" i="3"/>
  <c r="K15" i="3"/>
  <c r="L15" i="3"/>
  <c r="M15" i="3"/>
  <c r="N15" i="3"/>
  <c r="J10" i="3"/>
  <c r="K10" i="3"/>
  <c r="L10" i="3"/>
  <c r="M10" i="3"/>
  <c r="N10" i="3"/>
  <c r="N9" i="3"/>
  <c r="M9" i="3"/>
  <c r="L9" i="3"/>
  <c r="K9" i="3"/>
  <c r="J9" i="3"/>
  <c r="C78" i="2"/>
  <c r="D78" i="2"/>
  <c r="E78" i="2"/>
  <c r="F78" i="2"/>
  <c r="C79" i="2"/>
  <c r="D79" i="2"/>
  <c r="E79" i="2"/>
  <c r="F79" i="2"/>
  <c r="C80" i="2"/>
  <c r="D80" i="2"/>
  <c r="E80" i="2"/>
  <c r="F80" i="2"/>
  <c r="B80" i="2"/>
  <c r="B79" i="2"/>
  <c r="Q25" i="3"/>
  <c r="R25" i="3"/>
  <c r="S25" i="3"/>
  <c r="T25" i="3"/>
  <c r="U25" i="3"/>
  <c r="Q19" i="3"/>
  <c r="R19" i="3"/>
  <c r="S19" i="3"/>
  <c r="T19" i="3"/>
  <c r="U19" i="3"/>
  <c r="Q20" i="3"/>
  <c r="R20" i="3"/>
  <c r="S20" i="3"/>
  <c r="T20" i="3"/>
  <c r="U20" i="3"/>
  <c r="Q21" i="3"/>
  <c r="R21" i="3"/>
  <c r="S21" i="3"/>
  <c r="T21" i="3"/>
  <c r="U21" i="3"/>
  <c r="Q22" i="3"/>
  <c r="R22" i="3"/>
  <c r="S22" i="3"/>
  <c r="T22" i="3"/>
  <c r="U22" i="3"/>
  <c r="Q14" i="3"/>
  <c r="R14" i="3"/>
  <c r="S14" i="3"/>
  <c r="T14" i="3"/>
  <c r="U14" i="3"/>
  <c r="Q15" i="3"/>
  <c r="R15" i="3"/>
  <c r="S15" i="3"/>
  <c r="T15" i="3"/>
  <c r="U15" i="3"/>
  <c r="Q10" i="3"/>
  <c r="R10" i="3"/>
  <c r="S10" i="3"/>
  <c r="T10" i="3"/>
  <c r="U10" i="3"/>
  <c r="B78" i="2"/>
  <c r="R9" i="3"/>
  <c r="S9" i="3"/>
  <c r="T9" i="3"/>
  <c r="U9" i="3"/>
  <c r="Q9" i="3"/>
  <c r="C74" i="2"/>
  <c r="D74" i="2"/>
  <c r="E74" i="2"/>
  <c r="F74" i="2"/>
  <c r="C73" i="2"/>
  <c r="D73" i="2"/>
  <c r="E73" i="2"/>
  <c r="F73" i="2"/>
  <c r="C72" i="2"/>
  <c r="D72" i="2"/>
  <c r="E72" i="2"/>
  <c r="F72" i="2"/>
  <c r="B74" i="2"/>
  <c r="B72" i="2"/>
  <c r="B73" i="2"/>
  <c r="I68" i="1"/>
  <c r="I60" i="2"/>
  <c r="J60" i="2"/>
  <c r="K60" i="2"/>
  <c r="L60" i="2"/>
  <c r="M60" i="2"/>
  <c r="I68" i="2"/>
  <c r="J68" i="2"/>
  <c r="K68" i="2"/>
  <c r="L68" i="2"/>
  <c r="M68" i="2"/>
  <c r="C67" i="2"/>
  <c r="D67" i="2"/>
  <c r="E67" i="2"/>
  <c r="F67" i="2"/>
  <c r="B67" i="2"/>
  <c r="C66" i="2"/>
  <c r="D66" i="2"/>
  <c r="E66" i="2"/>
  <c r="F66" i="2"/>
  <c r="B66" i="2"/>
  <c r="C65" i="2"/>
  <c r="D65" i="2"/>
  <c r="E65" i="2"/>
  <c r="F65" i="2"/>
  <c r="B65" i="2"/>
  <c r="C64" i="2"/>
  <c r="D64" i="2"/>
  <c r="E64" i="2"/>
  <c r="F64" i="2"/>
  <c r="B64" i="2"/>
  <c r="C63" i="2"/>
  <c r="D63" i="2"/>
  <c r="E63" i="2"/>
  <c r="F63" i="2"/>
  <c r="B63" i="2"/>
  <c r="C62" i="2"/>
  <c r="D62" i="2"/>
  <c r="E62" i="2"/>
  <c r="F62" i="2"/>
  <c r="B62" i="2"/>
  <c r="C61" i="2"/>
  <c r="D61" i="2"/>
  <c r="E61" i="2"/>
  <c r="F61" i="2"/>
  <c r="B61" i="2"/>
  <c r="C59" i="2"/>
  <c r="D59" i="2"/>
  <c r="E59" i="2"/>
  <c r="F59" i="2"/>
  <c r="B59" i="2"/>
  <c r="C54" i="2"/>
  <c r="D54" i="2"/>
  <c r="E54" i="2"/>
  <c r="F54" i="2"/>
  <c r="B54" i="2"/>
  <c r="G16" i="3"/>
  <c r="D16" i="3"/>
  <c r="E16" i="3"/>
  <c r="F16" i="3"/>
  <c r="C16" i="3"/>
  <c r="D11" i="3"/>
  <c r="D114" i="3" s="1"/>
  <c r="E11" i="3"/>
  <c r="E114" i="3" s="1"/>
  <c r="F11" i="3"/>
  <c r="F114" i="3" s="1"/>
  <c r="G11" i="3"/>
  <c r="G114" i="3" s="1"/>
  <c r="C11" i="3"/>
  <c r="C114" i="3" s="1"/>
  <c r="C58" i="2"/>
  <c r="D58" i="2"/>
  <c r="E58" i="2"/>
  <c r="F58" i="2"/>
  <c r="B58" i="2"/>
  <c r="C57" i="2"/>
  <c r="C118" i="2" s="1"/>
  <c r="D57" i="2"/>
  <c r="D118" i="2" s="1"/>
  <c r="E57" i="2"/>
  <c r="E118" i="2" s="1"/>
  <c r="F57" i="2"/>
  <c r="F118" i="2" s="1"/>
  <c r="B57" i="2"/>
  <c r="B118" i="2" s="1"/>
  <c r="C56" i="2"/>
  <c r="D56" i="2"/>
  <c r="E56" i="2"/>
  <c r="F56" i="2"/>
  <c r="B56" i="2"/>
  <c r="C55" i="2"/>
  <c r="D55" i="2"/>
  <c r="E55" i="2"/>
  <c r="F55" i="2"/>
  <c r="B55" i="2"/>
  <c r="Q13" i="2"/>
  <c r="R13" i="2"/>
  <c r="S13" i="2"/>
  <c r="T13" i="2"/>
  <c r="Q14" i="2"/>
  <c r="R14" i="2"/>
  <c r="S14" i="2"/>
  <c r="T14" i="2"/>
  <c r="Q16" i="2"/>
  <c r="R16" i="2"/>
  <c r="S16" i="2"/>
  <c r="T16" i="2"/>
  <c r="Q17" i="2"/>
  <c r="R17" i="2"/>
  <c r="S17" i="2"/>
  <c r="T17" i="2"/>
  <c r="Q18" i="2"/>
  <c r="R18" i="2"/>
  <c r="S18" i="2"/>
  <c r="T18" i="2"/>
  <c r="Q19" i="2"/>
  <c r="R19" i="2"/>
  <c r="S19" i="2"/>
  <c r="T19" i="2"/>
  <c r="Q21" i="2"/>
  <c r="R21" i="2"/>
  <c r="S21" i="2"/>
  <c r="T21" i="2"/>
  <c r="Q22" i="2"/>
  <c r="R22" i="2"/>
  <c r="S22" i="2"/>
  <c r="T22" i="2"/>
  <c r="Q25" i="2"/>
  <c r="R25" i="2"/>
  <c r="S25" i="2"/>
  <c r="T25" i="2"/>
  <c r="P25" i="2"/>
  <c r="P22" i="2"/>
  <c r="P21" i="2"/>
  <c r="P19" i="2"/>
  <c r="P18" i="2"/>
  <c r="P17" i="2"/>
  <c r="P13" i="2"/>
  <c r="P14" i="2"/>
  <c r="P16" i="2"/>
  <c r="Q9" i="2"/>
  <c r="R9" i="2"/>
  <c r="S9" i="2"/>
  <c r="T9" i="2"/>
  <c r="Q12" i="2"/>
  <c r="R12" i="2"/>
  <c r="S12" i="2"/>
  <c r="T12" i="2"/>
  <c r="P12" i="2"/>
  <c r="P9" i="2"/>
  <c r="Q8" i="2"/>
  <c r="R8" i="2"/>
  <c r="S8" i="2"/>
  <c r="T8" i="2"/>
  <c r="P8" i="2"/>
  <c r="P11" i="1"/>
  <c r="P10" i="1"/>
  <c r="Q7" i="2"/>
  <c r="R7" i="2"/>
  <c r="S7" i="2"/>
  <c r="T7" i="2"/>
  <c r="P7" i="2"/>
  <c r="T9" i="1"/>
  <c r="S9" i="1"/>
  <c r="R9" i="1"/>
  <c r="Q9" i="1"/>
  <c r="P9" i="1"/>
  <c r="I14" i="2"/>
  <c r="J14" i="2"/>
  <c r="K14" i="2"/>
  <c r="L14" i="2"/>
  <c r="M14" i="2"/>
  <c r="I19" i="2"/>
  <c r="J19" i="2"/>
  <c r="K19" i="2"/>
  <c r="L19" i="2"/>
  <c r="M19" i="2"/>
  <c r="I17" i="2"/>
  <c r="J17" i="2"/>
  <c r="K17" i="2"/>
  <c r="L17" i="2"/>
  <c r="M17" i="2"/>
  <c r="I18" i="2"/>
  <c r="J18" i="2"/>
  <c r="K18" i="2"/>
  <c r="L18" i="2"/>
  <c r="M18" i="2"/>
  <c r="I21" i="2"/>
  <c r="J21" i="2"/>
  <c r="K21" i="2"/>
  <c r="L21" i="2"/>
  <c r="M21" i="2"/>
  <c r="I22" i="2"/>
  <c r="J22" i="2"/>
  <c r="K22" i="2"/>
  <c r="L22" i="2"/>
  <c r="M22" i="2"/>
  <c r="I25" i="2"/>
  <c r="J25" i="2"/>
  <c r="K25" i="2"/>
  <c r="L25" i="2"/>
  <c r="M25" i="2"/>
  <c r="J8" i="2"/>
  <c r="K8" i="2"/>
  <c r="L8" i="2"/>
  <c r="M8" i="2"/>
  <c r="J9" i="2"/>
  <c r="K9" i="2"/>
  <c r="L9" i="2"/>
  <c r="M9" i="2"/>
  <c r="J12" i="2"/>
  <c r="K12" i="2"/>
  <c r="L12" i="2"/>
  <c r="M12" i="2"/>
  <c r="J13" i="2"/>
  <c r="K13" i="2"/>
  <c r="L13" i="2"/>
  <c r="M13" i="2"/>
  <c r="M7" i="2"/>
  <c r="L7" i="2"/>
  <c r="K7" i="2"/>
  <c r="J7" i="2"/>
  <c r="I8" i="2"/>
  <c r="I9" i="2"/>
  <c r="I12" i="2"/>
  <c r="I13" i="2"/>
  <c r="I7" i="2"/>
  <c r="D23" i="2"/>
  <c r="C23" i="2"/>
  <c r="E23" i="2"/>
  <c r="F23" i="2"/>
  <c r="B23" i="2"/>
  <c r="Q86" i="1"/>
  <c r="R86" i="1"/>
  <c r="S86" i="1"/>
  <c r="T86" i="1"/>
  <c r="P86" i="1"/>
  <c r="Q85" i="1"/>
  <c r="R85" i="1"/>
  <c r="S85" i="1"/>
  <c r="T85" i="1"/>
  <c r="P85" i="1"/>
  <c r="Q84" i="1"/>
  <c r="R84" i="1"/>
  <c r="S84" i="1"/>
  <c r="T84" i="1"/>
  <c r="P84" i="1"/>
  <c r="Q83" i="1"/>
  <c r="R83" i="1"/>
  <c r="S83" i="1"/>
  <c r="T83" i="1"/>
  <c r="P83" i="1"/>
  <c r="Q82" i="1"/>
  <c r="R82" i="1"/>
  <c r="S82" i="1"/>
  <c r="T82" i="1"/>
  <c r="P82" i="1"/>
  <c r="Q81" i="1"/>
  <c r="R81" i="1"/>
  <c r="S81" i="1"/>
  <c r="T81" i="1"/>
  <c r="P81" i="1"/>
  <c r="Q80" i="1"/>
  <c r="R80" i="1"/>
  <c r="S80" i="1"/>
  <c r="T80" i="1"/>
  <c r="P80" i="1"/>
  <c r="Q78" i="1"/>
  <c r="R78" i="1"/>
  <c r="S78" i="1"/>
  <c r="T78" i="1"/>
  <c r="P78" i="1"/>
  <c r="Q76" i="1"/>
  <c r="R76" i="1"/>
  <c r="S76" i="1"/>
  <c r="T76" i="1"/>
  <c r="P76" i="1"/>
  <c r="Q75" i="1"/>
  <c r="R75" i="1"/>
  <c r="S75" i="1"/>
  <c r="T75" i="1"/>
  <c r="P75" i="1"/>
  <c r="Q74" i="1"/>
  <c r="R74" i="1"/>
  <c r="S74" i="1"/>
  <c r="T74" i="1"/>
  <c r="P74" i="1"/>
  <c r="Q73" i="1"/>
  <c r="R73" i="1"/>
  <c r="S73" i="1"/>
  <c r="T73" i="1"/>
  <c r="P73" i="1"/>
  <c r="Q72" i="1"/>
  <c r="R72" i="1"/>
  <c r="S72" i="1"/>
  <c r="T72" i="1"/>
  <c r="P72" i="1"/>
  <c r="Q71" i="1"/>
  <c r="R71" i="1"/>
  <c r="S71" i="1"/>
  <c r="T71" i="1"/>
  <c r="P71" i="1"/>
  <c r="Q70" i="1"/>
  <c r="R70" i="1"/>
  <c r="S70" i="1"/>
  <c r="T70" i="1"/>
  <c r="P70" i="1"/>
  <c r="Q69" i="1"/>
  <c r="R69" i="1"/>
  <c r="S69" i="1"/>
  <c r="T69" i="1"/>
  <c r="P69" i="1"/>
  <c r="Q68" i="1"/>
  <c r="R68" i="1"/>
  <c r="S68" i="1"/>
  <c r="T68" i="1"/>
  <c r="P68" i="1"/>
  <c r="Q64" i="1"/>
  <c r="R64" i="1"/>
  <c r="S64" i="1"/>
  <c r="T64" i="1"/>
  <c r="P64" i="1"/>
  <c r="Q63" i="1"/>
  <c r="R63" i="1"/>
  <c r="S63" i="1"/>
  <c r="T63" i="1"/>
  <c r="Q62" i="1"/>
  <c r="R62" i="1"/>
  <c r="S62" i="1"/>
  <c r="T62" i="1"/>
  <c r="P63" i="1"/>
  <c r="P62" i="1"/>
  <c r="Q61" i="1"/>
  <c r="R61" i="1"/>
  <c r="S61" i="1"/>
  <c r="T61" i="1"/>
  <c r="P61" i="1"/>
  <c r="Q60" i="1"/>
  <c r="R60" i="1"/>
  <c r="S60" i="1"/>
  <c r="T60" i="1"/>
  <c r="P60" i="1"/>
  <c r="Q59" i="1"/>
  <c r="R59" i="1"/>
  <c r="S59" i="1"/>
  <c r="T59" i="1"/>
  <c r="P59" i="1"/>
  <c r="Q58" i="1"/>
  <c r="R58" i="1"/>
  <c r="S58" i="1"/>
  <c r="T58" i="1"/>
  <c r="P58" i="1"/>
  <c r="Q57" i="1"/>
  <c r="R57" i="1"/>
  <c r="S57" i="1"/>
  <c r="T57" i="1"/>
  <c r="P57" i="1"/>
  <c r="Q56" i="1"/>
  <c r="R56" i="1"/>
  <c r="S56" i="1"/>
  <c r="T56" i="1"/>
  <c r="P56" i="1"/>
  <c r="Q55" i="1"/>
  <c r="R55" i="1"/>
  <c r="S55" i="1"/>
  <c r="T55" i="1"/>
  <c r="P55" i="1"/>
  <c r="Q54" i="1"/>
  <c r="R54" i="1"/>
  <c r="S54" i="1"/>
  <c r="T54" i="1"/>
  <c r="P54" i="1"/>
  <c r="Q53" i="1"/>
  <c r="R53" i="1"/>
  <c r="S53" i="1"/>
  <c r="T53" i="1"/>
  <c r="P53" i="1"/>
  <c r="Q52" i="1"/>
  <c r="R52" i="1"/>
  <c r="S52" i="1"/>
  <c r="T52" i="1"/>
  <c r="P52" i="1"/>
  <c r="S51" i="1"/>
  <c r="T51" i="1"/>
  <c r="Q22" i="1"/>
  <c r="R22" i="1"/>
  <c r="S22" i="1"/>
  <c r="T22" i="1"/>
  <c r="P22" i="1"/>
  <c r="Q19" i="1"/>
  <c r="R19" i="1"/>
  <c r="S19" i="1"/>
  <c r="T19" i="1"/>
  <c r="P19" i="1"/>
  <c r="Q17" i="1"/>
  <c r="R17" i="1"/>
  <c r="S17" i="1"/>
  <c r="T17" i="1"/>
  <c r="P17" i="1"/>
  <c r="Q16" i="1"/>
  <c r="R16" i="1"/>
  <c r="S16" i="1"/>
  <c r="T16" i="1"/>
  <c r="P16" i="1"/>
  <c r="Q14" i="1"/>
  <c r="R14" i="1"/>
  <c r="S14" i="1"/>
  <c r="T14" i="1"/>
  <c r="P14" i="1"/>
  <c r="Q13" i="1"/>
  <c r="R13" i="1"/>
  <c r="S13" i="1"/>
  <c r="T13" i="1"/>
  <c r="P13" i="1"/>
  <c r="Q11" i="1"/>
  <c r="R11" i="1"/>
  <c r="S11" i="1"/>
  <c r="T11" i="1"/>
  <c r="Q10" i="1"/>
  <c r="R10" i="1"/>
  <c r="S10" i="1"/>
  <c r="T10" i="1"/>
  <c r="D110" i="11"/>
  <c r="E110" i="11"/>
  <c r="F110" i="11"/>
  <c r="G110" i="11"/>
  <c r="C110" i="11"/>
  <c r="D95" i="11"/>
  <c r="C95" i="11"/>
  <c r="A57" i="5"/>
  <c r="B45" i="3"/>
  <c r="A44" i="1"/>
  <c r="G205" i="6" l="1"/>
  <c r="D180" i="6"/>
  <c r="C130" i="2" s="1"/>
  <c r="C180" i="6"/>
  <c r="B130" i="2" s="1"/>
  <c r="G183" i="6"/>
  <c r="F208" i="6"/>
  <c r="E183" i="6"/>
  <c r="D208" i="6"/>
  <c r="D201" i="6"/>
  <c r="D123" i="14" s="1"/>
  <c r="C183" i="6"/>
  <c r="C112" i="13"/>
  <c r="C107" i="14"/>
  <c r="E107" i="14"/>
  <c r="D109" i="14"/>
  <c r="G107" i="14"/>
  <c r="E109" i="14"/>
  <c r="F109" i="14"/>
  <c r="G109" i="14"/>
  <c r="R86" i="14"/>
  <c r="S86" i="14"/>
  <c r="T86" i="14"/>
  <c r="U86" i="14"/>
  <c r="G88" i="14"/>
  <c r="G89" i="14" s="1"/>
  <c r="F88" i="14"/>
  <c r="D88" i="14"/>
  <c r="E88" i="14"/>
  <c r="E89" i="14" s="1"/>
  <c r="R75" i="14"/>
  <c r="F89" i="14"/>
  <c r="D79" i="14"/>
  <c r="S75" i="14"/>
  <c r="T75" i="14"/>
  <c r="U75" i="14"/>
  <c r="C59" i="14"/>
  <c r="Q59" i="14" s="1"/>
  <c r="R22" i="14"/>
  <c r="K22" i="14"/>
  <c r="Q22" i="14"/>
  <c r="S22" i="14"/>
  <c r="D18" i="14"/>
  <c r="N16" i="14"/>
  <c r="R16" i="14"/>
  <c r="S16" i="14"/>
  <c r="T16" i="14"/>
  <c r="K11" i="14"/>
  <c r="F123" i="13"/>
  <c r="C108" i="13"/>
  <c r="G109" i="13"/>
  <c r="G123" i="13"/>
  <c r="D108" i="13"/>
  <c r="E108" i="13"/>
  <c r="C110" i="13"/>
  <c r="F108" i="13"/>
  <c r="D110" i="13"/>
  <c r="G108" i="13"/>
  <c r="E110" i="13"/>
  <c r="F110" i="13"/>
  <c r="C109" i="13"/>
  <c r="G110" i="13"/>
  <c r="C123" i="13"/>
  <c r="D123" i="13"/>
  <c r="E123" i="13"/>
  <c r="R87" i="13"/>
  <c r="S87" i="13"/>
  <c r="T87" i="13"/>
  <c r="U87" i="13"/>
  <c r="D89" i="13"/>
  <c r="E89" i="13"/>
  <c r="F89" i="13"/>
  <c r="G89" i="13"/>
  <c r="G90" i="13" s="1"/>
  <c r="R75" i="13"/>
  <c r="S75" i="13"/>
  <c r="T75" i="13"/>
  <c r="U75" i="13"/>
  <c r="D79" i="13"/>
  <c r="E79" i="13"/>
  <c r="F79" i="13"/>
  <c r="C59" i="13"/>
  <c r="Q59" i="13" s="1"/>
  <c r="S16" i="13"/>
  <c r="T16" i="13"/>
  <c r="C18" i="13"/>
  <c r="M16" i="13"/>
  <c r="D18" i="13"/>
  <c r="D24" i="13" s="1"/>
  <c r="U16" i="13"/>
  <c r="L16" i="13"/>
  <c r="J11" i="13"/>
  <c r="K11" i="13"/>
  <c r="R59" i="14"/>
  <c r="D67" i="14"/>
  <c r="S59" i="14"/>
  <c r="E67" i="14"/>
  <c r="L54" i="14" s="1"/>
  <c r="L59" i="14"/>
  <c r="T59" i="14"/>
  <c r="F67" i="14"/>
  <c r="M59" i="14" s="1"/>
  <c r="Q18" i="14"/>
  <c r="C24" i="14"/>
  <c r="J18" i="14"/>
  <c r="U59" i="14"/>
  <c r="G67" i="14"/>
  <c r="D24" i="14"/>
  <c r="K18" i="14"/>
  <c r="R18" i="14"/>
  <c r="R11" i="14"/>
  <c r="K16" i="14"/>
  <c r="C67" i="14"/>
  <c r="J59" i="14" s="1"/>
  <c r="C79" i="14"/>
  <c r="C88" i="14"/>
  <c r="S11" i="14"/>
  <c r="E18" i="14"/>
  <c r="R54" i="14"/>
  <c r="T11" i="14"/>
  <c r="F18" i="14"/>
  <c r="S54" i="14"/>
  <c r="U11" i="14"/>
  <c r="G18" i="14"/>
  <c r="T54" i="14"/>
  <c r="Q16" i="14"/>
  <c r="U54" i="14"/>
  <c r="Q11" i="14"/>
  <c r="D67" i="13"/>
  <c r="E67" i="13"/>
  <c r="L59" i="13" s="1"/>
  <c r="T59" i="13"/>
  <c r="F67" i="13"/>
  <c r="M59" i="13" s="1"/>
  <c r="Q18" i="13"/>
  <c r="C24" i="13"/>
  <c r="J18" i="13"/>
  <c r="G67" i="13"/>
  <c r="R11" i="13"/>
  <c r="K16" i="13"/>
  <c r="C79" i="13"/>
  <c r="U79" i="13" s="1"/>
  <c r="C89" i="13"/>
  <c r="S11" i="13"/>
  <c r="E18" i="13"/>
  <c r="R54" i="13"/>
  <c r="T11" i="13"/>
  <c r="F18" i="13"/>
  <c r="S54" i="13"/>
  <c r="U11" i="13"/>
  <c r="G18" i="13"/>
  <c r="T54" i="13"/>
  <c r="Q16" i="13"/>
  <c r="U54" i="13"/>
  <c r="Q11" i="13"/>
  <c r="T88" i="11"/>
  <c r="U88" i="11"/>
  <c r="S88" i="11"/>
  <c r="R88" i="11"/>
  <c r="S16" i="11"/>
  <c r="T16" i="11"/>
  <c r="U16" i="11"/>
  <c r="C18" i="11"/>
  <c r="Q18" i="11" s="1"/>
  <c r="U54" i="11"/>
  <c r="R54" i="11"/>
  <c r="G59" i="11"/>
  <c r="G67" i="11" s="1"/>
  <c r="N59" i="11" s="1"/>
  <c r="R16" i="11"/>
  <c r="J16" i="11"/>
  <c r="E18" i="11"/>
  <c r="C90" i="11"/>
  <c r="Q90" i="11" s="1"/>
  <c r="C81" i="11"/>
  <c r="C91" i="11" s="1"/>
  <c r="Q91" i="11" s="1"/>
  <c r="R76" i="11"/>
  <c r="S76" i="11"/>
  <c r="T76" i="11"/>
  <c r="U76" i="11"/>
  <c r="D59" i="11"/>
  <c r="D67" i="11" s="1"/>
  <c r="K88" i="11" s="1"/>
  <c r="S54" i="11"/>
  <c r="F18" i="11"/>
  <c r="T18" i="11" s="1"/>
  <c r="L11" i="11"/>
  <c r="M11" i="11"/>
  <c r="E24" i="11"/>
  <c r="L18" i="11"/>
  <c r="F67" i="11"/>
  <c r="M59" i="11" s="1"/>
  <c r="R11" i="11"/>
  <c r="D18" i="11"/>
  <c r="S11" i="11"/>
  <c r="L16" i="11"/>
  <c r="D81" i="11"/>
  <c r="D90" i="11"/>
  <c r="Q54" i="11"/>
  <c r="T11" i="11"/>
  <c r="M16" i="11"/>
  <c r="E67" i="11"/>
  <c r="L76" i="11" s="1"/>
  <c r="E81" i="11"/>
  <c r="E90" i="11"/>
  <c r="U11" i="11"/>
  <c r="N16" i="11"/>
  <c r="G18" i="11"/>
  <c r="T54" i="11"/>
  <c r="F81" i="11"/>
  <c r="F90" i="11"/>
  <c r="J11" i="11"/>
  <c r="G81" i="11"/>
  <c r="G90" i="11"/>
  <c r="C59" i="11"/>
  <c r="Q11" i="11"/>
  <c r="D135" i="2"/>
  <c r="C135" i="2"/>
  <c r="F135" i="2"/>
  <c r="B135" i="2"/>
  <c r="E108" i="2"/>
  <c r="D108" i="2"/>
  <c r="E135" i="2"/>
  <c r="B108" i="2"/>
  <c r="F108" i="2"/>
  <c r="C108" i="2"/>
  <c r="S21" i="1"/>
  <c r="T21" i="1"/>
  <c r="Q21" i="1"/>
  <c r="R21" i="1"/>
  <c r="P21" i="1"/>
  <c r="C110" i="14"/>
  <c r="E111" i="14"/>
  <c r="G111" i="14"/>
  <c r="D108" i="14"/>
  <c r="F108" i="14"/>
  <c r="C124" i="3"/>
  <c r="G124" i="3"/>
  <c r="D124" i="3"/>
  <c r="B121" i="2"/>
  <c r="B120" i="2"/>
  <c r="F121" i="2"/>
  <c r="F120" i="2"/>
  <c r="E121" i="2"/>
  <c r="E120" i="2"/>
  <c r="D121" i="2"/>
  <c r="D120" i="2"/>
  <c r="C121" i="2"/>
  <c r="C120" i="2"/>
  <c r="B134" i="2"/>
  <c r="B133" i="2"/>
  <c r="F134" i="2"/>
  <c r="F133" i="2"/>
  <c r="E134" i="2"/>
  <c r="E133" i="2"/>
  <c r="D134" i="2"/>
  <c r="D133" i="2"/>
  <c r="C134" i="2"/>
  <c r="C133" i="2"/>
  <c r="C125" i="13"/>
  <c r="C120" i="13"/>
  <c r="G125" i="13"/>
  <c r="G120" i="13"/>
  <c r="F125" i="13"/>
  <c r="F120" i="13"/>
  <c r="E125" i="13"/>
  <c r="E120" i="13"/>
  <c r="D125" i="13"/>
  <c r="D120" i="13"/>
  <c r="F112" i="13"/>
  <c r="E112" i="13"/>
  <c r="D112" i="13"/>
  <c r="C124" i="14"/>
  <c r="C119" i="14"/>
  <c r="G124" i="14"/>
  <c r="G119" i="14"/>
  <c r="F124" i="14"/>
  <c r="F119" i="14"/>
  <c r="E124" i="14"/>
  <c r="E119" i="14"/>
  <c r="D124" i="14"/>
  <c r="D119" i="14"/>
  <c r="C112" i="11"/>
  <c r="G112" i="11"/>
  <c r="F112" i="11"/>
  <c r="E112" i="11"/>
  <c r="D112" i="11"/>
  <c r="G124" i="11"/>
  <c r="F20" i="1"/>
  <c r="F124" i="11"/>
  <c r="E20" i="1"/>
  <c r="E124" i="11"/>
  <c r="D20" i="1"/>
  <c r="D124" i="11"/>
  <c r="C20" i="1"/>
  <c r="C124" i="11"/>
  <c r="B20" i="1"/>
  <c r="G107" i="3"/>
  <c r="F107" i="3"/>
  <c r="E107" i="3"/>
  <c r="D107" i="3"/>
  <c r="C110" i="3"/>
  <c r="C109" i="3"/>
  <c r="G110" i="3"/>
  <c r="G109" i="3"/>
  <c r="F110" i="3"/>
  <c r="F109" i="3"/>
  <c r="E110" i="3"/>
  <c r="E109" i="3"/>
  <c r="D110" i="3"/>
  <c r="D109" i="3"/>
  <c r="C79" i="3"/>
  <c r="Q75" i="3"/>
  <c r="E79" i="3"/>
  <c r="S75" i="3"/>
  <c r="D79" i="3"/>
  <c r="R75" i="3"/>
  <c r="C88" i="3"/>
  <c r="Q86" i="3"/>
  <c r="G88" i="3"/>
  <c r="G89" i="3" s="1"/>
  <c r="U86" i="3"/>
  <c r="F88" i="3"/>
  <c r="T86" i="3"/>
  <c r="E88" i="3"/>
  <c r="E89" i="3" s="1"/>
  <c r="S86" i="3"/>
  <c r="D88" i="3"/>
  <c r="D89" i="3" s="1"/>
  <c r="R86" i="3"/>
  <c r="G79" i="3"/>
  <c r="U75" i="3"/>
  <c r="F79" i="3"/>
  <c r="T75" i="3"/>
  <c r="C59" i="3"/>
  <c r="C97" i="3" s="1"/>
  <c r="Q54" i="3"/>
  <c r="G59" i="3"/>
  <c r="U54" i="3"/>
  <c r="F59" i="3"/>
  <c r="T54" i="3"/>
  <c r="E59" i="3"/>
  <c r="S54" i="3"/>
  <c r="D59" i="3"/>
  <c r="R54" i="3"/>
  <c r="C89" i="3"/>
  <c r="I55" i="2"/>
  <c r="P55" i="2"/>
  <c r="M55" i="2"/>
  <c r="T55" i="2"/>
  <c r="L55" i="2"/>
  <c r="S55" i="2"/>
  <c r="K55" i="2"/>
  <c r="R55" i="2"/>
  <c r="J55" i="2"/>
  <c r="Q55" i="2"/>
  <c r="I56" i="2"/>
  <c r="P56" i="2"/>
  <c r="M56" i="2"/>
  <c r="T56" i="2"/>
  <c r="L56" i="2"/>
  <c r="S56" i="2"/>
  <c r="K56" i="2"/>
  <c r="R56" i="2"/>
  <c r="J56" i="2"/>
  <c r="Q56" i="2"/>
  <c r="I57" i="2"/>
  <c r="P57" i="2"/>
  <c r="M57" i="2"/>
  <c r="T57" i="2"/>
  <c r="L57" i="2"/>
  <c r="S57" i="2"/>
  <c r="K57" i="2"/>
  <c r="R57" i="2"/>
  <c r="J57" i="2"/>
  <c r="Q57" i="2"/>
  <c r="I58" i="2"/>
  <c r="P58" i="2"/>
  <c r="M58" i="2"/>
  <c r="T58" i="2"/>
  <c r="L58" i="2"/>
  <c r="S58" i="2"/>
  <c r="K58" i="2"/>
  <c r="R58" i="2"/>
  <c r="J58" i="2"/>
  <c r="Q58" i="2"/>
  <c r="I54" i="2"/>
  <c r="P54" i="2"/>
  <c r="M54" i="2"/>
  <c r="T54" i="2"/>
  <c r="L54" i="2"/>
  <c r="S54" i="2"/>
  <c r="K54" i="2"/>
  <c r="R54" i="2"/>
  <c r="J54" i="2"/>
  <c r="Q54" i="2"/>
  <c r="I59" i="2"/>
  <c r="P59" i="2"/>
  <c r="M59" i="2"/>
  <c r="T59" i="2"/>
  <c r="L59" i="2"/>
  <c r="S59" i="2"/>
  <c r="K59" i="2"/>
  <c r="R59" i="2"/>
  <c r="J59" i="2"/>
  <c r="Q59" i="2"/>
  <c r="I61" i="2"/>
  <c r="P61" i="2"/>
  <c r="M61" i="2"/>
  <c r="T61" i="2"/>
  <c r="L61" i="2"/>
  <c r="S61" i="2"/>
  <c r="K61" i="2"/>
  <c r="R61" i="2"/>
  <c r="J61" i="2"/>
  <c r="Q61" i="2"/>
  <c r="I62" i="2"/>
  <c r="P62" i="2"/>
  <c r="M62" i="2"/>
  <c r="T62" i="2"/>
  <c r="L62" i="2"/>
  <c r="S62" i="2"/>
  <c r="K62" i="2"/>
  <c r="R62" i="2"/>
  <c r="J62" i="2"/>
  <c r="Q62" i="2"/>
  <c r="I63" i="2"/>
  <c r="P63" i="2"/>
  <c r="M63" i="2"/>
  <c r="T63" i="2"/>
  <c r="L63" i="2"/>
  <c r="S63" i="2"/>
  <c r="K63" i="2"/>
  <c r="R63" i="2"/>
  <c r="J63" i="2"/>
  <c r="Q63" i="2"/>
  <c r="I64" i="2"/>
  <c r="P64" i="2"/>
  <c r="M64" i="2"/>
  <c r="T64" i="2"/>
  <c r="L64" i="2"/>
  <c r="S64" i="2"/>
  <c r="K64" i="2"/>
  <c r="R64" i="2"/>
  <c r="J64" i="2"/>
  <c r="Q64" i="2"/>
  <c r="I65" i="2"/>
  <c r="P65" i="2"/>
  <c r="M65" i="2"/>
  <c r="T65" i="2"/>
  <c r="L65" i="2"/>
  <c r="S65" i="2"/>
  <c r="K65" i="2"/>
  <c r="R65" i="2"/>
  <c r="J65" i="2"/>
  <c r="Q65" i="2"/>
  <c r="I66" i="2"/>
  <c r="P66" i="2"/>
  <c r="M66" i="2"/>
  <c r="T66" i="2"/>
  <c r="L66" i="2"/>
  <c r="S66" i="2"/>
  <c r="K66" i="2"/>
  <c r="R66" i="2"/>
  <c r="J66" i="2"/>
  <c r="Q66" i="2"/>
  <c r="I67" i="2"/>
  <c r="P67" i="2"/>
  <c r="M67" i="2"/>
  <c r="T67" i="2"/>
  <c r="L67" i="2"/>
  <c r="S67" i="2"/>
  <c r="K67" i="2"/>
  <c r="R67" i="2"/>
  <c r="J67" i="2"/>
  <c r="Q67" i="2"/>
  <c r="P73" i="2"/>
  <c r="I73" i="2"/>
  <c r="P72" i="2"/>
  <c r="I72" i="2"/>
  <c r="P74" i="2"/>
  <c r="I74" i="2"/>
  <c r="F77" i="2"/>
  <c r="T72" i="2"/>
  <c r="M72" i="2"/>
  <c r="E77" i="2"/>
  <c r="S72" i="2"/>
  <c r="L72" i="2"/>
  <c r="D77" i="2"/>
  <c r="R72" i="2"/>
  <c r="K72" i="2"/>
  <c r="C77" i="2"/>
  <c r="Q72" i="2"/>
  <c r="J72" i="2"/>
  <c r="T73" i="2"/>
  <c r="M73" i="2"/>
  <c r="S73" i="2"/>
  <c r="L73" i="2"/>
  <c r="R73" i="2"/>
  <c r="K73" i="2"/>
  <c r="Q73" i="2"/>
  <c r="J73" i="2"/>
  <c r="T74" i="2"/>
  <c r="M74" i="2"/>
  <c r="S74" i="2"/>
  <c r="L74" i="2"/>
  <c r="R74" i="2"/>
  <c r="K74" i="2"/>
  <c r="Q74" i="2"/>
  <c r="J74" i="2"/>
  <c r="B81" i="2"/>
  <c r="B111" i="2" s="1"/>
  <c r="P78" i="2"/>
  <c r="I78" i="2"/>
  <c r="P79" i="2"/>
  <c r="I79" i="2"/>
  <c r="P80" i="2"/>
  <c r="I80" i="2"/>
  <c r="T80" i="2"/>
  <c r="M80" i="2"/>
  <c r="S80" i="2"/>
  <c r="L80" i="2"/>
  <c r="R80" i="2"/>
  <c r="K80" i="2"/>
  <c r="Q80" i="2"/>
  <c r="J80" i="2"/>
  <c r="T79" i="2"/>
  <c r="M79" i="2"/>
  <c r="S79" i="2"/>
  <c r="L79" i="2"/>
  <c r="R79" i="2"/>
  <c r="K79" i="2"/>
  <c r="Q79" i="2"/>
  <c r="J79" i="2"/>
  <c r="T78" i="2"/>
  <c r="M78" i="2"/>
  <c r="S78" i="2"/>
  <c r="L78" i="2"/>
  <c r="R78" i="2"/>
  <c r="K78" i="2"/>
  <c r="Q78" i="2"/>
  <c r="J78" i="2"/>
  <c r="P83" i="2"/>
  <c r="I83" i="2"/>
  <c r="T83" i="2"/>
  <c r="M83" i="2"/>
  <c r="S83" i="2"/>
  <c r="L83" i="2"/>
  <c r="R83" i="2"/>
  <c r="K83" i="2"/>
  <c r="Q83" i="2"/>
  <c r="J83" i="2"/>
  <c r="P84" i="2"/>
  <c r="I84" i="2"/>
  <c r="T84" i="2"/>
  <c r="M84" i="2"/>
  <c r="S84" i="2"/>
  <c r="L84" i="2"/>
  <c r="R84" i="2"/>
  <c r="K84" i="2"/>
  <c r="Q84" i="2"/>
  <c r="J84" i="2"/>
  <c r="T87" i="2"/>
  <c r="M87" i="2"/>
  <c r="S87" i="2"/>
  <c r="L87" i="2"/>
  <c r="R87" i="2"/>
  <c r="K87" i="2"/>
  <c r="Q87" i="2"/>
  <c r="J87" i="2"/>
  <c r="P88" i="2"/>
  <c r="I88" i="2"/>
  <c r="T88" i="2"/>
  <c r="M88" i="2"/>
  <c r="S88" i="2"/>
  <c r="L88" i="2"/>
  <c r="R88" i="2"/>
  <c r="K88" i="2"/>
  <c r="Q88" i="2"/>
  <c r="J88" i="2"/>
  <c r="P86" i="2"/>
  <c r="I86" i="2"/>
  <c r="T86" i="2"/>
  <c r="M86" i="2"/>
  <c r="S86" i="2"/>
  <c r="L86" i="2"/>
  <c r="R86" i="2"/>
  <c r="K86" i="2"/>
  <c r="Q86" i="2"/>
  <c r="J86" i="2"/>
  <c r="P87" i="2"/>
  <c r="I87" i="2"/>
  <c r="P89" i="2"/>
  <c r="I89" i="2"/>
  <c r="P90" i="2"/>
  <c r="I90" i="2"/>
  <c r="P91" i="2"/>
  <c r="I91" i="2"/>
  <c r="P92" i="2"/>
  <c r="I92" i="2"/>
  <c r="B94" i="2"/>
  <c r="P93" i="2"/>
  <c r="I93" i="2"/>
  <c r="T93" i="2"/>
  <c r="M93" i="2"/>
  <c r="S93" i="2"/>
  <c r="L93" i="2"/>
  <c r="R93" i="2"/>
  <c r="K93" i="2"/>
  <c r="Q93" i="2"/>
  <c r="J93" i="2"/>
  <c r="T92" i="2"/>
  <c r="M92" i="2"/>
  <c r="F94" i="2"/>
  <c r="S92" i="2"/>
  <c r="L92" i="2"/>
  <c r="E94" i="2"/>
  <c r="R92" i="2"/>
  <c r="K92" i="2"/>
  <c r="D94" i="2"/>
  <c r="Q92" i="2"/>
  <c r="J92" i="2"/>
  <c r="C94" i="2"/>
  <c r="T91" i="2"/>
  <c r="M91" i="2"/>
  <c r="S91" i="2"/>
  <c r="L91" i="2"/>
  <c r="R91" i="2"/>
  <c r="K91" i="2"/>
  <c r="Q91" i="2"/>
  <c r="J91" i="2"/>
  <c r="T90" i="2"/>
  <c r="M90" i="2"/>
  <c r="S90" i="2"/>
  <c r="L90" i="2"/>
  <c r="R90" i="2"/>
  <c r="K90" i="2"/>
  <c r="Q90" i="2"/>
  <c r="J90" i="2"/>
  <c r="T89" i="2"/>
  <c r="M89" i="2"/>
  <c r="S89" i="2"/>
  <c r="L89" i="2"/>
  <c r="R89" i="2"/>
  <c r="K89" i="2"/>
  <c r="Q89" i="2"/>
  <c r="J89" i="2"/>
  <c r="C18" i="3"/>
  <c r="C115" i="3" s="1"/>
  <c r="J11" i="3"/>
  <c r="Q11" i="3"/>
  <c r="G18" i="3"/>
  <c r="G115" i="3" s="1"/>
  <c r="N11" i="3"/>
  <c r="U11" i="3"/>
  <c r="F18" i="3"/>
  <c r="F115" i="3" s="1"/>
  <c r="M11" i="3"/>
  <c r="T11" i="3"/>
  <c r="E18" i="3"/>
  <c r="E115" i="3" s="1"/>
  <c r="L11" i="3"/>
  <c r="S11" i="3"/>
  <c r="D18" i="3"/>
  <c r="D115" i="3" s="1"/>
  <c r="K11" i="3"/>
  <c r="R11" i="3"/>
  <c r="J16" i="3"/>
  <c r="Q16" i="3"/>
  <c r="M16" i="3"/>
  <c r="T16" i="3"/>
  <c r="L16" i="3"/>
  <c r="S16" i="3"/>
  <c r="K16" i="3"/>
  <c r="R16" i="3"/>
  <c r="N16" i="3"/>
  <c r="U16" i="3"/>
  <c r="F81" i="2"/>
  <c r="E81" i="2"/>
  <c r="D81" i="2"/>
  <c r="D111" i="2" s="1"/>
  <c r="C81" i="2"/>
  <c r="B77" i="2"/>
  <c r="J82" i="1"/>
  <c r="J81" i="1"/>
  <c r="J85" i="1"/>
  <c r="J84" i="1"/>
  <c r="J83" i="1"/>
  <c r="K82" i="1"/>
  <c r="K83" i="1"/>
  <c r="K84" i="1"/>
  <c r="K85" i="1"/>
  <c r="K81" i="1"/>
  <c r="L85" i="1"/>
  <c r="L81" i="1"/>
  <c r="L84" i="1"/>
  <c r="L83" i="1"/>
  <c r="L82" i="1"/>
  <c r="M83" i="1"/>
  <c r="M84" i="1"/>
  <c r="M85" i="1"/>
  <c r="M81" i="1"/>
  <c r="M82" i="1"/>
  <c r="I83" i="1"/>
  <c r="I82" i="1"/>
  <c r="I84" i="1"/>
  <c r="I85" i="1"/>
  <c r="I81" i="1"/>
  <c r="M74" i="1"/>
  <c r="J74" i="1"/>
  <c r="K74" i="1"/>
  <c r="L74" i="1"/>
  <c r="M69" i="1"/>
  <c r="M10" i="1"/>
  <c r="K15" i="1"/>
  <c r="K18" i="1"/>
  <c r="K19" i="1"/>
  <c r="L19" i="1"/>
  <c r="M19" i="1"/>
  <c r="J17" i="1"/>
  <c r="K17" i="1"/>
  <c r="L17" i="1"/>
  <c r="I17" i="1"/>
  <c r="K14" i="1"/>
  <c r="L14" i="1"/>
  <c r="M14" i="1"/>
  <c r="I14" i="1"/>
  <c r="J10" i="1"/>
  <c r="K10" i="1"/>
  <c r="L10" i="1"/>
  <c r="I10" i="1"/>
  <c r="I19" i="1"/>
  <c r="J14" i="1"/>
  <c r="K9" i="1"/>
  <c r="J19" i="1"/>
  <c r="M17" i="1"/>
  <c r="J18" i="1"/>
  <c r="J15" i="1"/>
  <c r="J9" i="1"/>
  <c r="L15" i="1"/>
  <c r="L9" i="1"/>
  <c r="L18" i="1"/>
  <c r="M18" i="1"/>
  <c r="M9" i="1"/>
  <c r="M15" i="1"/>
  <c r="I18" i="1"/>
  <c r="I9" i="1"/>
  <c r="I15" i="1"/>
  <c r="D113" i="11" l="1"/>
  <c r="C111" i="14"/>
  <c r="S88" i="14"/>
  <c r="K88" i="14"/>
  <c r="S79" i="14"/>
  <c r="U79" i="14"/>
  <c r="D89" i="14"/>
  <c r="N89" i="14"/>
  <c r="J86" i="14"/>
  <c r="N59" i="14"/>
  <c r="J75" i="14"/>
  <c r="K59" i="14"/>
  <c r="N54" i="14"/>
  <c r="M89" i="14"/>
  <c r="N88" i="14"/>
  <c r="K54" i="14"/>
  <c r="N59" i="13"/>
  <c r="S89" i="13"/>
  <c r="C67" i="13"/>
  <c r="J59" i="13" s="1"/>
  <c r="R59" i="13"/>
  <c r="S59" i="13"/>
  <c r="U59" i="13"/>
  <c r="K89" i="13"/>
  <c r="D90" i="13"/>
  <c r="K90" i="13" s="1"/>
  <c r="E90" i="13"/>
  <c r="L90" i="13" s="1"/>
  <c r="F90" i="13"/>
  <c r="M90" i="13" s="1"/>
  <c r="S79" i="13"/>
  <c r="J87" i="13"/>
  <c r="J75" i="13"/>
  <c r="L79" i="13"/>
  <c r="L54" i="13"/>
  <c r="K59" i="13"/>
  <c r="M79" i="13"/>
  <c r="N54" i="13"/>
  <c r="K54" i="13"/>
  <c r="N90" i="13"/>
  <c r="N89" i="13"/>
  <c r="R18" i="13"/>
  <c r="K18" i="13"/>
  <c r="M85" i="14"/>
  <c r="M84" i="14"/>
  <c r="M83" i="14"/>
  <c r="M82" i="14"/>
  <c r="M81" i="14"/>
  <c r="M74" i="14"/>
  <c r="M73" i="14"/>
  <c r="M72" i="14"/>
  <c r="M71" i="14"/>
  <c r="M67" i="14"/>
  <c r="M58" i="14"/>
  <c r="M57" i="14"/>
  <c r="M56" i="14"/>
  <c r="M55" i="14"/>
  <c r="M87" i="14"/>
  <c r="M86" i="14"/>
  <c r="M78" i="14"/>
  <c r="M77" i="14"/>
  <c r="M76" i="14"/>
  <c r="M75" i="14"/>
  <c r="T67" i="14"/>
  <c r="M65" i="14"/>
  <c r="M64" i="14"/>
  <c r="M63" i="14"/>
  <c r="M62" i="14"/>
  <c r="M61" i="14"/>
  <c r="M60" i="14"/>
  <c r="M53" i="14"/>
  <c r="M52" i="14"/>
  <c r="M79" i="14"/>
  <c r="D28" i="14"/>
  <c r="R24" i="14"/>
  <c r="D26" i="14"/>
  <c r="K24" i="14"/>
  <c r="J79" i="14"/>
  <c r="Q79" i="14"/>
  <c r="L85" i="14"/>
  <c r="L84" i="14"/>
  <c r="L83" i="14"/>
  <c r="L82" i="14"/>
  <c r="L81" i="14"/>
  <c r="L74" i="14"/>
  <c r="L73" i="14"/>
  <c r="L72" i="14"/>
  <c r="L71" i="14"/>
  <c r="L67" i="14"/>
  <c r="L58" i="14"/>
  <c r="L57" i="14"/>
  <c r="L56" i="14"/>
  <c r="L55" i="14"/>
  <c r="L87" i="14"/>
  <c r="L86" i="14"/>
  <c r="L78" i="14"/>
  <c r="L77" i="14"/>
  <c r="L76" i="14"/>
  <c r="L75" i="14"/>
  <c r="S67" i="14"/>
  <c r="L65" i="14"/>
  <c r="L64" i="14"/>
  <c r="L63" i="14"/>
  <c r="L62" i="14"/>
  <c r="L61" i="14"/>
  <c r="L60" i="14"/>
  <c r="L53" i="14"/>
  <c r="L52" i="14"/>
  <c r="L79" i="14"/>
  <c r="N85" i="14"/>
  <c r="N84" i="14"/>
  <c r="N83" i="14"/>
  <c r="N82" i="14"/>
  <c r="N81" i="14"/>
  <c r="N74" i="14"/>
  <c r="N73" i="14"/>
  <c r="N72" i="14"/>
  <c r="N71" i="14"/>
  <c r="N67" i="14"/>
  <c r="N58" i="14"/>
  <c r="N57" i="14"/>
  <c r="N56" i="14"/>
  <c r="N55" i="14"/>
  <c r="N87" i="14"/>
  <c r="N86" i="14"/>
  <c r="N78" i="14"/>
  <c r="N77" i="14"/>
  <c r="N76" i="14"/>
  <c r="N75" i="14"/>
  <c r="U67" i="14"/>
  <c r="N65" i="14"/>
  <c r="N64" i="14"/>
  <c r="N63" i="14"/>
  <c r="N62" i="14"/>
  <c r="N61" i="14"/>
  <c r="N60" i="14"/>
  <c r="N53" i="14"/>
  <c r="N52" i="14"/>
  <c r="U88" i="14"/>
  <c r="M88" i="14"/>
  <c r="T88" i="14"/>
  <c r="R88" i="14"/>
  <c r="K85" i="14"/>
  <c r="K84" i="14"/>
  <c r="K83" i="14"/>
  <c r="K82" i="14"/>
  <c r="K81" i="14"/>
  <c r="K74" i="14"/>
  <c r="K73" i="14"/>
  <c r="K72" i="14"/>
  <c r="K71" i="14"/>
  <c r="K67" i="14"/>
  <c r="K58" i="14"/>
  <c r="K57" i="14"/>
  <c r="K56" i="14"/>
  <c r="K55" i="14"/>
  <c r="K87" i="14"/>
  <c r="K86" i="14"/>
  <c r="K78" i="14"/>
  <c r="K77" i="14"/>
  <c r="K76" i="14"/>
  <c r="K75" i="14"/>
  <c r="R67" i="14"/>
  <c r="K65" i="14"/>
  <c r="K64" i="14"/>
  <c r="K63" i="14"/>
  <c r="K62" i="14"/>
  <c r="K61" i="14"/>
  <c r="K60" i="14"/>
  <c r="K53" i="14"/>
  <c r="K52" i="14"/>
  <c r="G24" i="14"/>
  <c r="N18" i="14"/>
  <c r="U18" i="14"/>
  <c r="L89" i="14"/>
  <c r="M54" i="14"/>
  <c r="T79" i="14"/>
  <c r="R79" i="14"/>
  <c r="K79" i="14"/>
  <c r="C26" i="14"/>
  <c r="J24" i="14"/>
  <c r="C28" i="14"/>
  <c r="Q24" i="14"/>
  <c r="E24" i="14"/>
  <c r="L18" i="14"/>
  <c r="S18" i="14"/>
  <c r="C89" i="14"/>
  <c r="J88" i="14"/>
  <c r="Q88" i="14"/>
  <c r="F24" i="14"/>
  <c r="M18" i="14"/>
  <c r="T18" i="14"/>
  <c r="J85" i="14"/>
  <c r="J84" i="14"/>
  <c r="J83" i="14"/>
  <c r="J82" i="14"/>
  <c r="J81" i="14"/>
  <c r="J74" i="14"/>
  <c r="J73" i="14"/>
  <c r="J72" i="14"/>
  <c r="J71" i="14"/>
  <c r="J67" i="14"/>
  <c r="J58" i="14"/>
  <c r="J57" i="14"/>
  <c r="J56" i="14"/>
  <c r="J55" i="14"/>
  <c r="J54" i="14"/>
  <c r="J87" i="14"/>
  <c r="J78" i="14"/>
  <c r="J77" i="14"/>
  <c r="J76" i="14"/>
  <c r="Q67" i="14"/>
  <c r="J65" i="14"/>
  <c r="J64" i="14"/>
  <c r="J63" i="14"/>
  <c r="J62" i="14"/>
  <c r="J61" i="14"/>
  <c r="J60" i="14"/>
  <c r="J53" i="14"/>
  <c r="J52" i="14"/>
  <c r="L88" i="14"/>
  <c r="K89" i="14"/>
  <c r="N79" i="14"/>
  <c r="G24" i="13"/>
  <c r="N18" i="13"/>
  <c r="U18" i="13"/>
  <c r="E24" i="13"/>
  <c r="L18" i="13"/>
  <c r="S18" i="13"/>
  <c r="M84" i="13"/>
  <c r="M83" i="13"/>
  <c r="M82" i="13"/>
  <c r="M81" i="13"/>
  <c r="M74" i="13"/>
  <c r="M73" i="13"/>
  <c r="M72" i="13"/>
  <c r="M71" i="13"/>
  <c r="M67" i="13"/>
  <c r="M58" i="13"/>
  <c r="M57" i="13"/>
  <c r="M56" i="13"/>
  <c r="M55" i="13"/>
  <c r="M88" i="13"/>
  <c r="M87" i="13"/>
  <c r="M78" i="13"/>
  <c r="M77" i="13"/>
  <c r="M75" i="13"/>
  <c r="T67" i="13"/>
  <c r="M65" i="13"/>
  <c r="M64" i="13"/>
  <c r="M63" i="13"/>
  <c r="M62" i="13"/>
  <c r="M61" i="13"/>
  <c r="M60" i="13"/>
  <c r="M53" i="13"/>
  <c r="M52" i="13"/>
  <c r="C90" i="13"/>
  <c r="J89" i="13"/>
  <c r="Q89" i="13"/>
  <c r="U89" i="13"/>
  <c r="D28" i="13"/>
  <c r="R24" i="13"/>
  <c r="D26" i="13"/>
  <c r="K24" i="13"/>
  <c r="J79" i="13"/>
  <c r="Q79" i="13"/>
  <c r="L84" i="13"/>
  <c r="L83" i="13"/>
  <c r="L82" i="13"/>
  <c r="L81" i="13"/>
  <c r="L74" i="13"/>
  <c r="L73" i="13"/>
  <c r="L72" i="13"/>
  <c r="L71" i="13"/>
  <c r="L67" i="13"/>
  <c r="L58" i="13"/>
  <c r="L57" i="13"/>
  <c r="L56" i="13"/>
  <c r="L55" i="13"/>
  <c r="L88" i="13"/>
  <c r="L87" i="13"/>
  <c r="L78" i="13"/>
  <c r="L77" i="13"/>
  <c r="L75" i="13"/>
  <c r="S67" i="13"/>
  <c r="L65" i="13"/>
  <c r="L64" i="13"/>
  <c r="L63" i="13"/>
  <c r="L62" i="13"/>
  <c r="L61" i="13"/>
  <c r="L60" i="13"/>
  <c r="L53" i="13"/>
  <c r="L52" i="13"/>
  <c r="F24" i="13"/>
  <c r="M18" i="13"/>
  <c r="T18" i="13"/>
  <c r="N84" i="13"/>
  <c r="N83" i="13"/>
  <c r="N82" i="13"/>
  <c r="N81" i="13"/>
  <c r="N74" i="13"/>
  <c r="N73" i="13"/>
  <c r="N72" i="13"/>
  <c r="N71" i="13"/>
  <c r="N67" i="13"/>
  <c r="N58" i="13"/>
  <c r="N57" i="13"/>
  <c r="N56" i="13"/>
  <c r="N55" i="13"/>
  <c r="N88" i="13"/>
  <c r="N87" i="13"/>
  <c r="N78" i="13"/>
  <c r="N77" i="13"/>
  <c r="N76" i="13"/>
  <c r="N75" i="13"/>
  <c r="U67" i="13"/>
  <c r="N65" i="13"/>
  <c r="N64" i="13"/>
  <c r="N63" i="13"/>
  <c r="N62" i="13"/>
  <c r="N61" i="13"/>
  <c r="N60" i="13"/>
  <c r="N53" i="13"/>
  <c r="N52" i="13"/>
  <c r="M89" i="13"/>
  <c r="T89" i="13"/>
  <c r="R89" i="13"/>
  <c r="K84" i="13"/>
  <c r="K83" i="13"/>
  <c r="K82" i="13"/>
  <c r="K81" i="13"/>
  <c r="K74" i="13"/>
  <c r="K73" i="13"/>
  <c r="K72" i="13"/>
  <c r="K71" i="13"/>
  <c r="K67" i="13"/>
  <c r="K58" i="13"/>
  <c r="K57" i="13"/>
  <c r="K56" i="13"/>
  <c r="K55" i="13"/>
  <c r="K88" i="13"/>
  <c r="K87" i="13"/>
  <c r="K78" i="13"/>
  <c r="K77" i="13"/>
  <c r="K75" i="13"/>
  <c r="R67" i="13"/>
  <c r="K65" i="13"/>
  <c r="K64" i="13"/>
  <c r="K63" i="13"/>
  <c r="K62" i="13"/>
  <c r="K61" i="13"/>
  <c r="K60" i="13"/>
  <c r="K53" i="13"/>
  <c r="K52" i="13"/>
  <c r="J55" i="13"/>
  <c r="J84" i="13"/>
  <c r="J83" i="13"/>
  <c r="J82" i="13"/>
  <c r="J81" i="13"/>
  <c r="J74" i="13"/>
  <c r="J73" i="13"/>
  <c r="J72" i="13"/>
  <c r="J71" i="13"/>
  <c r="J67" i="13"/>
  <c r="J58" i="13"/>
  <c r="J57" i="13"/>
  <c r="J54" i="13"/>
  <c r="J88" i="13"/>
  <c r="J78" i="13"/>
  <c r="J77" i="13"/>
  <c r="Q67" i="13"/>
  <c r="J65" i="13"/>
  <c r="J64" i="13"/>
  <c r="J63" i="13"/>
  <c r="J62" i="13"/>
  <c r="J61" i="13"/>
  <c r="J60" i="13"/>
  <c r="J53" i="13"/>
  <c r="J52" i="13"/>
  <c r="J56" i="13"/>
  <c r="M54" i="13"/>
  <c r="T79" i="13"/>
  <c r="R79" i="13"/>
  <c r="K79" i="13"/>
  <c r="C26" i="13"/>
  <c r="J24" i="13"/>
  <c r="C28" i="13"/>
  <c r="Q24" i="13"/>
  <c r="L89" i="13"/>
  <c r="N79" i="13"/>
  <c r="J18" i="11"/>
  <c r="C24" i="11"/>
  <c r="C28" i="11" s="1"/>
  <c r="U59" i="11"/>
  <c r="S18" i="11"/>
  <c r="Q81" i="11"/>
  <c r="M54" i="11"/>
  <c r="K76" i="11"/>
  <c r="M18" i="11"/>
  <c r="F24" i="11"/>
  <c r="F26" i="11" s="1"/>
  <c r="L88" i="11"/>
  <c r="S59" i="11"/>
  <c r="N76" i="11"/>
  <c r="E91" i="11"/>
  <c r="L90" i="11"/>
  <c r="S90" i="11"/>
  <c r="F91" i="11"/>
  <c r="M90" i="11"/>
  <c r="T90" i="11"/>
  <c r="M81" i="11"/>
  <c r="T81" i="11"/>
  <c r="Q59" i="11"/>
  <c r="C67" i="11"/>
  <c r="U67" i="11" s="1"/>
  <c r="G91" i="11"/>
  <c r="N90" i="11"/>
  <c r="U90" i="11"/>
  <c r="G24" i="11"/>
  <c r="N18" i="11"/>
  <c r="U18" i="11"/>
  <c r="T59" i="11"/>
  <c r="N87" i="11"/>
  <c r="N86" i="11"/>
  <c r="N85" i="11"/>
  <c r="N84" i="11"/>
  <c r="N83" i="11"/>
  <c r="N75" i="11"/>
  <c r="N71" i="11"/>
  <c r="N67" i="11"/>
  <c r="N58" i="11"/>
  <c r="N57" i="11"/>
  <c r="N56" i="11"/>
  <c r="N54" i="11"/>
  <c r="N79" i="11"/>
  <c r="N77" i="11"/>
  <c r="N65" i="11"/>
  <c r="N64" i="11"/>
  <c r="N63" i="11"/>
  <c r="N62" i="11"/>
  <c r="N61" i="11"/>
  <c r="N60" i="11"/>
  <c r="N53" i="11"/>
  <c r="N52" i="11"/>
  <c r="L81" i="11"/>
  <c r="S81" i="11"/>
  <c r="L87" i="11"/>
  <c r="L86" i="11"/>
  <c r="L85" i="11"/>
  <c r="L84" i="11"/>
  <c r="L83" i="11"/>
  <c r="L75" i="11"/>
  <c r="L71" i="11"/>
  <c r="L67" i="11"/>
  <c r="L58" i="11"/>
  <c r="L57" i="11"/>
  <c r="L56" i="11"/>
  <c r="L54" i="11"/>
  <c r="L79" i="11"/>
  <c r="L77" i="11"/>
  <c r="L65" i="11"/>
  <c r="L64" i="11"/>
  <c r="L63" i="11"/>
  <c r="L62" i="11"/>
  <c r="L61" i="11"/>
  <c r="L60" i="11"/>
  <c r="L53" i="11"/>
  <c r="L52" i="11"/>
  <c r="L59" i="11"/>
  <c r="M87" i="11"/>
  <c r="M86" i="11"/>
  <c r="M85" i="11"/>
  <c r="M84" i="11"/>
  <c r="M83" i="11"/>
  <c r="M75" i="11"/>
  <c r="M71" i="11"/>
  <c r="M67" i="11"/>
  <c r="M58" i="11"/>
  <c r="M57" i="11"/>
  <c r="M56" i="11"/>
  <c r="M88" i="11"/>
  <c r="M79" i="11"/>
  <c r="M77" i="11"/>
  <c r="M76" i="11"/>
  <c r="M65" i="11"/>
  <c r="M64" i="11"/>
  <c r="M63" i="11"/>
  <c r="M62" i="11"/>
  <c r="M61" i="11"/>
  <c r="M60" i="11"/>
  <c r="M53" i="11"/>
  <c r="M52" i="11"/>
  <c r="N88" i="11"/>
  <c r="K18" i="11"/>
  <c r="D24" i="11"/>
  <c r="R18" i="11"/>
  <c r="C26" i="11"/>
  <c r="J24" i="11"/>
  <c r="Q24" i="11"/>
  <c r="K81" i="11"/>
  <c r="R81" i="11"/>
  <c r="K87" i="11"/>
  <c r="K86" i="11"/>
  <c r="K85" i="11"/>
  <c r="K84" i="11"/>
  <c r="K83" i="11"/>
  <c r="K75" i="11"/>
  <c r="K71" i="11"/>
  <c r="K67" i="11"/>
  <c r="K58" i="11"/>
  <c r="K57" i="11"/>
  <c r="K56" i="11"/>
  <c r="K54" i="11"/>
  <c r="K79" i="11"/>
  <c r="K77" i="11"/>
  <c r="K65" i="11"/>
  <c r="K64" i="11"/>
  <c r="K63" i="11"/>
  <c r="K62" i="11"/>
  <c r="K61" i="11"/>
  <c r="K60" i="11"/>
  <c r="K53" i="11"/>
  <c r="K52" i="11"/>
  <c r="K59" i="11"/>
  <c r="E28" i="11"/>
  <c r="S24" i="11"/>
  <c r="E26" i="11"/>
  <c r="L24" i="11"/>
  <c r="R59" i="11"/>
  <c r="N81" i="11"/>
  <c r="U81" i="11"/>
  <c r="D91" i="11"/>
  <c r="K90" i="11"/>
  <c r="R90" i="11"/>
  <c r="E111" i="2"/>
  <c r="F111" i="2"/>
  <c r="C111" i="2"/>
  <c r="C113" i="11"/>
  <c r="F113" i="11"/>
  <c r="G113" i="11"/>
  <c r="E125" i="11"/>
  <c r="D125" i="11"/>
  <c r="F125" i="11"/>
  <c r="G125" i="11"/>
  <c r="C125" i="11"/>
  <c r="E113" i="11"/>
  <c r="D111" i="14"/>
  <c r="F111" i="14"/>
  <c r="F89" i="3"/>
  <c r="C122" i="2"/>
  <c r="C119" i="2"/>
  <c r="D122" i="2"/>
  <c r="D119" i="2"/>
  <c r="E122" i="2"/>
  <c r="E119" i="2"/>
  <c r="F122" i="2"/>
  <c r="F119" i="2"/>
  <c r="B122" i="2"/>
  <c r="B119" i="2"/>
  <c r="C126" i="11"/>
  <c r="C121" i="11"/>
  <c r="D126" i="11"/>
  <c r="D121" i="11"/>
  <c r="E126" i="11"/>
  <c r="E121" i="11"/>
  <c r="F126" i="11"/>
  <c r="F121" i="11"/>
  <c r="G126" i="11"/>
  <c r="G121" i="11"/>
  <c r="B107" i="2"/>
  <c r="B104" i="2"/>
  <c r="B105" i="2"/>
  <c r="B106" i="2"/>
  <c r="C129" i="2"/>
  <c r="C112" i="2"/>
  <c r="D129" i="2"/>
  <c r="D112" i="2"/>
  <c r="E129" i="2"/>
  <c r="E112" i="2"/>
  <c r="F129" i="2"/>
  <c r="F112" i="2"/>
  <c r="B129" i="2"/>
  <c r="B112" i="2"/>
  <c r="C107" i="2"/>
  <c r="C104" i="2"/>
  <c r="C105" i="2"/>
  <c r="C106" i="2"/>
  <c r="D107" i="2"/>
  <c r="D104" i="2"/>
  <c r="D105" i="2"/>
  <c r="D106" i="2"/>
  <c r="E107" i="2"/>
  <c r="E104" i="2"/>
  <c r="E105" i="2"/>
  <c r="E106" i="2"/>
  <c r="F107" i="2"/>
  <c r="F104" i="2"/>
  <c r="F105" i="2"/>
  <c r="F106" i="2"/>
  <c r="C111" i="3"/>
  <c r="C108" i="3"/>
  <c r="D111" i="3"/>
  <c r="D108" i="3"/>
  <c r="E111" i="3"/>
  <c r="E108" i="3"/>
  <c r="F111" i="3"/>
  <c r="F108" i="3"/>
  <c r="G111" i="3"/>
  <c r="G108" i="3"/>
  <c r="D102" i="3"/>
  <c r="D103" i="3"/>
  <c r="E102" i="3"/>
  <c r="E103" i="3"/>
  <c r="F102" i="3"/>
  <c r="F103" i="3"/>
  <c r="G102" i="3"/>
  <c r="G103" i="3"/>
  <c r="C103" i="3"/>
  <c r="D97" i="3"/>
  <c r="D94" i="3"/>
  <c r="D93" i="3"/>
  <c r="E97" i="3"/>
  <c r="E94" i="3"/>
  <c r="E93" i="3"/>
  <c r="F97" i="3"/>
  <c r="F94" i="3"/>
  <c r="F93" i="3"/>
  <c r="G97" i="3"/>
  <c r="G94" i="3"/>
  <c r="G93" i="3"/>
  <c r="C94" i="3"/>
  <c r="C93" i="3"/>
  <c r="R89" i="3"/>
  <c r="S89" i="3"/>
  <c r="Q89" i="3"/>
  <c r="D67" i="3"/>
  <c r="D106" i="3" s="1"/>
  <c r="R59" i="3"/>
  <c r="E67" i="3"/>
  <c r="E106" i="3" s="1"/>
  <c r="S59" i="3"/>
  <c r="F67" i="3"/>
  <c r="F106" i="3" s="1"/>
  <c r="T59" i="3"/>
  <c r="M59" i="3"/>
  <c r="G67" i="3"/>
  <c r="G106" i="3" s="1"/>
  <c r="U59" i="3"/>
  <c r="N59" i="3"/>
  <c r="C67" i="3"/>
  <c r="C106" i="3" s="1"/>
  <c r="Q59" i="3"/>
  <c r="R88" i="3"/>
  <c r="S88" i="3"/>
  <c r="T88" i="3"/>
  <c r="M88" i="3"/>
  <c r="U88" i="3"/>
  <c r="N88" i="3"/>
  <c r="Q88" i="3"/>
  <c r="R79" i="3"/>
  <c r="S79" i="3"/>
  <c r="Q79" i="3"/>
  <c r="U89" i="3"/>
  <c r="U79" i="3"/>
  <c r="T89" i="3"/>
  <c r="M89" i="3"/>
  <c r="T79" i="3"/>
  <c r="M79" i="3"/>
  <c r="K55" i="3"/>
  <c r="K56" i="3"/>
  <c r="P77" i="2"/>
  <c r="I77" i="2"/>
  <c r="Q81" i="2"/>
  <c r="J81" i="2"/>
  <c r="R81" i="2"/>
  <c r="K81" i="2"/>
  <c r="S81" i="2"/>
  <c r="L81" i="2"/>
  <c r="T81" i="2"/>
  <c r="M81" i="2"/>
  <c r="C95" i="2"/>
  <c r="Q94" i="2"/>
  <c r="J94" i="2"/>
  <c r="D95" i="2"/>
  <c r="R94" i="2"/>
  <c r="K94" i="2"/>
  <c r="E95" i="2"/>
  <c r="S94" i="2"/>
  <c r="L94" i="2"/>
  <c r="F95" i="2"/>
  <c r="T94" i="2"/>
  <c r="M94" i="2"/>
  <c r="B95" i="2"/>
  <c r="P94" i="2"/>
  <c r="I94" i="2"/>
  <c r="P81" i="2"/>
  <c r="I81" i="2"/>
  <c r="Q77" i="2"/>
  <c r="J77" i="2"/>
  <c r="R77" i="2"/>
  <c r="K77" i="2"/>
  <c r="S77" i="2"/>
  <c r="L77" i="2"/>
  <c r="T77" i="2"/>
  <c r="M77" i="2"/>
  <c r="K18" i="3"/>
  <c r="R18" i="3"/>
  <c r="D24" i="3"/>
  <c r="L18" i="3"/>
  <c r="S18" i="3"/>
  <c r="E24" i="3"/>
  <c r="M18" i="3"/>
  <c r="T18" i="3"/>
  <c r="F24" i="3"/>
  <c r="N18" i="3"/>
  <c r="U18" i="3"/>
  <c r="G24" i="3"/>
  <c r="J18" i="3"/>
  <c r="Q18" i="3"/>
  <c r="C24" i="3"/>
  <c r="M68" i="1"/>
  <c r="M78" i="1"/>
  <c r="M77" i="1"/>
  <c r="M76" i="1"/>
  <c r="M75" i="1"/>
  <c r="M73" i="1"/>
  <c r="M72" i="1"/>
  <c r="M71" i="1"/>
  <c r="M70" i="1"/>
  <c r="L69" i="1"/>
  <c r="L70" i="1"/>
  <c r="L71" i="1"/>
  <c r="L72" i="1"/>
  <c r="L73" i="1"/>
  <c r="I74" i="1"/>
  <c r="J69" i="1"/>
  <c r="J70" i="1"/>
  <c r="J71" i="1"/>
  <c r="J72" i="1"/>
  <c r="J73" i="1"/>
  <c r="J75" i="1"/>
  <c r="J76" i="1"/>
  <c r="J77" i="1"/>
  <c r="J78" i="1"/>
  <c r="J68" i="1"/>
  <c r="K69" i="1"/>
  <c r="K70" i="1"/>
  <c r="K71" i="1"/>
  <c r="K72" i="1"/>
  <c r="K73" i="1"/>
  <c r="K68" i="1"/>
  <c r="K75" i="1"/>
  <c r="K77" i="1"/>
  <c r="K76" i="1"/>
  <c r="K78" i="1"/>
  <c r="L75" i="1"/>
  <c r="L76" i="1"/>
  <c r="L77" i="1"/>
  <c r="L78" i="1"/>
  <c r="L68" i="1"/>
  <c r="I78" i="1"/>
  <c r="I77" i="1"/>
  <c r="I76" i="1"/>
  <c r="I75" i="1"/>
  <c r="I72" i="1"/>
  <c r="I71" i="1"/>
  <c r="I70" i="1"/>
  <c r="I69" i="1"/>
  <c r="I73" i="1"/>
  <c r="J57" i="1"/>
  <c r="K57" i="1"/>
  <c r="L57" i="1"/>
  <c r="M57" i="1"/>
  <c r="I57" i="1"/>
  <c r="M11" i="1"/>
  <c r="K11" i="1"/>
  <c r="J11" i="1"/>
  <c r="L11" i="1"/>
  <c r="I11" i="1"/>
  <c r="G28" i="14" l="1"/>
  <c r="U24" i="14"/>
  <c r="G26" i="14"/>
  <c r="N24" i="14"/>
  <c r="F28" i="14"/>
  <c r="T24" i="14"/>
  <c r="F26" i="14"/>
  <c r="M24" i="14"/>
  <c r="Q26" i="14"/>
  <c r="J26" i="14"/>
  <c r="Q89" i="14"/>
  <c r="J89" i="14"/>
  <c r="R89" i="14"/>
  <c r="S89" i="14"/>
  <c r="T89" i="14"/>
  <c r="U89" i="14"/>
  <c r="K26" i="14"/>
  <c r="R26" i="14"/>
  <c r="J28" i="14"/>
  <c r="Q28" i="14"/>
  <c r="E28" i="14"/>
  <c r="S24" i="14"/>
  <c r="E26" i="14"/>
  <c r="L24" i="14"/>
  <c r="R28" i="14"/>
  <c r="K28" i="14"/>
  <c r="F28" i="13"/>
  <c r="T24" i="13"/>
  <c r="F26" i="13"/>
  <c r="M24" i="13"/>
  <c r="Q90" i="13"/>
  <c r="J90" i="13"/>
  <c r="S90" i="13"/>
  <c r="T90" i="13"/>
  <c r="U90" i="13"/>
  <c r="R90" i="13"/>
  <c r="J28" i="13"/>
  <c r="Q28" i="13"/>
  <c r="E28" i="13"/>
  <c r="S24" i="13"/>
  <c r="E26" i="13"/>
  <c r="L24" i="13"/>
  <c r="Q26" i="13"/>
  <c r="J26" i="13"/>
  <c r="K26" i="13"/>
  <c r="R26" i="13"/>
  <c r="R28" i="13"/>
  <c r="K28" i="13"/>
  <c r="G28" i="13"/>
  <c r="U24" i="13"/>
  <c r="G26" i="13"/>
  <c r="N24" i="13"/>
  <c r="T24" i="11"/>
  <c r="F28" i="11"/>
  <c r="J59" i="11"/>
  <c r="M24" i="11"/>
  <c r="T91" i="11"/>
  <c r="M91" i="11"/>
  <c r="G28" i="11"/>
  <c r="U24" i="11"/>
  <c r="G26" i="11"/>
  <c r="N24" i="11"/>
  <c r="R91" i="11"/>
  <c r="K91" i="11"/>
  <c r="J28" i="11"/>
  <c r="Q28" i="11"/>
  <c r="Q26" i="11"/>
  <c r="J26" i="11"/>
  <c r="T28" i="11"/>
  <c r="M28" i="11"/>
  <c r="L26" i="11"/>
  <c r="S26" i="11"/>
  <c r="T67" i="11"/>
  <c r="S67" i="11"/>
  <c r="M26" i="11"/>
  <c r="T26" i="11"/>
  <c r="J87" i="11"/>
  <c r="J86" i="11"/>
  <c r="J85" i="11"/>
  <c r="J84" i="11"/>
  <c r="J83" i="11"/>
  <c r="J75" i="11"/>
  <c r="J71" i="11"/>
  <c r="J67" i="11"/>
  <c r="J58" i="11"/>
  <c r="J57" i="11"/>
  <c r="J56" i="11"/>
  <c r="J88" i="11"/>
  <c r="J79" i="11"/>
  <c r="J65" i="11"/>
  <c r="J63" i="11"/>
  <c r="J61" i="11"/>
  <c r="J53" i="11"/>
  <c r="J77" i="11"/>
  <c r="J76" i="11"/>
  <c r="Q67" i="11"/>
  <c r="J64" i="11"/>
  <c r="J62" i="11"/>
  <c r="J60" i="11"/>
  <c r="J52" i="11"/>
  <c r="J81" i="11"/>
  <c r="J90" i="11"/>
  <c r="J54" i="11"/>
  <c r="J91" i="11"/>
  <c r="S91" i="11"/>
  <c r="L91" i="11"/>
  <c r="U91" i="11"/>
  <c r="N91" i="11"/>
  <c r="D28" i="11"/>
  <c r="R24" i="11"/>
  <c r="K24" i="11"/>
  <c r="D26" i="11"/>
  <c r="S28" i="11"/>
  <c r="L28" i="11"/>
  <c r="R67" i="11"/>
  <c r="J56" i="3"/>
  <c r="N89" i="3"/>
  <c r="J55" i="3"/>
  <c r="K58" i="3"/>
  <c r="K57" i="3"/>
  <c r="K59" i="3"/>
  <c r="J53" i="3"/>
  <c r="L58" i="3"/>
  <c r="L79" i="3"/>
  <c r="L56" i="3"/>
  <c r="K88" i="3"/>
  <c r="L57" i="3"/>
  <c r="L88" i="3"/>
  <c r="J52" i="3"/>
  <c r="L55" i="3"/>
  <c r="K79" i="3"/>
  <c r="J58" i="3"/>
  <c r="L53" i="3"/>
  <c r="L59" i="3"/>
  <c r="L52" i="3"/>
  <c r="J79" i="3"/>
  <c r="K53" i="3"/>
  <c r="J57" i="3"/>
  <c r="K52" i="3"/>
  <c r="N79" i="3"/>
  <c r="J88" i="3"/>
  <c r="J59" i="3"/>
  <c r="C101" i="3"/>
  <c r="C96" i="3"/>
  <c r="C100" i="3"/>
  <c r="G101" i="3"/>
  <c r="G96" i="3"/>
  <c r="G100" i="3"/>
  <c r="F101" i="3"/>
  <c r="F96" i="3"/>
  <c r="F100" i="3"/>
  <c r="E101" i="3"/>
  <c r="E96" i="3"/>
  <c r="E100" i="3"/>
  <c r="D101" i="3"/>
  <c r="D96" i="3"/>
  <c r="D100" i="3"/>
  <c r="Q67" i="3"/>
  <c r="J81" i="3"/>
  <c r="J82" i="3"/>
  <c r="J83" i="3"/>
  <c r="J84" i="3"/>
  <c r="J85" i="3"/>
  <c r="J87" i="3"/>
  <c r="J71" i="3"/>
  <c r="J72" i="3"/>
  <c r="J73" i="3"/>
  <c r="J74" i="3"/>
  <c r="J76" i="3"/>
  <c r="J77" i="3"/>
  <c r="J78" i="3"/>
  <c r="J67" i="3"/>
  <c r="J60" i="3"/>
  <c r="J61" i="3"/>
  <c r="J62" i="3"/>
  <c r="J63" i="3"/>
  <c r="J64" i="3"/>
  <c r="J65" i="3"/>
  <c r="J75" i="3"/>
  <c r="J86" i="3"/>
  <c r="J54" i="3"/>
  <c r="J89" i="3"/>
  <c r="U67" i="3"/>
  <c r="N81" i="3"/>
  <c r="N82" i="3"/>
  <c r="N83" i="3"/>
  <c r="N84" i="3"/>
  <c r="N85" i="3"/>
  <c r="N87" i="3"/>
  <c r="N71" i="3"/>
  <c r="N72" i="3"/>
  <c r="N73" i="3"/>
  <c r="N74" i="3"/>
  <c r="N76" i="3"/>
  <c r="N77" i="3"/>
  <c r="N78" i="3"/>
  <c r="N67" i="3"/>
  <c r="N60" i="3"/>
  <c r="N61" i="3"/>
  <c r="N62" i="3"/>
  <c r="N63" i="3"/>
  <c r="N64" i="3"/>
  <c r="N65" i="3"/>
  <c r="N86" i="3"/>
  <c r="N75" i="3"/>
  <c r="N53" i="3"/>
  <c r="N54" i="3"/>
  <c r="N55" i="3"/>
  <c r="N56" i="3"/>
  <c r="N57" i="3"/>
  <c r="N58" i="3"/>
  <c r="N52" i="3"/>
  <c r="T67" i="3"/>
  <c r="M81" i="3"/>
  <c r="M82" i="3"/>
  <c r="M83" i="3"/>
  <c r="M84" i="3"/>
  <c r="M85" i="3"/>
  <c r="M87" i="3"/>
  <c r="M71" i="3"/>
  <c r="M72" i="3"/>
  <c r="M73" i="3"/>
  <c r="M74" i="3"/>
  <c r="M76" i="3"/>
  <c r="M77" i="3"/>
  <c r="M78" i="3"/>
  <c r="M67" i="3"/>
  <c r="M60" i="3"/>
  <c r="M61" i="3"/>
  <c r="M62" i="3"/>
  <c r="M63" i="3"/>
  <c r="M64" i="3"/>
  <c r="M65" i="3"/>
  <c r="M86" i="3"/>
  <c r="M75" i="3"/>
  <c r="M53" i="3"/>
  <c r="M54" i="3"/>
  <c r="M55" i="3"/>
  <c r="M56" i="3"/>
  <c r="M57" i="3"/>
  <c r="M58" i="3"/>
  <c r="M52" i="3"/>
  <c r="S67" i="3"/>
  <c r="L81" i="3"/>
  <c r="L82" i="3"/>
  <c r="L83" i="3"/>
  <c r="L84" i="3"/>
  <c r="L85" i="3"/>
  <c r="L87" i="3"/>
  <c r="L71" i="3"/>
  <c r="L72" i="3"/>
  <c r="L73" i="3"/>
  <c r="L74" i="3"/>
  <c r="L76" i="3"/>
  <c r="L77" i="3"/>
  <c r="L78" i="3"/>
  <c r="L67" i="3"/>
  <c r="L60" i="3"/>
  <c r="L61" i="3"/>
  <c r="L62" i="3"/>
  <c r="L63" i="3"/>
  <c r="L64" i="3"/>
  <c r="L65" i="3"/>
  <c r="L75" i="3"/>
  <c r="L86" i="3"/>
  <c r="L54" i="3"/>
  <c r="L89" i="3"/>
  <c r="R67" i="3"/>
  <c r="K81" i="3"/>
  <c r="K82" i="3"/>
  <c r="K83" i="3"/>
  <c r="K84" i="3"/>
  <c r="K85" i="3"/>
  <c r="K87" i="3"/>
  <c r="K71" i="3"/>
  <c r="K72" i="3"/>
  <c r="K73" i="3"/>
  <c r="K74" i="3"/>
  <c r="K76" i="3"/>
  <c r="K77" i="3"/>
  <c r="K78" i="3"/>
  <c r="K67" i="3"/>
  <c r="K60" i="3"/>
  <c r="K61" i="3"/>
  <c r="K62" i="3"/>
  <c r="K63" i="3"/>
  <c r="K64" i="3"/>
  <c r="K65" i="3"/>
  <c r="K75" i="3"/>
  <c r="K86" i="3"/>
  <c r="K54" i="3"/>
  <c r="K89" i="3"/>
  <c r="P95" i="2"/>
  <c r="I95" i="2"/>
  <c r="T95" i="2"/>
  <c r="M95" i="2"/>
  <c r="S95" i="2"/>
  <c r="L95" i="2"/>
  <c r="R95" i="2"/>
  <c r="K95" i="2"/>
  <c r="Q95" i="2"/>
  <c r="J95" i="2"/>
  <c r="J24" i="3"/>
  <c r="Q24" i="3"/>
  <c r="C28" i="3"/>
  <c r="C26" i="3"/>
  <c r="N24" i="3"/>
  <c r="U24" i="3"/>
  <c r="G28" i="3"/>
  <c r="G26" i="3"/>
  <c r="M24" i="3"/>
  <c r="T24" i="3"/>
  <c r="F28" i="3"/>
  <c r="F26" i="3"/>
  <c r="L24" i="3"/>
  <c r="S24" i="3"/>
  <c r="E28" i="3"/>
  <c r="E26" i="3"/>
  <c r="K24" i="3"/>
  <c r="R24" i="3"/>
  <c r="D28" i="3"/>
  <c r="D26" i="3"/>
  <c r="J56" i="1"/>
  <c r="J53" i="1"/>
  <c r="J54" i="1"/>
  <c r="J52" i="1"/>
  <c r="K52" i="1"/>
  <c r="K56" i="1"/>
  <c r="K54" i="1"/>
  <c r="K53" i="1"/>
  <c r="L53" i="1"/>
  <c r="L52" i="1"/>
  <c r="L56" i="1"/>
  <c r="L54" i="1"/>
  <c r="M54" i="1"/>
  <c r="M56" i="1"/>
  <c r="M53" i="1"/>
  <c r="M52" i="1"/>
  <c r="I55" i="1"/>
  <c r="I54" i="1"/>
  <c r="I53" i="1"/>
  <c r="J58" i="1"/>
  <c r="J59" i="1"/>
  <c r="J60" i="1"/>
  <c r="J61" i="1"/>
  <c r="J62" i="1"/>
  <c r="J51" i="1"/>
  <c r="J63" i="1"/>
  <c r="J64" i="1"/>
  <c r="J55" i="1"/>
  <c r="K55" i="1"/>
  <c r="K58" i="1"/>
  <c r="K59" i="1"/>
  <c r="K60" i="1"/>
  <c r="K61" i="1"/>
  <c r="K62" i="1"/>
  <c r="K63" i="1"/>
  <c r="K51" i="1"/>
  <c r="K64" i="1"/>
  <c r="L64" i="1"/>
  <c r="L63" i="1"/>
  <c r="L62" i="1"/>
  <c r="L61" i="1"/>
  <c r="L60" i="1"/>
  <c r="L51" i="1"/>
  <c r="L58" i="1"/>
  <c r="L55" i="1"/>
  <c r="L59" i="1"/>
  <c r="M63" i="1"/>
  <c r="M55" i="1"/>
  <c r="M62" i="1"/>
  <c r="M51" i="1"/>
  <c r="M61" i="1"/>
  <c r="M60" i="1"/>
  <c r="M59" i="1"/>
  <c r="M58" i="1"/>
  <c r="M64" i="1"/>
  <c r="I56" i="1"/>
  <c r="I64" i="1"/>
  <c r="I63" i="1"/>
  <c r="I62" i="1"/>
  <c r="I61" i="1"/>
  <c r="I60" i="1"/>
  <c r="I59" i="1"/>
  <c r="I58" i="1"/>
  <c r="I52" i="1"/>
  <c r="I51" i="1"/>
  <c r="M13" i="1"/>
  <c r="K13" i="1"/>
  <c r="J13" i="1"/>
  <c r="L13" i="1"/>
  <c r="I13" i="1"/>
  <c r="L26" i="14" l="1"/>
  <c r="S26" i="14"/>
  <c r="N26" i="14"/>
  <c r="U26" i="14"/>
  <c r="M26" i="14"/>
  <c r="T26" i="14"/>
  <c r="T28" i="14"/>
  <c r="M28" i="14"/>
  <c r="S28" i="14"/>
  <c r="L28" i="14"/>
  <c r="U28" i="14"/>
  <c r="N28" i="14"/>
  <c r="N26" i="13"/>
  <c r="U26" i="13"/>
  <c r="S28" i="13"/>
  <c r="L28" i="13"/>
  <c r="L26" i="13"/>
  <c r="S26" i="13"/>
  <c r="U28" i="13"/>
  <c r="N28" i="13"/>
  <c r="M26" i="13"/>
  <c r="T26" i="13"/>
  <c r="T28" i="13"/>
  <c r="M28" i="13"/>
  <c r="U28" i="11"/>
  <c r="N28" i="11"/>
  <c r="R28" i="11"/>
  <c r="K28" i="11"/>
  <c r="N26" i="11"/>
  <c r="U26" i="11"/>
  <c r="K26" i="11"/>
  <c r="R26" i="11"/>
  <c r="C122" i="3"/>
  <c r="C119" i="3"/>
  <c r="D117" i="3"/>
  <c r="D118" i="3"/>
  <c r="D119" i="3"/>
  <c r="D116" i="3"/>
  <c r="E117" i="3"/>
  <c r="E118" i="3"/>
  <c r="E119" i="3"/>
  <c r="E116" i="3"/>
  <c r="F117" i="3"/>
  <c r="F118" i="3"/>
  <c r="F119" i="3"/>
  <c r="F116" i="3"/>
  <c r="G117" i="3"/>
  <c r="G118" i="3"/>
  <c r="G119" i="3"/>
  <c r="G116" i="3"/>
  <c r="C123" i="3"/>
  <c r="C118" i="3"/>
  <c r="C117" i="3"/>
  <c r="C116" i="3"/>
  <c r="K26" i="3"/>
  <c r="R26" i="3"/>
  <c r="K28" i="3"/>
  <c r="R28" i="3"/>
  <c r="L26" i="3"/>
  <c r="S26" i="3"/>
  <c r="L28" i="3"/>
  <c r="S28" i="3"/>
  <c r="M26" i="3"/>
  <c r="T26" i="3"/>
  <c r="M28" i="3"/>
  <c r="T28" i="3"/>
  <c r="N26" i="3"/>
  <c r="U26" i="3"/>
  <c r="N28" i="3"/>
  <c r="U28" i="3"/>
  <c r="J26" i="3"/>
  <c r="Q26" i="3"/>
  <c r="J28" i="3"/>
  <c r="Q28" i="3"/>
  <c r="M16" i="1"/>
  <c r="J16" i="1"/>
  <c r="L16" i="1"/>
  <c r="K16" i="1"/>
  <c r="I16" i="1"/>
  <c r="G123" i="3" l="1"/>
  <c r="G122" i="3"/>
  <c r="F123" i="3"/>
  <c r="F122" i="3"/>
  <c r="E123" i="3"/>
  <c r="E122" i="3"/>
  <c r="D123" i="3"/>
  <c r="D12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42" authorId="0" shapeId="0" xr:uid="{44C44C8B-1A32-4F69-BBC4-49A2488A4246}">
      <text>
        <r>
          <rPr>
            <sz val="9"/>
            <color indexed="81"/>
            <rFont val="Tahoma"/>
            <family val="2"/>
          </rPr>
          <t xml:space="preserve">Over the past five years Stryker's Profit Margin, ROE and ROA have been declining steadily. This may be due to more money invested in research and development. It may also be accounted for by the many acquisitions they have made in the past several years. </t>
        </r>
      </text>
    </comment>
    <comment ref="F142" authorId="0" shapeId="0" xr:uid="{2576CB5D-35E0-4140-95BE-EE42EA6A2B72}">
      <text>
        <r>
          <rPr>
            <sz val="9"/>
            <color indexed="8"/>
            <rFont val="Tahoma"/>
            <family val="2"/>
          </rPr>
          <t xml:space="preserve">The industry average is 11.30. Stryker has is clearly above that average. However, the Healthcare sector average is 17.85 which means at 15% Stryker is below the sector as a whole. 
</t>
        </r>
      </text>
    </comment>
    <comment ref="F146" authorId="0" shapeId="0" xr:uid="{CF4355D5-0822-4F61-B59A-7FE1894DE43C}">
      <text>
        <r>
          <rPr>
            <sz val="9"/>
            <color indexed="81"/>
            <rFont val="Tahoma"/>
            <family val="2"/>
          </rPr>
          <t xml:space="preserve">The industry average is 12.30% clearly Stryker has a better ROE than the industry (32/184). The healthcare sector average is 18.29%. Once again Stryker is behind the sector as a whole.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37" authorId="0" shapeId="0" xr:uid="{67C31EEF-9B29-44A2-AB33-9D11B4279ADE}">
      <text>
        <r>
          <rPr>
            <sz val="9"/>
            <color rgb="FF000000"/>
            <rFont val="Tahoma"/>
            <family val="2"/>
          </rPr>
          <t xml:space="preserve">Over the past five years Stryker's Profit Margin, ROE and ROA have been declining steadily. This may be due to more money invested in research and development. It may also be accounted for by the many acquisitions they have made in the past several years. </t>
        </r>
      </text>
    </comment>
    <comment ref="F137" authorId="0" shapeId="0" xr:uid="{4D549DB3-9C7F-4421-8CC1-1039769BC346}">
      <text>
        <r>
          <rPr>
            <sz val="9"/>
            <color indexed="8"/>
            <rFont val="Tahoma"/>
            <family val="2"/>
          </rPr>
          <t xml:space="preserve">The industry average is 11.30. Stryker has is clearly above that average. However, the Healthcare sector average is 17.85 which means at 15% Stryker is below the sector as a whole. 
</t>
        </r>
      </text>
    </comment>
    <comment ref="F141" authorId="0" shapeId="0" xr:uid="{06E60A0F-2D20-4897-9832-6E11B272C5ED}">
      <text>
        <r>
          <rPr>
            <sz val="9"/>
            <color indexed="81"/>
            <rFont val="Tahoma"/>
            <family val="2"/>
          </rPr>
          <t xml:space="preserve">The industry average is 12.30% clearly Stryker has a better ROE than the industry (32/184). The healthcare sector average is 18.29%. Once again Stryker is behind the sector as a whole. </t>
        </r>
      </text>
    </comment>
  </commentList>
</comments>
</file>

<file path=xl/sharedStrings.xml><?xml version="1.0" encoding="utf-8"?>
<sst xmlns="http://schemas.openxmlformats.org/spreadsheetml/2006/main" count="1274" uniqueCount="492">
  <si>
    <t>COMPANY NAME</t>
  </si>
  <si>
    <t>COMMON SIZING AND TREND ANALYSIS  (in 000's Except Per Share Data)</t>
  </si>
  <si>
    <t>INCOME STATEMENT DATA</t>
  </si>
  <si>
    <t>NAME</t>
  </si>
  <si>
    <t>Page 1 of 3</t>
  </si>
  <si>
    <t>FIN320 Section B</t>
  </si>
  <si>
    <t>in millions</t>
  </si>
  <si>
    <t>Common-Size Analysis</t>
  </si>
  <si>
    <t>Trend Analysis</t>
  </si>
  <si>
    <t>(as a percentage of sales)</t>
  </si>
  <si>
    <t>(using 2020 as the base year)</t>
  </si>
  <si>
    <t>Income Statement</t>
  </si>
  <si>
    <t>Revenue</t>
  </si>
  <si>
    <t>Cost of sales</t>
  </si>
  <si>
    <t xml:space="preserve">      Gross Profit</t>
  </si>
  <si>
    <t>Operating expenses</t>
  </si>
  <si>
    <t xml:space="preserve">      R&amp;D</t>
  </si>
  <si>
    <t xml:space="preserve">      SGA</t>
  </si>
  <si>
    <t xml:space="preserve">      Depreciation</t>
  </si>
  <si>
    <t xml:space="preserve">      Other</t>
  </si>
  <si>
    <t xml:space="preserve">         Total Oper. Exp</t>
  </si>
  <si>
    <t>Operating Income (EBIT)</t>
  </si>
  <si>
    <t xml:space="preserve">      Interest Expense </t>
  </si>
  <si>
    <t xml:space="preserve">      Other expenses (net)</t>
  </si>
  <si>
    <t>Pretax Income</t>
  </si>
  <si>
    <t>Provision for income taxes</t>
  </si>
  <si>
    <t>Effective Tax rate</t>
  </si>
  <si>
    <t>Net income</t>
  </si>
  <si>
    <t>market cap (in million)</t>
  </si>
  <si>
    <t>Number of Shares Outstanding(in millions)</t>
  </si>
  <si>
    <t xml:space="preserve">Stock Price </t>
  </si>
  <si>
    <t xml:space="preserve">Depreciation </t>
  </si>
  <si>
    <t>COMMON SIZING AND TREND ANALYSIS (in 000's Except Per Share Data)</t>
  </si>
  <si>
    <t>BALANCE  SHEET DATA</t>
  </si>
  <si>
    <t>YOUR NAME</t>
  </si>
  <si>
    <t>Page 2 of 3</t>
  </si>
  <si>
    <t>(as a percentage of total assets)</t>
  </si>
  <si>
    <t>(using 2020 as a base year)</t>
  </si>
  <si>
    <t>Balance Sheet</t>
  </si>
  <si>
    <t>ASSETS:</t>
  </si>
  <si>
    <t>Current assets:</t>
  </si>
  <si>
    <t xml:space="preserve">       Cash/Cash equivalents</t>
  </si>
  <si>
    <t xml:space="preserve">       Short-term market sect</t>
  </si>
  <si>
    <t xml:space="preserve">       Accounts receivable</t>
  </si>
  <si>
    <t xml:space="preserve">       Inventories</t>
  </si>
  <si>
    <t>Prepaid income taxes</t>
  </si>
  <si>
    <t xml:space="preserve">       Other current assets and Prepaid expenses</t>
  </si>
  <si>
    <t>Total Current Assets</t>
  </si>
  <si>
    <t>INVESTMENTS</t>
  </si>
  <si>
    <t>PROPERTY AND EQUIPMENT, net</t>
  </si>
  <si>
    <t>DEFERRED INCOME TAXES, net</t>
  </si>
  <si>
    <t>GOODWILL</t>
  </si>
  <si>
    <t>OTHER INTANGIBLE ASSETS, net</t>
  </si>
  <si>
    <t>OTHER ASSETS</t>
  </si>
  <si>
    <t>Total Assets</t>
  </si>
  <si>
    <t>LIABILITIES AND SHAREHOLDERS' EQUITY:</t>
  </si>
  <si>
    <t xml:space="preserve">Current Liabilities </t>
  </si>
  <si>
    <t>Accounts payable</t>
  </si>
  <si>
    <t>Accrued liabilities</t>
  </si>
  <si>
    <t>Accrued promotional allowances</t>
  </si>
  <si>
    <t>Deferred revenue</t>
  </si>
  <si>
    <t>Accrued compensation</t>
  </si>
  <si>
    <t>Income taxes payable</t>
  </si>
  <si>
    <t>Total Current Liabilities</t>
  </si>
  <si>
    <t>DEFERRED REVENUE</t>
  </si>
  <si>
    <t>OTHER LIABILITIES</t>
  </si>
  <si>
    <t>LONG-TERM DEBT</t>
  </si>
  <si>
    <t>Total  Liabilities</t>
  </si>
  <si>
    <t>Stockholders equity:</t>
  </si>
  <si>
    <t>Common stock - $0.005 par value; 5,000,000 shares authorized; 1,132,906 shares issued and 978,113 shares outstanding as of December 31, 2025; 1,126,329 shares issued and 973,079 shares outstanding as of December 31, 2024</t>
  </si>
  <si>
    <t>Additional paid-in capital</t>
  </si>
  <si>
    <t>Retained earnings</t>
  </si>
  <si>
    <t>Accumulated other comprehensive loss</t>
  </si>
  <si>
    <t>Common stock in treasury, at cost; 154,793 shares and 153,250 shares as of December 31, 2025 and December 31, 2024, respectively</t>
  </si>
  <si>
    <t>Total Shareholders' Equity (S/E)</t>
  </si>
  <si>
    <t>Total Liabilities and S/E</t>
  </si>
  <si>
    <t>CONSOLIDATED BALANCE SHEETS - USD ($)</t>
  </si>
  <si>
    <t>Dec. 31, 2025</t>
  </si>
  <si>
    <t>Dec. 31, 2024</t>
  </si>
  <si>
    <t>Dec. 31, 2023</t>
  </si>
  <si>
    <t>Dec. 31, 2022</t>
  </si>
  <si>
    <t>Dec. 31, 2021</t>
  </si>
  <si>
    <t>Dec. 31, 2020</t>
  </si>
  <si>
    <t>$ in Thousands</t>
  </si>
  <si>
    <t>CURRENT ASSETS:</t>
  </si>
  <si>
    <t>Cash and cash equivalents</t>
  </si>
  <si>
    <t>CONSOLIDATED STATEMENTS OF INCOME - USD ($)</t>
  </si>
  <si>
    <t>12 Months Ended</t>
  </si>
  <si>
    <t>Short-term investments</t>
  </si>
  <si>
    <t>shares in Thousands, $ in Thousands</t>
  </si>
  <si>
    <t>Accounts receivable, net</t>
  </si>
  <si>
    <t>Inventories</t>
  </si>
  <si>
    <t>CONSOLIDATED STATEMENTS OF INCOME</t>
  </si>
  <si>
    <t>Prepaid expenses and other current assets</t>
  </si>
  <si>
    <t>NET SALES</t>
  </si>
  <si>
    <t>COST OF SALES</t>
  </si>
  <si>
    <t>Total current assets</t>
  </si>
  <si>
    <t>GROSS PROFIT</t>
  </si>
  <si>
    <t>OPERATING EXPENSES</t>
  </si>
  <si>
    <t>OPERATING INCOME</t>
  </si>
  <si>
    <t>INTEREST AND OTHER INCOME, NET</t>
  </si>
  <si>
    <t>INCOME BEFORE PROVISION FOR INCOME TAXES</t>
  </si>
  <si>
    <t>PROVISION FOR INCOME TAXES</t>
  </si>
  <si>
    <t>NET INCOME</t>
  </si>
  <si>
    <t>NET INCOME PER COMMON SHARE:</t>
  </si>
  <si>
    <t>CURRENT LIABILITIES:</t>
  </si>
  <si>
    <t>Basic (in dollar per share)</t>
  </si>
  <si>
    <t>Diluted (in dollar per share)</t>
  </si>
  <si>
    <t>Basic (in shares)</t>
  </si>
  <si>
    <t>Diluted (in shares)</t>
  </si>
  <si>
    <t>Total current liabilities</t>
  </si>
  <si>
    <t>COMMITMENTS AND CONTINGENCIES (Note 10)</t>
  </si>
  <si>
    <t>STOCKHOLDERS' EQUITY:</t>
  </si>
  <si>
    <t>Total stockholders' equity</t>
  </si>
  <si>
    <t>Total Liabilities and Stockholders' Equity</t>
  </si>
  <si>
    <t xml:space="preserve">   SGA</t>
  </si>
  <si>
    <t xml:space="preserve">    Impairment of Intangible Assets (Excluding Goodwill)</t>
  </si>
  <si>
    <t xml:space="preserve">   Gain associated with the Juice Transaction</t>
  </si>
  <si>
    <t>Number of Shares Outstanding</t>
  </si>
  <si>
    <t>Depreciation and amortization</t>
  </si>
  <si>
    <t>Dividends Paid</t>
  </si>
  <si>
    <t>Net Cash Provided by Operating Activities</t>
  </si>
  <si>
    <t>Purchases of property, plant and equipment</t>
  </si>
  <si>
    <t>Free cash flow</t>
  </si>
  <si>
    <t xml:space="preserve">       Prepaid expenses and other current assets</t>
  </si>
  <si>
    <t xml:space="preserve">         Disposal Group, Including Discontinued Operation, Assets</t>
  </si>
  <si>
    <t xml:space="preserve">      PP&amp;E, net</t>
  </si>
  <si>
    <t xml:space="preserve">       Amortizable Intangible Assets, net</t>
  </si>
  <si>
    <t xml:space="preserve">     Goodwill</t>
  </si>
  <si>
    <t xml:space="preserve">     Indefinite-lived Intangible Assets (Excluding Goodwill)</t>
  </si>
  <si>
    <t xml:space="preserve">     Equity Method Investments</t>
  </si>
  <si>
    <t xml:space="preserve">     Deferred Income Tax Assets, Net</t>
  </si>
  <si>
    <t xml:space="preserve">      Other assets </t>
  </si>
  <si>
    <t xml:space="preserve">      Short-term debt obligations</t>
  </si>
  <si>
    <t xml:space="preserve">      Accounts payable</t>
  </si>
  <si>
    <t xml:space="preserve">        Disposal Group, Including Discontinued Operation, Liabilities</t>
  </si>
  <si>
    <t xml:space="preserve">      Short-term debt </t>
  </si>
  <si>
    <t xml:space="preserve">      Other current liabilities</t>
  </si>
  <si>
    <t xml:space="preserve">    Long-term debt</t>
  </si>
  <si>
    <t xml:space="preserve">    Deferred Income Tax Liabilities, Net</t>
  </si>
  <si>
    <t xml:space="preserve">    Other non-current liabilities</t>
  </si>
  <si>
    <t xml:space="preserve">      Common stock, authorized</t>
  </si>
  <si>
    <t xml:space="preserve">      Common stock, issued</t>
  </si>
  <si>
    <t xml:space="preserve">       Common stock </t>
  </si>
  <si>
    <t xml:space="preserve">       Additional Paid in Capital, Common Stock</t>
  </si>
  <si>
    <t xml:space="preserve">       Retained Earnings (Accumulated Deficit)</t>
  </si>
  <si>
    <t xml:space="preserve">      Accumulated Other Comprehensive Income (Loss), Net of Tax</t>
  </si>
  <si>
    <t xml:space="preserve">    Treasury Stock, Common, Shares</t>
  </si>
  <si>
    <t xml:space="preserve">    Treasury Stock, Value</t>
  </si>
  <si>
    <t>Stockholders' Equity Attributable to Parent</t>
  </si>
  <si>
    <t>Stockholders' Equity Attributable to Noncontrolling Interest</t>
  </si>
  <si>
    <t xml:space="preserve">Liquidity ratios </t>
  </si>
  <si>
    <t xml:space="preserve">Current Ratio = Current Assets / Current Liabilities </t>
  </si>
  <si>
    <t xml:space="preserve">Quick Ratio = (Current Assets - Inventories) / Current Liabilities </t>
  </si>
  <si>
    <t xml:space="preserve">Cash Ratio = Cash / Current Liabilities </t>
  </si>
  <si>
    <t xml:space="preserve">NWC Ratio = (Current Assets - Current Liabilities) / Total Assets </t>
  </si>
  <si>
    <t>Solvency ratios</t>
  </si>
  <si>
    <t xml:space="preserve">Debt-to-Equity Ratio = (Short-term Debt + Long-term Debt) / Total Equity </t>
  </si>
  <si>
    <t>Times Interest Earned = EBIT / Interest Expenses</t>
  </si>
  <si>
    <t>Cash Coverage Ratio = (EBIT+Depreciation) / Interest Expenses</t>
  </si>
  <si>
    <t xml:space="preserve">Asset Management / Turnover Ratios					</t>
  </si>
  <si>
    <t xml:space="preserve">Assets Turnover Ratio = Sales / Total Assets </t>
  </si>
  <si>
    <t>Inventory Turnover = COGS / Inventories</t>
  </si>
  <si>
    <t>Days Sales in Inventory = 365 / Inventory Turnover</t>
  </si>
  <si>
    <t xml:space="preserve">Receivables Turnover = Sales / Accounts Receivables </t>
  </si>
  <si>
    <t>Days Sales in Receivables = 365 / Receivables Turnover</t>
  </si>
  <si>
    <t>Operating Cycle = Days Sales in Inventory + Days Sales in Receivables</t>
  </si>
  <si>
    <t xml:space="preserve">Profitability Ratios </t>
  </si>
  <si>
    <t xml:space="preserve">Gross Profit Margin = Gross Profits / Sales </t>
  </si>
  <si>
    <t>Operating Profit Margin = Operating Profits / Sales</t>
  </si>
  <si>
    <t xml:space="preserve">Net Profit Margin = Net Income / Sales </t>
  </si>
  <si>
    <t xml:space="preserve">Return on Assets (ROA) = Net Income / Total Assets </t>
  </si>
  <si>
    <t>Return on Equity (ROE) -based  on BV of equity = Net Income / Total Equity</t>
  </si>
  <si>
    <t xml:space="preserve">Return on Equity (ROE) - based on MV of equity = Net Income / Market Value of Equity </t>
  </si>
  <si>
    <t>Market and Other ratios</t>
  </si>
  <si>
    <t xml:space="preserve">Earnings Per Share (EPS) = Net Income / Number of shares outstanding </t>
  </si>
  <si>
    <t>Price-Earnings Ratio (P/E Ratio) = Price per share / EPS</t>
  </si>
  <si>
    <t>Market-to-Book Ratio = Market Value of Equity / Book Value of Equity</t>
  </si>
  <si>
    <t>Free Cash Flow = Operating Cash Flow + Capital Expenditure</t>
  </si>
  <si>
    <t>Consolidated Statement of Income - USD ($)</t>
  </si>
  <si>
    <t> 12 Months Ended </t>
  </si>
  <si>
    <t>shares in Millions, $ in Millions</t>
  </si>
  <si>
    <t> </t>
  </si>
  <si>
    <t> Dec. 25, 2021 </t>
  </si>
  <si>
    <t> Dec. 31, 2022 </t>
  </si>
  <si>
    <t> Dec. 30, 2023 </t>
  </si>
  <si>
    <t> Dec. 28, 2024 </t>
  </si>
  <si>
    <t> Dec. 27, 2025 </t>
  </si>
  <si>
    <t>Income Statement [Abstract]</t>
  </si>
  <si>
    <t>Net Revenue</t>
  </si>
  <si>
    <t>Gross profit</t>
  </si>
  <si>
    <t>Selling, general and administrative expenses</t>
  </si>
  <si>
    <t>Gain associated with the Juice Transaction</t>
  </si>
  <si>
    <t>Impairment of Intangible Assets (Excluding Goodwill)</t>
  </si>
  <si>
    <t>Operating Profit</t>
  </si>
  <si>
    <t>Other pension and retiree medical benefits (expense)/income</t>
  </si>
  <si>
    <t>Net interest expense and other</t>
  </si>
  <si>
    <t>Income before income taxes</t>
  </si>
  <si>
    <t>Less: Net income attributable to noncontrolling interests</t>
  </si>
  <si>
    <t>Net Income Attributable to PepsiCo</t>
  </si>
  <si>
    <t>$7,618 </t>
  </si>
  <si>
    <t>$8,910 </t>
  </si>
  <si>
    <t>$9,074 </t>
  </si>
  <si>
    <t>$9,578 </t>
  </si>
  <si>
    <t>$8,240 </t>
  </si>
  <si>
    <t>Net Income Attributable to PepsiCo per Common Share</t>
  </si>
  <si>
    <t>Basic</t>
  </si>
  <si>
    <t>$5.51 </t>
  </si>
  <si>
    <t>$6.45 </t>
  </si>
  <si>
    <t>$6.59 </t>
  </si>
  <si>
    <t>$6.97 </t>
  </si>
  <si>
    <t>$6.02 </t>
  </si>
  <si>
    <t>Diluted</t>
  </si>
  <si>
    <t>$5.49 </t>
  </si>
  <si>
    <t>$6.42 </t>
  </si>
  <si>
    <t>$6.56 </t>
  </si>
  <si>
    <t>$6.95 </t>
  </si>
  <si>
    <t>$6.00 </t>
  </si>
  <si>
    <t>Weighted-average common shares outstanding</t>
  </si>
  <si>
    <t>Consolidated Balance Sheet - USD ($)</t>
  </si>
  <si>
    <t>Dec. 25, 2021</t>
  </si>
  <si>
    <t>Dec. 30, 2023</t>
  </si>
  <si>
    <t>Dec. 28, 2024</t>
  </si>
  <si>
    <t>Dec. 27, 2025</t>
  </si>
  <si>
    <t>ASSETS</t>
  </si>
  <si>
    <t>Short-term Investments</t>
  </si>
  <si>
    <t>Accounts and notes receivable, net</t>
  </si>
  <si>
    <t>Disposal Group, Including Discontinued Operation, Assets</t>
  </si>
  <si>
    <t>Assets, Current</t>
  </si>
  <si>
    <t>Property, Plant and Equipment, net</t>
  </si>
  <si>
    <t>Amortizable Intangible Assets, net</t>
  </si>
  <si>
    <t>Goodwill</t>
  </si>
  <si>
    <t>Indefinite-lived Intangible Assets (Excluding Goodwill)</t>
  </si>
  <si>
    <t>Equity Method Investments</t>
  </si>
  <si>
    <t>Deferred Income Tax Assets, Net</t>
  </si>
  <si>
    <t>Other Assets</t>
  </si>
  <si>
    <t>LIABILITIES AND EQUITY</t>
  </si>
  <si>
    <t>Short-term debt obligations</t>
  </si>
  <si>
    <t>Accounts payable and other current liabilities</t>
  </si>
  <si>
    <t>Disposal Group, Including Discontinued Operation, Liabilities</t>
  </si>
  <si>
    <t>Liabilities, Current</t>
  </si>
  <si>
    <t>Long-Term Debt Obligations</t>
  </si>
  <si>
    <t>Deferred Income Tax Liabilities, Net</t>
  </si>
  <si>
    <t>Other Liabilities, Noncurrent</t>
  </si>
  <si>
    <t>Liabilities</t>
  </si>
  <si>
    <t>Commitments and contingencies</t>
  </si>
  <si>
    <t>Common stock, authorized</t>
  </si>
  <si>
    <t>Common stock, issued</t>
  </si>
  <si>
    <t>PepsiCo Common Shareholders’ Equity</t>
  </si>
  <si>
    <t>Common stock, par value 12/3¢ per share (authorized 3,600 shares, issued, net of repurchased common stock at par value: 1,380 and 1,391 shares, respectively)</t>
  </si>
  <si>
    <t>Additional Paid in Capital, Common Stock</t>
  </si>
  <si>
    <t>Retained Earnings (Accumulated Deficit)</t>
  </si>
  <si>
    <t>Accumulated Other Comprehensive Income (Loss), Net of Tax</t>
  </si>
  <si>
    <t>Treasury Stock, Common, Shares</t>
  </si>
  <si>
    <t>Treasury Stock, Value</t>
  </si>
  <si>
    <t>Total Equity</t>
  </si>
  <si>
    <t>Liabilities and Equity</t>
  </si>
  <si>
    <t>Other Investments</t>
  </si>
  <si>
    <t>$277 </t>
  </si>
  <si>
    <t>$813 </t>
  </si>
  <si>
    <t>$1,616 </t>
  </si>
  <si>
    <t>$1,346 </t>
  </si>
  <si>
    <t>$2,526 </t>
  </si>
  <si>
    <t>Operating Lease, Right-of-Use Asset, Statement of Financial Position [Extensible Enumeration]</t>
  </si>
  <si>
    <t>Accounts Receivable, Allowance for Credit Loss, Current</t>
  </si>
  <si>
    <t>$175 </t>
  </si>
  <si>
    <t>$356 </t>
  </si>
  <si>
    <t>$230 </t>
  </si>
  <si>
    <t>Net Operating Revenues</t>
  </si>
  <si>
    <t xml:space="preserve">      Selling, general and administrative expenses</t>
  </si>
  <si>
    <t xml:space="preserve">      Other operating charges</t>
  </si>
  <si>
    <t xml:space="preserve">      Interest income</t>
  </si>
  <si>
    <t xml:space="preserve">      Interest expense</t>
  </si>
  <si>
    <t xml:space="preserve">      Equity income (loss) - net</t>
  </si>
  <si>
    <t xml:space="preserve">      Other income (loss) - net</t>
  </si>
  <si>
    <t>(using 2021 as a base year)</t>
  </si>
  <si>
    <t xml:space="preserve">   Total Cash, Cash Equivalents and Short-Term Investments</t>
  </si>
  <si>
    <t xml:space="preserve">       Marketable securities</t>
  </si>
  <si>
    <t xml:space="preserve">      Equity method investments</t>
  </si>
  <si>
    <t xml:space="preserve">      Deferred income tax assets</t>
  </si>
  <si>
    <t xml:space="preserve">      Trademarks with indefinite lives</t>
  </si>
  <si>
    <t xml:space="preserve">      Goodwill</t>
  </si>
  <si>
    <t xml:space="preserve">      Other noncurrent assets</t>
  </si>
  <si>
    <t xml:space="preserve">      Accounts payable and accrued expenses</t>
  </si>
  <si>
    <t xml:space="preserve">      Loans and notes payable</t>
  </si>
  <si>
    <t xml:space="preserve">      Current maturities of long-term debt</t>
  </si>
  <si>
    <t xml:space="preserve">      Accrued income taxes</t>
  </si>
  <si>
    <t xml:space="preserve">      Long-term debt</t>
  </si>
  <si>
    <t xml:space="preserve">      Other noncurrent liabilities</t>
  </si>
  <si>
    <t xml:space="preserve">      Deferred income tax liabilities</t>
  </si>
  <si>
    <t xml:space="preserve">      Common stock</t>
  </si>
  <si>
    <t xml:space="preserve">      Capital surplus</t>
  </si>
  <si>
    <t xml:space="preserve">      Reinvested earnings</t>
  </si>
  <si>
    <t xml:space="preserve">      Accumulated other comprehensive income (loss)</t>
  </si>
  <si>
    <t xml:space="preserve">      Treasury stock</t>
  </si>
  <si>
    <t>Equity Attributable to Noncontrolling Interests</t>
  </si>
  <si>
    <t xml:space="preserve">Total Equity </t>
  </si>
  <si>
    <t xml:space="preserve">Celsius Holdings, INC. </t>
  </si>
  <si>
    <t>BALANCE SHEET  STATEMENT DATA</t>
  </si>
  <si>
    <t>CELH Balance Sheet ($ in thousands)</t>
  </si>
  <si>
    <t>Common size Balance sheet</t>
  </si>
  <si>
    <t>Line Item</t>
  </si>
  <si>
    <t>Current assets</t>
  </si>
  <si>
    <t>  Cash and cash equivalents</t>
  </si>
  <si>
    <t>  Accounts receivable-net</t>
  </si>
  <si>
    <t>  Inventories-net</t>
  </si>
  <si>
    <t>  Other current assets</t>
  </si>
  <si>
    <t>    Restricted cash</t>
  </si>
  <si>
    <t>N/A</t>
  </si>
  <si>
    <t>    Note receivable-current</t>
  </si>
  <si>
    <t>    Prepaid expenses and other current assets</t>
  </si>
  <si>
    <t>    Deferred other costs-current</t>
  </si>
  <si>
    <t>Non-current assets</t>
  </si>
  <si>
    <t>  Property, plant and equipment-net</t>
  </si>
  <si>
    <t>  Goodwill</t>
  </si>
  <si>
    <t>  Deferred tax assets</t>
  </si>
  <si>
    <t>  Other non-current assets</t>
  </si>
  <si>
    <t>    Note receivable (non-current)</t>
  </si>
  <si>
    <t>    Deferred other costs-non-current</t>
  </si>
  <si>
    <t>    Intangibles-net</t>
  </si>
  <si>
    <t>    Other long-term assets</t>
  </si>
  <si>
    <t>LIABILITIES, MEZZANINE EQUITY, AND STOCKHOLDERS’ EQUITY</t>
  </si>
  <si>
    <t>Current liabilities</t>
  </si>
  <si>
    <t>  Accounts payable and accrued expenses</t>
  </si>
  <si>
    <t>  Income taxes payable</t>
  </si>
  <si>
    <t>  Other current liabilities</t>
  </si>
  <si>
    <t>    Accrued distributor termination fees</t>
  </si>
  <si>
    <t>    Accrued promotional allowance</t>
  </si>
  <si>
    <t>    Lease liability operating leases (current)</t>
  </si>
  <si>
    <t>    Lease liability finance leases (current)</t>
  </si>
  <si>
    <t>    Deferred revenue-current</t>
  </si>
  <si>
    <t>    Contingent consideration</t>
  </si>
  <si>
    <t>    Other current liabilities (detail)</t>
  </si>
  <si>
    <t>Long-term liabilities</t>
  </si>
  <si>
    <t>  Long-term debt</t>
  </si>
  <si>
    <t>  Deferred revenue-non-current</t>
  </si>
  <si>
    <t>  Other long-term liabilities</t>
  </si>
  <si>
    <t>Total Liabilities</t>
  </si>
  <si>
    <t>Mezzanine equity</t>
  </si>
  <si>
    <t>  Series A convertible preferred stock</t>
  </si>
  <si>
    <t>  Series B convertible preferred stock</t>
  </si>
  <si>
    <t>Total mezzanine equity</t>
  </si>
  <si>
    <t>Stockholders’ equity</t>
  </si>
  <si>
    <t>  Common stock</t>
  </si>
  <si>
    <t>  Additional paid-in capital</t>
  </si>
  <si>
    <t>  Treasury stock</t>
  </si>
  <si>
    <t>  Accumulated other comprehensive income (loss)</t>
  </si>
  <si>
    <t>  Retained earnings (accumulated deficit)</t>
  </si>
  <si>
    <t>Total Stockholders’ Equity</t>
  </si>
  <si>
    <t>Total Liabilities, Mezzanine Equity and Stockholders’ Equity</t>
  </si>
  <si>
    <t>CELH Income Statement ($ in thousands)</t>
  </si>
  <si>
    <t>Common Size Income statement % Sales</t>
  </si>
  <si>
    <t>Trend Analysis Base year 2021</t>
  </si>
  <si>
    <t>Cost of revenue</t>
  </si>
  <si>
    <t>  Selling, general and administrative expenses</t>
  </si>
  <si>
    <t>  Distributor termination fees</t>
  </si>
  <si>
    <t>-</t>
  </si>
  <si>
    <t>Total operating expense</t>
  </si>
  <si>
    <t>Income from operations (EBIT)</t>
  </si>
  <si>
    <t>Other income (expense), net</t>
  </si>
  <si>
    <t>  Interest income</t>
  </si>
  <si>
    <t>  Interest expense</t>
  </si>
  <si>
    <t>  Other, net</t>
  </si>
  <si>
    <t>Net income before income taxes</t>
  </si>
  <si>
    <t>Year</t>
  </si>
  <si>
    <t>number of shares outstanding</t>
  </si>
  <si>
    <t>Par value</t>
  </si>
  <si>
    <t>Stock price</t>
  </si>
  <si>
    <t>Keurig's Dr Pepper</t>
  </si>
  <si>
    <t>COMMON SIZING AND TREND ANALYSIS  (in millions Except Per Share Data)</t>
  </si>
  <si>
    <t>NAME: Neeha Pyneni</t>
  </si>
  <si>
    <t>Template:</t>
  </si>
  <si>
    <t>Standard</t>
  </si>
  <si>
    <t>Restatement:</t>
  </si>
  <si>
    <t>Latest Filings</t>
  </si>
  <si>
    <t>Period Type:</t>
  </si>
  <si>
    <t>Annual</t>
  </si>
  <si>
    <t>Order:</t>
  </si>
  <si>
    <t>Latest on Right</t>
  </si>
  <si>
    <t>Currency:</t>
  </si>
  <si>
    <t>Reported Currency</t>
  </si>
  <si>
    <t>Conversion:</t>
  </si>
  <si>
    <t>Historical</t>
  </si>
  <si>
    <t>Units:</t>
  </si>
  <si>
    <t>S&amp;P Capital IQ (Default)</t>
  </si>
  <si>
    <t>Decimals:</t>
  </si>
  <si>
    <t>Capital IQ (Default)</t>
  </si>
  <si>
    <t>Source:</t>
  </si>
  <si>
    <t>Capital IQ &amp; Proprietary Data</t>
  </si>
  <si>
    <t xml:space="preserve">  Total Revenue</t>
  </si>
  <si>
    <t>Cost Of Goods Sold</t>
  </si>
  <si>
    <t xml:space="preserve">  Gross Profit</t>
  </si>
  <si>
    <t>Selling General &amp; Admin Exp.</t>
  </si>
  <si>
    <t>R &amp; D Exp.</t>
  </si>
  <si>
    <t>Depreciation &amp; Amort.</t>
  </si>
  <si>
    <t>Amort. of Goodwill and Intangibles</t>
  </si>
  <si>
    <t>Other Operating Expense/(Income)</t>
  </si>
  <si>
    <t xml:space="preserve">  Other Operating Exp., Total</t>
  </si>
  <si>
    <t xml:space="preserve">  Operating Income</t>
  </si>
  <si>
    <t>Interest Expense</t>
  </si>
  <si>
    <t>Income/(Loss) from Affiliates</t>
  </si>
  <si>
    <t>Currency Exchange Gains (Loss)</t>
  </si>
  <si>
    <t>Other Non-Operating Inc. (Exp.)</t>
  </si>
  <si>
    <t xml:space="preserve">  EBT Excl. Unusual Items</t>
  </si>
  <si>
    <t>Merger &amp; Related Restruct. Charges</t>
  </si>
  <si>
    <t>Impairment of Goodwill</t>
  </si>
  <si>
    <t>Gain (Loss) On Sale Of Invest.</t>
  </si>
  <si>
    <t>Gain (Loss) On Sale Of Assets</t>
  </si>
  <si>
    <t>Asset Writedown</t>
  </si>
  <si>
    <t>Legal Settlements</t>
  </si>
  <si>
    <t>Other Unusual Items</t>
  </si>
  <si>
    <t xml:space="preserve">  EBT Incl. Unusual Items</t>
  </si>
  <si>
    <t>Income Tax Expense</t>
  </si>
  <si>
    <t xml:space="preserve">  Earnings from Cont. Ops.</t>
  </si>
  <si>
    <t xml:space="preserve">  Net Income to Company</t>
  </si>
  <si>
    <t>Minority Int. in Earnings</t>
  </si>
  <si>
    <t xml:space="preserve">  Net Income</t>
  </si>
  <si>
    <t xml:space="preserve">  NI to Common Incl Extra Items</t>
  </si>
  <si>
    <t xml:space="preserve">  NI to Common Excl. Extra Items</t>
  </si>
  <si>
    <t>Per Share Items</t>
  </si>
  <si>
    <t>Basic EPS</t>
  </si>
  <si>
    <t>Weighted Avg. Basic Shares Out.</t>
  </si>
  <si>
    <t>Diluted EPS</t>
  </si>
  <si>
    <t>COMMON SIZING AND TREND ANALYSIS (in millions Except Per Share Data)</t>
  </si>
  <si>
    <t>Cash And Equivalents</t>
  </si>
  <si>
    <t>Trading Asset Securities</t>
  </si>
  <si>
    <t>Total Cash &amp; ST Investments</t>
  </si>
  <si>
    <t>Accounts Receivable</t>
  </si>
  <si>
    <t>Other Receivables</t>
  </si>
  <si>
    <t>Total Receivables</t>
  </si>
  <si>
    <t>Inventory</t>
  </si>
  <si>
    <t>Prepaid Exp.</t>
  </si>
  <si>
    <t>Restricted Cash</t>
  </si>
  <si>
    <t>Other Current Assets</t>
  </si>
  <si>
    <t>Gross Property, Plant &amp; Equipment</t>
  </si>
  <si>
    <t>Accumulated Depreciation</t>
  </si>
  <si>
    <t>Net Property, Plant &amp; Equipment</t>
  </si>
  <si>
    <t>Long-term Investments</t>
  </si>
  <si>
    <t>Other Intangibles</t>
  </si>
  <si>
    <t>Deferred Tax Assets, LT</t>
  </si>
  <si>
    <t>Other Long-Term Assets</t>
  </si>
  <si>
    <t>LIABILITIES</t>
  </si>
  <si>
    <t>Accounts Payable</t>
  </si>
  <si>
    <t>Accrued Exp.</t>
  </si>
  <si>
    <t>Short-term Borrowings</t>
  </si>
  <si>
    <t>Curr. Port. of LT Debt</t>
  </si>
  <si>
    <t>Curr. Port. of Leases</t>
  </si>
  <si>
    <t>Curr. Income Taxes Payable</t>
  </si>
  <si>
    <t>Other Current Liabilities</t>
  </si>
  <si>
    <t>Long-Term Debt</t>
  </si>
  <si>
    <t>Long-Term Leases</t>
  </si>
  <si>
    <t>Common Stock</t>
  </si>
  <si>
    <t>Additional Paid In Capital</t>
  </si>
  <si>
    <t>Retained Earnings</t>
  </si>
  <si>
    <t>Comprehensive Inc. and Other</t>
  </si>
  <si>
    <t>Total Common Equity</t>
  </si>
  <si>
    <t>Minority Interest</t>
  </si>
  <si>
    <t>Total Liabilities And Equity</t>
  </si>
  <si>
    <t>price per share</t>
  </si>
  <si>
    <t xml:space="preserve">       Other current assets</t>
  </si>
  <si>
    <t xml:space="preserve">      Accrued expenses</t>
  </si>
  <si>
    <t xml:space="preserve">      Common stock (par value)</t>
  </si>
  <si>
    <t xml:space="preserve">      Additional paid-in capital</t>
  </si>
  <si>
    <t xml:space="preserve">      Retained earnings</t>
  </si>
  <si>
    <t xml:space="preserve">      Other  </t>
  </si>
  <si>
    <t>Market Value of Equity Calculation</t>
  </si>
  <si>
    <t xml:space="preserve"> Financials </t>
  </si>
  <si>
    <t>Market Value = Number of shares outstanding * Stock Price</t>
  </si>
  <si>
    <t xml:space="preserve">Total Assets </t>
  </si>
  <si>
    <t>Monster</t>
  </si>
  <si>
    <t>PepsiCo</t>
  </si>
  <si>
    <t>Coca-Cola</t>
  </si>
  <si>
    <t>CELH</t>
  </si>
  <si>
    <t>KDP</t>
  </si>
  <si>
    <t>Total Sales</t>
  </si>
  <si>
    <t>Short-term Solvency Ratios / Liquidity Ratios</t>
  </si>
  <si>
    <t xml:space="preserve">Longt-term Solvency Ratios </t>
  </si>
  <si>
    <t>Asset Management / Turnover Ratios</t>
  </si>
  <si>
    <t>Market Value Ratios</t>
  </si>
  <si>
    <t>Longt-term Solvency Ratios</t>
  </si>
  <si>
    <t>Profitability Ratios</t>
  </si>
  <si>
    <t>Interval Measure = Current Assets / Average Daily Costs (COGS + Oper. Exp.)</t>
  </si>
  <si>
    <t>Total Debt Ratio = Financial Debt / Total Assets</t>
  </si>
  <si>
    <t xml:space="preserve">      Interest income / (expense)</t>
  </si>
  <si>
    <t>COCA COLA</t>
  </si>
  <si>
    <t>MONSTER</t>
  </si>
  <si>
    <t>PEPSI CO</t>
  </si>
  <si>
    <t>CELSIUS</t>
  </si>
  <si>
    <t xml:space="preserve">    Other current liabilities</t>
  </si>
  <si>
    <t xml:space="preserve">      Deferred revenue</t>
  </si>
  <si>
    <t>Converitble preferred stock</t>
  </si>
  <si>
    <t>DR. PEPPER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</si>
</sst>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0.0%"/>
    <numFmt numFmtId="165" formatCode="&quot;$&quot;#,##0.00"/>
    <numFmt numFmtId="166" formatCode="0.0"/>
    <numFmt numFmtId="167" formatCode="&quot;$&quot;#,##0.0"/>
    <numFmt numFmtId="168" formatCode="#,##0.0"/>
    <numFmt numFmtId="169" formatCode="0.00\x"/>
    <numFmt numFmtId="170" formatCode="&quot;$&quot;#,##0"/>
    <numFmt numFmtId="171" formatCode="\+0.0%;\ \(0.0\)%"/>
    <numFmt numFmtId="172" formatCode="0.0\x"/>
    <numFmt numFmtId="173" formatCode="_([$$-409]* #,##0_);_([$$-409]* \(#,##0\);_([$$-409]* &quot;-&quot;_);_(@_)"/>
    <numFmt numFmtId="174" formatCode="&quot;$&quot;#,##0.000_);[Red]\(&quot;$&quot;#,##0.000\)"/>
    <numFmt numFmtId="175" formatCode="&quot;$&quot;#,##0.0000_);[Red]\(&quot;$&quot;#,##0.0000\)"/>
    <numFmt numFmtId="176" formatCode="_(&quot;$&quot;* #,##0_);_(&quot;$&quot;* \(#,##0\);_(&quot;$&quot;* &quot;-&quot;??_);_(@_)"/>
    <numFmt numFmtId="177" formatCode="0.000"/>
    <numFmt numFmtId="178" formatCode="_(* #,##0.0_);_(* \(#,##0.0\);_(* &quot;-&quot;??_);_(@_)"/>
    <numFmt numFmtId="179" formatCode="_(* #,##0_);_(* \(#,##0\);_(* &quot;-&quot;??_);_(@_)"/>
    <numFmt numFmtId="180" formatCode="0.00%;\(0.00%\)"/>
  </numFmts>
  <fonts count="74" x14ac:knownFonts="1">
    <font>
      <sz val="11"/>
      <color theme="1"/>
      <name val="Calibri"/>
      <family val="2"/>
      <scheme val="minor"/>
    </font>
    <font>
      <sz val="9"/>
      <color indexed="81"/>
      <name val="Tahoma"/>
      <family val="2"/>
    </font>
    <font>
      <sz val="8"/>
      <name val="Calibri"/>
      <family val="2"/>
    </font>
    <font>
      <b/>
      <sz val="11"/>
      <name val="Times New Roman"/>
      <family val="1"/>
    </font>
    <font>
      <sz val="8"/>
      <name val="Calibri"/>
      <family val="2"/>
    </font>
    <font>
      <sz val="9"/>
      <color indexed="8"/>
      <name val="Tahoma"/>
      <family val="2"/>
    </font>
    <font>
      <sz val="11"/>
      <color theme="1"/>
      <name val="Calibri"/>
      <family val="2"/>
      <scheme val="minor"/>
    </font>
    <font>
      <b/>
      <sz val="12"/>
      <color theme="1"/>
      <name val="Times New Roman"/>
      <family val="2"/>
    </font>
    <font>
      <sz val="9"/>
      <color theme="1"/>
      <name val="Times New Roman"/>
      <family val="1"/>
    </font>
    <font>
      <sz val="10"/>
      <color theme="1"/>
      <name val="Times New Roman"/>
      <family val="1"/>
    </font>
    <font>
      <b/>
      <sz val="11"/>
      <color theme="1"/>
      <name val="Times New Roman"/>
      <family val="1"/>
    </font>
    <font>
      <sz val="10"/>
      <color theme="1"/>
      <name val="Calibri"/>
      <family val="2"/>
      <scheme val="minor"/>
    </font>
    <font>
      <sz val="11"/>
      <color theme="1"/>
      <name val="Times New Roman"/>
      <family val="1"/>
    </font>
    <font>
      <b/>
      <sz val="10"/>
      <color theme="1"/>
      <name val="Times New Roman"/>
      <family val="1"/>
    </font>
    <font>
      <u/>
      <sz val="10"/>
      <color theme="1"/>
      <name val="Times New Roman"/>
      <family val="1"/>
    </font>
    <font>
      <sz val="18"/>
      <color theme="1"/>
      <name val="Times New Roman"/>
      <family val="1"/>
    </font>
    <font>
      <sz val="10"/>
      <color rgb="FF000000"/>
      <name val="Times New Roman"/>
      <family val="1"/>
    </font>
    <font>
      <sz val="11"/>
      <color rgb="FF000000"/>
      <name val="Times New Roman"/>
      <family val="1"/>
    </font>
    <font>
      <b/>
      <sz val="11"/>
      <color rgb="FF000000"/>
      <name val="Times New Roman"/>
      <family val="1"/>
    </font>
    <font>
      <sz val="11"/>
      <color rgb="FF000000"/>
      <name val="Calibri"/>
      <family val="2"/>
      <scheme val="minor"/>
    </font>
    <font>
      <sz val="9"/>
      <color rgb="FF000000"/>
      <name val="Times New Roman"/>
      <family val="1"/>
    </font>
    <font>
      <u/>
      <sz val="10"/>
      <color rgb="FF000000"/>
      <name val="Times New Roman"/>
      <family val="1"/>
    </font>
    <font>
      <b/>
      <sz val="10"/>
      <color rgb="FF000000"/>
      <name val="Times New Roman"/>
      <family val="1"/>
    </font>
    <font>
      <b/>
      <sz val="12"/>
      <color theme="1"/>
      <name val="Calibri"/>
      <family val="2"/>
      <scheme val="minor"/>
    </font>
    <font>
      <b/>
      <sz val="9"/>
      <color theme="1"/>
      <name val="Times New Roman"/>
      <family val="1"/>
    </font>
    <font>
      <u/>
      <sz val="12"/>
      <color theme="1"/>
      <name val="Times New Roman"/>
      <family val="1"/>
    </font>
    <font>
      <sz val="8"/>
      <color theme="1"/>
      <name val="Times New Roman"/>
      <family val="1"/>
    </font>
    <font>
      <b/>
      <sz val="12"/>
      <color rgb="FF000000"/>
      <name val="Times New Roman"/>
      <family val="1"/>
    </font>
    <font>
      <sz val="12"/>
      <color rgb="FF000000"/>
      <name val="Times New Roman"/>
      <family val="1"/>
    </font>
    <font>
      <b/>
      <sz val="14"/>
      <color theme="1"/>
      <name val="Times New Roman"/>
      <family val="1"/>
    </font>
    <font>
      <b/>
      <sz val="11"/>
      <color theme="1"/>
      <name val="Calibri"/>
      <family val="2"/>
      <scheme val="minor"/>
    </font>
    <font>
      <sz val="8"/>
      <name val="Calibri"/>
      <family val="2"/>
      <scheme val="minor"/>
    </font>
    <font>
      <b/>
      <sz val="11"/>
      <color rgb="FF000000"/>
      <name val="Calibri"/>
      <family val="2"/>
      <scheme val="minor"/>
    </font>
    <font>
      <sz val="8"/>
      <color rgb="FF000000"/>
      <name val="Helvetica"/>
      <family val="2"/>
    </font>
    <font>
      <b/>
      <sz val="8"/>
      <color rgb="FF000000"/>
      <name val="Helvetica"/>
      <family val="2"/>
    </font>
    <font>
      <u/>
      <sz val="11"/>
      <color theme="10"/>
      <name val="Calibri"/>
      <family val="2"/>
      <scheme val="minor"/>
    </font>
    <font>
      <b/>
      <sz val="11"/>
      <color rgb="FF000000"/>
      <name val="Aptos Narrow"/>
      <family val="2"/>
      <charset val="1"/>
    </font>
    <font>
      <sz val="12"/>
      <color rgb="FF000000"/>
      <name val="Aptos Narrow"/>
      <family val="2"/>
      <charset val="1"/>
    </font>
    <font>
      <sz val="8"/>
      <color rgb="FF000000"/>
      <name val="Helvetica"/>
      <family val="2"/>
      <charset val="1"/>
    </font>
    <font>
      <b/>
      <sz val="12"/>
      <color rgb="FF000000"/>
      <name val="Aptos Narrow"/>
      <family val="2"/>
      <charset val="1"/>
    </font>
    <font>
      <b/>
      <sz val="8"/>
      <color rgb="FF000000"/>
      <name val="Helvetica"/>
      <family val="2"/>
      <charset val="1"/>
    </font>
    <font>
      <sz val="8"/>
      <color rgb="FFFF0000"/>
      <name val="Helvetica"/>
      <family val="2"/>
      <charset val="1"/>
    </font>
    <font>
      <b/>
      <sz val="11"/>
      <color rgb="FF242424"/>
      <name val="Aptos Narrow"/>
    </font>
    <font>
      <sz val="10"/>
      <color rgb="FFFF0000"/>
      <name val="Times New Roman"/>
      <family val="1"/>
    </font>
    <font>
      <sz val="8"/>
      <color rgb="FF000000"/>
      <name val="Helvetica"/>
      <family val="2"/>
    </font>
    <font>
      <sz val="11"/>
      <color rgb="FF242424"/>
      <name val="Aptos Narrow"/>
    </font>
    <font>
      <sz val="10"/>
      <color rgb="FF002060"/>
      <name val="Times New Roman"/>
      <family val="1"/>
    </font>
    <font>
      <b/>
      <sz val="11"/>
      <color theme="0"/>
      <name val="Calibri"/>
      <family val="2"/>
      <scheme val="minor"/>
    </font>
    <font>
      <sz val="11"/>
      <color rgb="FF000000"/>
      <name val="Calibri"/>
      <family val="2"/>
      <charset val="1"/>
    </font>
    <font>
      <b/>
      <sz val="11"/>
      <name val="Calibri"/>
      <family val="2"/>
      <charset val="1"/>
    </font>
    <font>
      <u/>
      <sz val="11"/>
      <color rgb="FF000000"/>
      <name val="Times New Roman"/>
      <family val="1"/>
    </font>
    <font>
      <sz val="11"/>
      <color theme="1"/>
      <name val="Times New Roman"/>
      <family val="1"/>
    </font>
    <font>
      <u/>
      <sz val="11"/>
      <color theme="1"/>
      <name val="Times New Roman"/>
      <family val="1"/>
    </font>
    <font>
      <b/>
      <sz val="11"/>
      <color theme="1"/>
      <name val="Times New Roman"/>
      <family val="1"/>
    </font>
    <font>
      <b/>
      <u/>
      <sz val="10"/>
      <color theme="1"/>
      <name val="Times New Roman"/>
      <family val="1"/>
    </font>
    <font>
      <b/>
      <sz val="9"/>
      <color rgb="FF000000"/>
      <name val="Times New Roman"/>
      <family val="1"/>
    </font>
    <font>
      <sz val="12"/>
      <color rgb="FF000000"/>
      <name val="Calibri"/>
      <family val="2"/>
      <charset val="1"/>
    </font>
    <font>
      <b/>
      <sz val="14"/>
      <name val="Calibri"/>
      <family val="2"/>
      <scheme val="minor"/>
    </font>
    <font>
      <b/>
      <sz val="14"/>
      <color theme="1"/>
      <name val="Calibri"/>
      <family val="2"/>
      <scheme val="minor"/>
    </font>
    <font>
      <b/>
      <sz val="11"/>
      <color rgb="FF000000"/>
      <name val="Calibri"/>
      <family val="2"/>
      <charset val="1"/>
    </font>
    <font>
      <b/>
      <sz val="12"/>
      <name val="Calibri"/>
      <family val="2"/>
      <charset val="1"/>
    </font>
    <font>
      <b/>
      <sz val="12"/>
      <color theme="1"/>
      <name val="Times New Roman"/>
      <family val="1"/>
    </font>
    <font>
      <sz val="11"/>
      <color theme="1"/>
      <name val="Calibri"/>
      <family val="2"/>
    </font>
    <font>
      <b/>
      <sz val="11"/>
      <color rgb="FFFFFFFF"/>
      <name val="Calibri"/>
      <family val="2"/>
      <scheme val="minor"/>
    </font>
    <font>
      <b/>
      <sz val="11"/>
      <color rgb="FFFFFFFF"/>
      <name val="Calibri"/>
      <family val="2"/>
    </font>
    <font>
      <sz val="11"/>
      <color rgb="FF000000"/>
      <name val="Calibri"/>
      <family val="2"/>
    </font>
    <font>
      <b/>
      <sz val="11"/>
      <color rgb="FF000000"/>
      <name val="Calibri"/>
      <family val="2"/>
    </font>
    <font>
      <sz val="18"/>
      <color rgb="FF000000"/>
      <name val="Times New Roman"/>
      <family val="1"/>
    </font>
    <font>
      <sz val="9"/>
      <color rgb="FF000000"/>
      <name val="Tahoma"/>
      <family val="2"/>
    </font>
    <font>
      <b/>
      <sz val="10"/>
      <name val="Times New Roman"/>
      <family val="1"/>
    </font>
    <font>
      <sz val="10"/>
      <color rgb="FF242424"/>
      <name val="Times New Roman"/>
      <family val="1"/>
    </font>
    <font>
      <b/>
      <sz val="10"/>
      <color theme="0"/>
      <name val="Times New Roman"/>
      <family val="1"/>
    </font>
    <font>
      <strike/>
      <sz val="9"/>
      <color rgb="FF000000"/>
      <name val="Times New Roman"/>
      <family val="1"/>
    </font>
    <font>
      <b/>
      <sz val="11"/>
      <color theme="0"/>
      <name val="Aptos Narrow"/>
    </font>
  </fonts>
  <fills count="10">
    <fill>
      <patternFill patternType="none"/>
    </fill>
    <fill>
      <patternFill patternType="gray125"/>
    </fill>
    <fill>
      <patternFill patternType="solid">
        <fgColor rgb="FFF2CEEF"/>
        <bgColor indexed="64"/>
      </patternFill>
    </fill>
    <fill>
      <patternFill patternType="solid">
        <fgColor theme="9" tint="0.79998168889431442"/>
        <bgColor indexed="64"/>
      </patternFill>
    </fill>
    <fill>
      <patternFill patternType="solid">
        <fgColor rgb="FF002060"/>
        <bgColor indexed="64"/>
      </patternFill>
    </fill>
    <fill>
      <patternFill patternType="solid">
        <fgColor theme="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0"/>
        <bgColor indexed="64"/>
      </patternFill>
    </fill>
    <fill>
      <patternFill patternType="solid">
        <fgColor rgb="FFFFFFFF"/>
        <bgColor indexed="64"/>
      </patternFill>
    </fill>
  </fills>
  <borders count="51">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bottom style="double">
        <color rgb="FF000000"/>
      </bottom>
      <diagonal/>
    </border>
    <border>
      <left/>
      <right/>
      <top style="thin">
        <color rgb="FF000000"/>
      </top>
      <bottom style="medium">
        <color rgb="FF000000"/>
      </bottom>
      <diagonal/>
    </border>
    <border>
      <left/>
      <right/>
      <top style="thin">
        <color rgb="FF000000"/>
      </top>
      <bottom style="double">
        <color rgb="FF000000"/>
      </bottom>
      <diagonal/>
    </border>
    <border>
      <left/>
      <right/>
      <top style="thin">
        <color rgb="FF000000"/>
      </top>
      <bottom style="thin">
        <color rgb="FF000000"/>
      </bottom>
      <diagonal/>
    </border>
    <border>
      <left/>
      <right/>
      <top/>
      <bottom style="thin">
        <color rgb="FF000000"/>
      </bottom>
      <diagonal/>
    </border>
    <border>
      <left/>
      <right/>
      <top/>
      <bottom style="medium">
        <color rgb="FF000000"/>
      </bottom>
      <diagonal/>
    </border>
    <border>
      <left/>
      <right style="thin">
        <color indexed="64"/>
      </right>
      <top style="thin">
        <color rgb="FF000000"/>
      </top>
      <bottom/>
      <diagonal/>
    </border>
    <border>
      <left/>
      <right style="thin">
        <color indexed="64"/>
      </right>
      <top style="thin">
        <color rgb="FF000000"/>
      </top>
      <bottom style="thin">
        <color rgb="FF000000"/>
      </bottom>
      <diagonal/>
    </border>
    <border>
      <left/>
      <right style="thin">
        <color rgb="FF000000"/>
      </right>
      <top/>
      <bottom style="thin">
        <color indexed="64"/>
      </bottom>
      <diagonal/>
    </border>
    <border>
      <left/>
      <right style="thin">
        <color indexed="64"/>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style="thin">
        <color rgb="FF000000"/>
      </right>
      <top/>
      <bottom style="thin">
        <color rgb="FF000000"/>
      </bottom>
      <diagonal/>
    </border>
    <border>
      <left style="thin">
        <color rgb="FF000000"/>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thin">
        <color rgb="FF000000"/>
      </right>
      <top/>
      <bottom/>
      <diagonal/>
    </border>
    <border>
      <left style="medium">
        <color rgb="FF000000"/>
      </left>
      <right style="medium">
        <color rgb="FF000000"/>
      </right>
      <top style="medium">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double">
        <color rgb="FF000000"/>
      </bottom>
      <diagonal/>
    </border>
    <border>
      <left/>
      <right style="thin">
        <color rgb="FF000000"/>
      </right>
      <top style="thin">
        <color rgb="FF000000"/>
      </top>
      <bottom style="double">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double">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double">
        <color rgb="FF000000"/>
      </bottom>
      <diagonal/>
    </border>
    <border>
      <left style="thin">
        <color rgb="FF000000"/>
      </left>
      <right/>
      <top/>
      <bottom style="double">
        <color rgb="FF000000"/>
      </bottom>
      <diagonal/>
    </border>
  </borders>
  <cellStyleXfs count="5">
    <xf numFmtId="0" fontId="0" fillId="0" borderId="0"/>
    <xf numFmtId="43" fontId="6" fillId="0" borderId="0" applyFont="0" applyFill="0" applyBorder="0" applyAlignment="0" applyProtection="0"/>
    <xf numFmtId="44" fontId="6" fillId="0" borderId="0" applyFont="0" applyFill="0" applyBorder="0" applyAlignment="0" applyProtection="0"/>
    <xf numFmtId="0" fontId="35" fillId="0" borderId="0" applyNumberFormat="0" applyFill="0" applyBorder="0" applyAlignment="0" applyProtection="0"/>
    <xf numFmtId="9" fontId="6" fillId="0" borderId="0" applyFont="0" applyFill="0" applyBorder="0" applyAlignment="0" applyProtection="0"/>
  </cellStyleXfs>
  <cellXfs count="691">
    <xf numFmtId="0" fontId="0" fillId="0" borderId="0" xfId="0"/>
    <xf numFmtId="0" fontId="8" fillId="0" borderId="0" xfId="0" applyFont="1"/>
    <xf numFmtId="0" fontId="9" fillId="0" borderId="0" xfId="0" applyFont="1"/>
    <xf numFmtId="0" fontId="10" fillId="0" borderId="0" xfId="0" applyFont="1" applyAlignment="1">
      <alignment horizontal="center"/>
    </xf>
    <xf numFmtId="0" fontId="11" fillId="0" borderId="0" xfId="0" applyFont="1"/>
    <xf numFmtId="0" fontId="12" fillId="0" borderId="0" xfId="0" applyFont="1"/>
    <xf numFmtId="0" fontId="10" fillId="0" borderId="1" xfId="0" applyFont="1" applyBorder="1" applyAlignment="1">
      <alignment horizontal="center"/>
    </xf>
    <xf numFmtId="0" fontId="10" fillId="0" borderId="2" xfId="0" applyFont="1" applyBorder="1"/>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0" xfId="0" applyFont="1"/>
    <xf numFmtId="42" fontId="13" fillId="0" borderId="0" xfId="0" applyNumberFormat="1" applyFont="1"/>
    <xf numFmtId="42" fontId="13" fillId="0" borderId="4" xfId="0" applyNumberFormat="1" applyFont="1" applyBorder="1"/>
    <xf numFmtId="164" fontId="13" fillId="0" borderId="5" xfId="0" applyNumberFormat="1" applyFont="1" applyBorder="1"/>
    <xf numFmtId="164" fontId="13" fillId="0" borderId="6" xfId="0" applyNumberFormat="1" applyFont="1" applyBorder="1"/>
    <xf numFmtId="2" fontId="13" fillId="0" borderId="5" xfId="0" applyNumberFormat="1" applyFont="1" applyBorder="1"/>
    <xf numFmtId="164" fontId="13" fillId="0" borderId="0" xfId="0" applyNumberFormat="1" applyFont="1"/>
    <xf numFmtId="164" fontId="13" fillId="0" borderId="4" xfId="0" applyNumberFormat="1" applyFont="1" applyBorder="1"/>
    <xf numFmtId="164" fontId="9" fillId="0" borderId="0" xfId="0" applyNumberFormat="1" applyFont="1"/>
    <xf numFmtId="164" fontId="9" fillId="0" borderId="4" xfId="0" applyNumberFormat="1" applyFont="1" applyBorder="1"/>
    <xf numFmtId="2" fontId="9" fillId="0" borderId="0" xfId="0" applyNumberFormat="1" applyFont="1"/>
    <xf numFmtId="3" fontId="14" fillId="0" borderId="0" xfId="1" applyNumberFormat="1" applyFont="1"/>
    <xf numFmtId="3" fontId="14" fillId="0" borderId="4" xfId="1" applyNumberFormat="1" applyFont="1" applyBorder="1"/>
    <xf numFmtId="3" fontId="14" fillId="0" borderId="0" xfId="1" applyNumberFormat="1" applyFont="1" applyBorder="1"/>
    <xf numFmtId="3" fontId="13" fillId="0" borderId="0" xfId="1" applyNumberFormat="1" applyFont="1" applyBorder="1"/>
    <xf numFmtId="3" fontId="13" fillId="0" borderId="4" xfId="1" applyNumberFormat="1" applyFont="1" applyBorder="1"/>
    <xf numFmtId="2" fontId="13" fillId="0" borderId="0" xfId="0" applyNumberFormat="1" applyFont="1"/>
    <xf numFmtId="42" fontId="9" fillId="0" borderId="0" xfId="0" applyNumberFormat="1" applyFont="1"/>
    <xf numFmtId="42" fontId="9" fillId="0" borderId="4" xfId="0" applyNumberFormat="1" applyFont="1" applyBorder="1"/>
    <xf numFmtId="2" fontId="11" fillId="0" borderId="0" xfId="0" applyNumberFormat="1" applyFont="1"/>
    <xf numFmtId="0" fontId="12" fillId="0" borderId="0" xfId="0" applyFont="1" applyAlignment="1">
      <alignment horizontal="center"/>
    </xf>
    <xf numFmtId="3" fontId="9" fillId="0" borderId="0" xfId="0" applyNumberFormat="1" applyFont="1"/>
    <xf numFmtId="3" fontId="9" fillId="0" borderId="4" xfId="0" applyNumberFormat="1" applyFont="1" applyBorder="1"/>
    <xf numFmtId="3" fontId="14" fillId="0" borderId="0" xfId="0" applyNumberFormat="1" applyFont="1"/>
    <xf numFmtId="3" fontId="14" fillId="0" borderId="4" xfId="0" applyNumberFormat="1" applyFont="1" applyBorder="1"/>
    <xf numFmtId="1" fontId="9" fillId="0" borderId="0" xfId="0" applyNumberFormat="1" applyFont="1"/>
    <xf numFmtId="1" fontId="9" fillId="0" borderId="4" xfId="0" applyNumberFormat="1" applyFont="1" applyBorder="1"/>
    <xf numFmtId="3" fontId="13" fillId="0" borderId="0" xfId="0" applyNumberFormat="1" applyFont="1"/>
    <xf numFmtId="3" fontId="13" fillId="0" borderId="4" xfId="0" applyNumberFormat="1" applyFont="1" applyBorder="1"/>
    <xf numFmtId="165" fontId="9" fillId="0" borderId="0" xfId="0" applyNumberFormat="1" applyFont="1"/>
    <xf numFmtId="165" fontId="9" fillId="0" borderId="4" xfId="0" applyNumberFormat="1" applyFont="1" applyBorder="1"/>
    <xf numFmtId="166" fontId="9" fillId="0" borderId="0" xfId="0" applyNumberFormat="1" applyFont="1"/>
    <xf numFmtId="166" fontId="9" fillId="0" borderId="4" xfId="0" applyNumberFormat="1" applyFont="1" applyBorder="1"/>
    <xf numFmtId="0" fontId="8" fillId="0" borderId="1" xfId="0" applyFont="1" applyBorder="1"/>
    <xf numFmtId="166" fontId="9" fillId="0" borderId="1" xfId="0" applyNumberFormat="1" applyFont="1" applyBorder="1"/>
    <xf numFmtId="164" fontId="9" fillId="0" borderId="1" xfId="0" applyNumberFormat="1" applyFont="1" applyBorder="1"/>
    <xf numFmtId="2" fontId="9" fillId="0" borderId="1" xfId="0" applyNumberFormat="1" applyFont="1" applyBorder="1"/>
    <xf numFmtId="0" fontId="15" fillId="0" borderId="0" xfId="0" applyFont="1"/>
    <xf numFmtId="0" fontId="16" fillId="0" borderId="0" xfId="0" applyFont="1"/>
    <xf numFmtId="0" fontId="17" fillId="0" borderId="0" xfId="0" applyFont="1"/>
    <xf numFmtId="0" fontId="18" fillId="0" borderId="0" xfId="0" applyFont="1"/>
    <xf numFmtId="0" fontId="17" fillId="0" borderId="0" xfId="0" applyFont="1" applyAlignment="1">
      <alignment horizontal="left"/>
    </xf>
    <xf numFmtId="0" fontId="12" fillId="0" borderId="0" xfId="0" applyFont="1" applyAlignment="1">
      <alignment horizontal="left"/>
    </xf>
    <xf numFmtId="0" fontId="10" fillId="0" borderId="0" xfId="0" applyFont="1" applyAlignment="1">
      <alignment horizontal="left"/>
    </xf>
    <xf numFmtId="166" fontId="8" fillId="0" borderId="0" xfId="0" applyNumberFormat="1" applyFont="1"/>
    <xf numFmtId="0" fontId="19" fillId="0" borderId="0" xfId="0" applyFont="1"/>
    <xf numFmtId="3" fontId="20" fillId="0" borderId="0" xfId="0" applyNumberFormat="1" applyFont="1"/>
    <xf numFmtId="167" fontId="16" fillId="0" borderId="0" xfId="0" applyNumberFormat="1" applyFont="1"/>
    <xf numFmtId="168" fontId="21" fillId="0" borderId="0" xfId="0" applyNumberFormat="1" applyFont="1"/>
    <xf numFmtId="168" fontId="16" fillId="0" borderId="0" xfId="0" applyNumberFormat="1" applyFont="1"/>
    <xf numFmtId="167" fontId="22" fillId="0" borderId="2" xfId="0" applyNumberFormat="1" applyFont="1" applyBorder="1"/>
    <xf numFmtId="3" fontId="16" fillId="0" borderId="0" xfId="0" applyNumberFormat="1" applyFont="1"/>
    <xf numFmtId="167" fontId="22" fillId="0" borderId="1" xfId="0" applyNumberFormat="1" applyFont="1" applyBorder="1"/>
    <xf numFmtId="8" fontId="12" fillId="0" borderId="0" xfId="0" applyNumberFormat="1" applyFont="1"/>
    <xf numFmtId="2" fontId="12" fillId="0" borderId="0" xfId="0" applyNumberFormat="1" applyFont="1"/>
    <xf numFmtId="169" fontId="12" fillId="0" borderId="7" xfId="0" applyNumberFormat="1" applyFont="1" applyBorder="1"/>
    <xf numFmtId="2" fontId="12" fillId="0" borderId="7" xfId="0" applyNumberFormat="1" applyFont="1" applyBorder="1"/>
    <xf numFmtId="2" fontId="12" fillId="0" borderId="7" xfId="0" applyNumberFormat="1" applyFont="1" applyBorder="1" applyAlignment="1">
      <alignment horizontal="right"/>
    </xf>
    <xf numFmtId="10" fontId="12" fillId="0" borderId="7" xfId="0" applyNumberFormat="1" applyFont="1" applyBorder="1"/>
    <xf numFmtId="164" fontId="8" fillId="0" borderId="0" xfId="0" applyNumberFormat="1" applyFont="1"/>
    <xf numFmtId="2" fontId="8" fillId="0" borderId="0" xfId="0" applyNumberFormat="1" applyFont="1"/>
    <xf numFmtId="0" fontId="22" fillId="0" borderId="0" xfId="0" applyFont="1" applyAlignment="1">
      <alignment horizontal="center"/>
    </xf>
    <xf numFmtId="0" fontId="16" fillId="0" borderId="1" xfId="0" applyFont="1" applyBorder="1"/>
    <xf numFmtId="0" fontId="16" fillId="0" borderId="1" xfId="0" applyFont="1" applyBorder="1" applyAlignment="1">
      <alignment horizontal="center"/>
    </xf>
    <xf numFmtId="3" fontId="20" fillId="0" borderId="4" xfId="0" applyNumberFormat="1" applyFont="1" applyBorder="1"/>
    <xf numFmtId="164" fontId="20" fillId="0" borderId="5" xfId="0" applyNumberFormat="1" applyFont="1" applyBorder="1"/>
    <xf numFmtId="164" fontId="20" fillId="0" borderId="0" xfId="0" applyNumberFormat="1" applyFont="1"/>
    <xf numFmtId="164" fontId="20" fillId="0" borderId="4" xfId="0" applyNumberFormat="1" applyFont="1" applyBorder="1"/>
    <xf numFmtId="3" fontId="20" fillId="0" borderId="5" xfId="0" applyNumberFormat="1" applyFont="1" applyBorder="1"/>
    <xf numFmtId="170" fontId="16" fillId="0" borderId="0" xfId="0" applyNumberFormat="1" applyFont="1"/>
    <xf numFmtId="170" fontId="16" fillId="0" borderId="4" xfId="0" applyNumberFormat="1" applyFont="1" applyBorder="1"/>
    <xf numFmtId="164" fontId="16" fillId="0" borderId="0" xfId="0" applyNumberFormat="1" applyFont="1"/>
    <xf numFmtId="164" fontId="16" fillId="0" borderId="4" xfId="0" applyNumberFormat="1" applyFont="1" applyBorder="1"/>
    <xf numFmtId="2" fontId="16" fillId="0" borderId="0" xfId="0" applyNumberFormat="1" applyFont="1"/>
    <xf numFmtId="3" fontId="21" fillId="0" borderId="0" xfId="0" applyNumberFormat="1" applyFont="1"/>
    <xf numFmtId="3" fontId="21" fillId="0" borderId="4" xfId="0" applyNumberFormat="1" applyFont="1" applyBorder="1"/>
    <xf numFmtId="3" fontId="16" fillId="0" borderId="4" xfId="0" applyNumberFormat="1" applyFont="1" applyBorder="1"/>
    <xf numFmtId="170" fontId="22" fillId="0" borderId="2" xfId="0" applyNumberFormat="1" applyFont="1" applyBorder="1"/>
    <xf numFmtId="170" fontId="22" fillId="0" borderId="3" xfId="0" applyNumberFormat="1" applyFont="1" applyBorder="1"/>
    <xf numFmtId="164" fontId="22" fillId="0" borderId="2" xfId="0" applyNumberFormat="1" applyFont="1" applyBorder="1"/>
    <xf numFmtId="164" fontId="22" fillId="0" borderId="3" xfId="0" applyNumberFormat="1" applyFont="1" applyBorder="1"/>
    <xf numFmtId="2" fontId="22" fillId="0" borderId="2" xfId="0" applyNumberFormat="1" applyFont="1" applyBorder="1"/>
    <xf numFmtId="164" fontId="16" fillId="0" borderId="5" xfId="0" applyNumberFormat="1" applyFont="1" applyBorder="1"/>
    <xf numFmtId="164" fontId="16" fillId="0" borderId="6" xfId="0" applyNumberFormat="1" applyFont="1" applyBorder="1"/>
    <xf numFmtId="2" fontId="16" fillId="0" borderId="5" xfId="0" applyNumberFormat="1" applyFont="1" applyBorder="1"/>
    <xf numFmtId="164" fontId="16" fillId="0" borderId="1" xfId="0" applyNumberFormat="1" applyFont="1" applyBorder="1"/>
    <xf numFmtId="170" fontId="22" fillId="0" borderId="1" xfId="0" applyNumberFormat="1" applyFont="1" applyBorder="1"/>
    <xf numFmtId="170" fontId="22" fillId="0" borderId="8" xfId="0" applyNumberFormat="1" applyFont="1" applyBorder="1"/>
    <xf numFmtId="164" fontId="22" fillId="0" borderId="1" xfId="0" applyNumberFormat="1" applyFont="1" applyBorder="1"/>
    <xf numFmtId="164" fontId="22" fillId="0" borderId="8" xfId="0" applyNumberFormat="1" applyFont="1" applyBorder="1"/>
    <xf numFmtId="169" fontId="12" fillId="0" borderId="0" xfId="0" applyNumberFormat="1" applyFont="1"/>
    <xf numFmtId="0" fontId="12" fillId="0" borderId="2" xfId="0" applyFont="1" applyBorder="1" applyAlignment="1">
      <alignment horizontal="center" vertical="center"/>
    </xf>
    <xf numFmtId="0" fontId="12" fillId="0" borderId="0" xfId="0" applyFont="1" applyAlignment="1">
      <alignment horizontal="left" vertical="center"/>
    </xf>
    <xf numFmtId="2" fontId="12" fillId="0" borderId="0" xfId="0" applyNumberFormat="1" applyFont="1" applyAlignment="1">
      <alignment horizontal="right"/>
    </xf>
    <xf numFmtId="10" fontId="12" fillId="0" borderId="0" xfId="0" applyNumberFormat="1" applyFont="1"/>
    <xf numFmtId="0" fontId="0" fillId="0" borderId="1" xfId="0" applyBorder="1"/>
    <xf numFmtId="0" fontId="7" fillId="0" borderId="0" xfId="0" applyFont="1"/>
    <xf numFmtId="0" fontId="12" fillId="0" borderId="0" xfId="0" applyFont="1" applyAlignment="1">
      <alignment vertical="center"/>
    </xf>
    <xf numFmtId="171" fontId="13" fillId="0" borderId="0" xfId="0" applyNumberFormat="1" applyFont="1"/>
    <xf numFmtId="0" fontId="23" fillId="0" borderId="0" xfId="0" applyFont="1"/>
    <xf numFmtId="42" fontId="13" fillId="0" borderId="0" xfId="2" applyNumberFormat="1" applyFont="1" applyBorder="1"/>
    <xf numFmtId="0" fontId="18" fillId="0" borderId="0" xfId="0" applyFont="1" applyAlignment="1">
      <alignment horizontal="center"/>
    </xf>
    <xf numFmtId="167" fontId="22" fillId="0" borderId="0" xfId="0" applyNumberFormat="1" applyFont="1"/>
    <xf numFmtId="170" fontId="22" fillId="0" borderId="0" xfId="0" applyNumberFormat="1" applyFont="1"/>
    <xf numFmtId="164" fontId="22" fillId="0" borderId="0" xfId="0" applyNumberFormat="1" applyFont="1"/>
    <xf numFmtId="168" fontId="20" fillId="0" borderId="0" xfId="0" applyNumberFormat="1" applyFont="1"/>
    <xf numFmtId="2" fontId="20" fillId="0" borderId="0" xfId="0" applyNumberFormat="1" applyFont="1"/>
    <xf numFmtId="10" fontId="24" fillId="0" borderId="0" xfId="0" applyNumberFormat="1" applyFont="1"/>
    <xf numFmtId="170" fontId="22" fillId="0" borderId="4" xfId="0" applyNumberFormat="1" applyFont="1" applyBorder="1"/>
    <xf numFmtId="164" fontId="22" fillId="0" borderId="4" xfId="0" applyNumberFormat="1" applyFont="1" applyBorder="1"/>
    <xf numFmtId="2" fontId="22" fillId="0" borderId="0" xfId="0" applyNumberFormat="1" applyFont="1"/>
    <xf numFmtId="0" fontId="18" fillId="0" borderId="2" xfId="0" applyFont="1" applyBorder="1" applyAlignment="1">
      <alignment horizontal="left"/>
    </xf>
    <xf numFmtId="0" fontId="18" fillId="0" borderId="1" xfId="0" applyFont="1" applyBorder="1" applyAlignment="1">
      <alignment horizontal="left"/>
    </xf>
    <xf numFmtId="0" fontId="25" fillId="0" borderId="0" xfId="0" applyFont="1" applyAlignment="1">
      <alignment horizontal="center" vertical="center"/>
    </xf>
    <xf numFmtId="172" fontId="12" fillId="0" borderId="0" xfId="0" applyNumberFormat="1" applyFont="1"/>
    <xf numFmtId="173" fontId="12" fillId="0" borderId="0" xfId="1" applyNumberFormat="1" applyFont="1"/>
    <xf numFmtId="0" fontId="12" fillId="0" borderId="0" xfId="0" quotePrefix="1" applyFont="1" applyAlignment="1">
      <alignment horizontal="left"/>
    </xf>
    <xf numFmtId="0" fontId="0" fillId="0" borderId="2" xfId="0" applyBorder="1"/>
    <xf numFmtId="164" fontId="12" fillId="0" borderId="0" xfId="0" applyNumberFormat="1" applyFont="1"/>
    <xf numFmtId="0" fontId="15" fillId="0" borderId="1" xfId="0" applyFont="1" applyBorder="1"/>
    <xf numFmtId="2" fontId="8" fillId="0" borderId="1" xfId="0" applyNumberFormat="1" applyFont="1" applyBorder="1"/>
    <xf numFmtId="0" fontId="18" fillId="0" borderId="2" xfId="0" applyFont="1" applyBorder="1"/>
    <xf numFmtId="0" fontId="26" fillId="0" borderId="2" xfId="0" applyFont="1" applyBorder="1"/>
    <xf numFmtId="0" fontId="0" fillId="0" borderId="7" xfId="0" applyBorder="1"/>
    <xf numFmtId="0" fontId="3" fillId="0" borderId="2" xfId="0" applyFont="1" applyBorder="1" applyAlignment="1">
      <alignment horizontal="center" vertical="center"/>
    </xf>
    <xf numFmtId="0" fontId="30" fillId="0" borderId="0" xfId="0" applyFont="1"/>
    <xf numFmtId="0" fontId="34" fillId="0" borderId="0" xfId="0" applyFont="1"/>
    <xf numFmtId="0" fontId="35" fillId="0" borderId="0" xfId="3"/>
    <xf numFmtId="0" fontId="33" fillId="0" borderId="0" xfId="0" applyFont="1"/>
    <xf numFmtId="6" fontId="33" fillId="0" borderId="0" xfId="0" applyNumberFormat="1" applyFont="1"/>
    <xf numFmtId="3" fontId="33" fillId="0" borderId="0" xfId="0" applyNumberFormat="1" applyFont="1"/>
    <xf numFmtId="8" fontId="33" fillId="0" borderId="0" xfId="0" applyNumberFormat="1" applyFont="1"/>
    <xf numFmtId="10" fontId="13" fillId="0" borderId="5" xfId="0" applyNumberFormat="1" applyFont="1" applyBorder="1"/>
    <xf numFmtId="10" fontId="9" fillId="0" borderId="0" xfId="0" applyNumberFormat="1" applyFont="1"/>
    <xf numFmtId="10" fontId="13" fillId="0" borderId="0" xfId="0" applyNumberFormat="1" applyFont="1"/>
    <xf numFmtId="10" fontId="11" fillId="0" borderId="0" xfId="0" applyNumberFormat="1" applyFont="1"/>
    <xf numFmtId="0" fontId="6" fillId="0" borderId="0" xfId="3" applyFont="1"/>
    <xf numFmtId="10" fontId="16" fillId="0" borderId="0" xfId="0" applyNumberFormat="1" applyFont="1"/>
    <xf numFmtId="10" fontId="22" fillId="0" borderId="2" xfId="0" applyNumberFormat="1" applyFont="1" applyBorder="1"/>
    <xf numFmtId="10" fontId="22" fillId="0" borderId="0" xfId="0" applyNumberFormat="1" applyFont="1"/>
    <xf numFmtId="10" fontId="16" fillId="0" borderId="5" xfId="0" applyNumberFormat="1" applyFont="1" applyBorder="1"/>
    <xf numFmtId="9" fontId="16" fillId="0" borderId="0" xfId="4" applyFont="1"/>
    <xf numFmtId="9" fontId="22" fillId="0" borderId="2" xfId="4" applyFont="1" applyBorder="1"/>
    <xf numFmtId="6" fontId="0" fillId="0" borderId="0" xfId="0" applyNumberFormat="1"/>
    <xf numFmtId="0" fontId="20" fillId="0" borderId="0" xfId="0" applyFont="1"/>
    <xf numFmtId="0" fontId="7" fillId="0" borderId="0" xfId="0" applyFont="1" applyAlignment="1">
      <alignment horizontal="right"/>
    </xf>
    <xf numFmtId="0" fontId="36" fillId="2" borderId="9" xfId="0" applyFont="1" applyFill="1" applyBorder="1" applyAlignment="1">
      <alignment wrapText="1"/>
    </xf>
    <xf numFmtId="0" fontId="36" fillId="2" borderId="11" xfId="0" applyFont="1" applyFill="1" applyBorder="1" applyAlignment="1">
      <alignment wrapText="1"/>
    </xf>
    <xf numFmtId="0" fontId="36" fillId="2" borderId="12" xfId="0" applyFont="1" applyFill="1" applyBorder="1" applyAlignment="1">
      <alignment wrapText="1"/>
    </xf>
    <xf numFmtId="0" fontId="37" fillId="0" borderId="0" xfId="0" applyFont="1"/>
    <xf numFmtId="0" fontId="38" fillId="0" borderId="0" xfId="0" applyFont="1"/>
    <xf numFmtId="3" fontId="38" fillId="0" borderId="0" xfId="0" applyNumberFormat="1" applyFont="1"/>
    <xf numFmtId="0" fontId="39" fillId="0" borderId="10" xfId="0" applyFont="1" applyBorder="1"/>
    <xf numFmtId="0" fontId="39" fillId="0" borderId="13" xfId="0" applyFont="1" applyBorder="1"/>
    <xf numFmtId="0" fontId="39" fillId="0" borderId="0" xfId="0" applyFont="1"/>
    <xf numFmtId="2" fontId="38" fillId="0" borderId="0" xfId="0" applyNumberFormat="1" applyFont="1" applyAlignment="1">
      <alignment vertical="center"/>
    </xf>
    <xf numFmtId="2" fontId="40" fillId="0" borderId="10" xfId="0" applyNumberFormat="1" applyFont="1" applyBorder="1" applyAlignment="1">
      <alignment vertical="center"/>
    </xf>
    <xf numFmtId="2" fontId="40" fillId="0" borderId="13" xfId="0" applyNumberFormat="1" applyFont="1" applyBorder="1" applyAlignment="1">
      <alignment vertical="center"/>
    </xf>
    <xf numFmtId="0" fontId="40" fillId="0" borderId="0" xfId="0" applyFont="1"/>
    <xf numFmtId="6" fontId="41" fillId="0" borderId="0" xfId="0" applyNumberFormat="1" applyFont="1"/>
    <xf numFmtId="0" fontId="39" fillId="0" borderId="14" xfId="0" applyFont="1" applyBorder="1"/>
    <xf numFmtId="3" fontId="38" fillId="0" borderId="14" xfId="0" applyNumberFormat="1" applyFont="1" applyBorder="1"/>
    <xf numFmtId="3" fontId="40" fillId="0" borderId="14" xfId="0" applyNumberFormat="1" applyFont="1" applyBorder="1"/>
    <xf numFmtId="3" fontId="38" fillId="0" borderId="10" xfId="0" applyNumberFormat="1" applyFont="1" applyBorder="1"/>
    <xf numFmtId="0" fontId="39" fillId="0" borderId="15" xfId="0" applyFont="1" applyBorder="1"/>
    <xf numFmtId="3" fontId="38" fillId="0" borderId="15" xfId="0" applyNumberFormat="1" applyFont="1" applyBorder="1"/>
    <xf numFmtId="2" fontId="0" fillId="0" borderId="0" xfId="0" applyNumberFormat="1"/>
    <xf numFmtId="10" fontId="0" fillId="0" borderId="0" xfId="0" applyNumberFormat="1"/>
    <xf numFmtId="10" fontId="43" fillId="0" borderId="0" xfId="0" applyNumberFormat="1" applyFont="1"/>
    <xf numFmtId="0" fontId="44" fillId="0" borderId="0" xfId="0" applyFont="1"/>
    <xf numFmtId="0" fontId="45" fillId="0" borderId="0" xfId="0" applyFont="1"/>
    <xf numFmtId="164" fontId="9" fillId="0" borderId="16" xfId="0" applyNumberFormat="1" applyFont="1" applyBorder="1"/>
    <xf numFmtId="164" fontId="13" fillId="0" borderId="14" xfId="0" applyNumberFormat="1" applyFont="1" applyBorder="1"/>
    <xf numFmtId="164" fontId="11" fillId="0" borderId="0" xfId="0" applyNumberFormat="1" applyFont="1"/>
    <xf numFmtId="10" fontId="16" fillId="0" borderId="10" xfId="0" applyNumberFormat="1" applyFont="1" applyBorder="1"/>
    <xf numFmtId="164" fontId="16" fillId="0" borderId="18" xfId="0" applyNumberFormat="1" applyFont="1" applyBorder="1"/>
    <xf numFmtId="170" fontId="16" fillId="0" borderId="15" xfId="0" applyNumberFormat="1" applyFont="1" applyBorder="1"/>
    <xf numFmtId="10" fontId="22" fillId="0" borderId="15" xfId="0" applyNumberFormat="1" applyFont="1" applyBorder="1"/>
    <xf numFmtId="170" fontId="22" fillId="0" borderId="14" xfId="0" applyNumberFormat="1" applyFont="1" applyBorder="1"/>
    <xf numFmtId="170" fontId="22" fillId="0" borderId="5" xfId="0" applyNumberFormat="1" applyFont="1" applyBorder="1"/>
    <xf numFmtId="170" fontId="16" fillId="0" borderId="10" xfId="0" applyNumberFormat="1" applyFont="1" applyBorder="1"/>
    <xf numFmtId="170" fontId="0" fillId="0" borderId="0" xfId="0" applyNumberFormat="1"/>
    <xf numFmtId="164" fontId="16" fillId="0" borderId="16" xfId="0" applyNumberFormat="1" applyFont="1" applyBorder="1"/>
    <xf numFmtId="10" fontId="16" fillId="0" borderId="16" xfId="0" applyNumberFormat="1" applyFont="1" applyBorder="1"/>
    <xf numFmtId="164" fontId="16" fillId="0" borderId="21" xfId="0" applyNumberFormat="1" applyFont="1" applyBorder="1"/>
    <xf numFmtId="164" fontId="22" fillId="0" borderId="21" xfId="0" applyNumberFormat="1" applyFont="1" applyBorder="1"/>
    <xf numFmtId="164" fontId="22" fillId="0" borderId="16" xfId="0" applyNumberFormat="1" applyFont="1" applyBorder="1"/>
    <xf numFmtId="164" fontId="22" fillId="0" borderId="19" xfId="0" applyNumberFormat="1" applyFont="1" applyBorder="1"/>
    <xf numFmtId="164" fontId="22" fillId="0" borderId="15" xfId="0" applyNumberFormat="1" applyFont="1" applyBorder="1"/>
    <xf numFmtId="10" fontId="22" fillId="0" borderId="16" xfId="0" applyNumberFormat="1" applyFont="1" applyBorder="1"/>
    <xf numFmtId="164" fontId="22" fillId="0" borderId="14" xfId="0" applyNumberFormat="1" applyFont="1" applyBorder="1"/>
    <xf numFmtId="10" fontId="22" fillId="0" borderId="14" xfId="0" applyNumberFormat="1" applyFont="1" applyBorder="1"/>
    <xf numFmtId="164" fontId="16" fillId="0" borderId="10" xfId="0" applyNumberFormat="1" applyFont="1" applyBorder="1"/>
    <xf numFmtId="164" fontId="22" fillId="0" borderId="12" xfId="0" applyNumberFormat="1" applyFont="1" applyBorder="1"/>
    <xf numFmtId="10" fontId="22" fillId="0" borderId="12" xfId="0" applyNumberFormat="1" applyFont="1" applyBorder="1"/>
    <xf numFmtId="170" fontId="13" fillId="0" borderId="0" xfId="2" applyNumberFormat="1" applyFont="1"/>
    <xf numFmtId="170" fontId="13" fillId="0" borderId="0" xfId="0" applyNumberFormat="1" applyFont="1"/>
    <xf numFmtId="170" fontId="9" fillId="0" borderId="16" xfId="1" applyNumberFormat="1" applyFont="1" applyBorder="1"/>
    <xf numFmtId="170" fontId="13" fillId="0" borderId="0" xfId="1" applyNumberFormat="1" applyFont="1"/>
    <xf numFmtId="170" fontId="9" fillId="0" borderId="0" xfId="0" applyNumberFormat="1" applyFont="1"/>
    <xf numFmtId="170" fontId="9" fillId="0" borderId="16" xfId="0" applyNumberFormat="1" applyFont="1" applyBorder="1"/>
    <xf numFmtId="170" fontId="13" fillId="0" borderId="14" xfId="0" applyNumberFormat="1" applyFont="1" applyBorder="1"/>
    <xf numFmtId="0" fontId="30" fillId="0" borderId="22" xfId="0" applyFont="1" applyBorder="1"/>
    <xf numFmtId="0" fontId="3" fillId="0" borderId="23" xfId="0" applyFont="1" applyBorder="1"/>
    <xf numFmtId="0" fontId="18" fillId="0" borderId="23" xfId="0" applyFont="1" applyBorder="1"/>
    <xf numFmtId="0" fontId="18" fillId="0" borderId="24" xfId="0" applyFont="1" applyBorder="1"/>
    <xf numFmtId="0" fontId="30" fillId="0" borderId="25" xfId="0" applyFont="1" applyBorder="1"/>
    <xf numFmtId="6" fontId="0" fillId="0" borderId="26" xfId="0" applyNumberFormat="1" applyBorder="1"/>
    <xf numFmtId="0" fontId="0" fillId="0" borderId="26" xfId="0" applyBorder="1"/>
    <xf numFmtId="0" fontId="30" fillId="0" borderId="27" xfId="0" applyFont="1" applyBorder="1"/>
    <xf numFmtId="0" fontId="0" fillId="0" borderId="17" xfId="0" applyBorder="1"/>
    <xf numFmtId="0" fontId="0" fillId="0" borderId="28" xfId="0" applyBorder="1"/>
    <xf numFmtId="2" fontId="0" fillId="0" borderId="26" xfId="0" applyNumberFormat="1" applyBorder="1"/>
    <xf numFmtId="10" fontId="0" fillId="0" borderId="26" xfId="0" applyNumberFormat="1" applyBorder="1"/>
    <xf numFmtId="0" fontId="0" fillId="0" borderId="25" xfId="0" applyBorder="1"/>
    <xf numFmtId="0" fontId="0" fillId="0" borderId="27" xfId="0" applyBorder="1"/>
    <xf numFmtId="2" fontId="0" fillId="0" borderId="17" xfId="0" applyNumberFormat="1" applyBorder="1"/>
    <xf numFmtId="2" fontId="0" fillId="0" borderId="28" xfId="0" applyNumberFormat="1" applyBorder="1"/>
    <xf numFmtId="0" fontId="47" fillId="4" borderId="22" xfId="0" applyFont="1" applyFill="1" applyBorder="1"/>
    <xf numFmtId="0" fontId="47" fillId="4" borderId="23" xfId="0" applyFont="1" applyFill="1" applyBorder="1"/>
    <xf numFmtId="0" fontId="47" fillId="4" borderId="24" xfId="0" applyFont="1" applyFill="1" applyBorder="1"/>
    <xf numFmtId="174" fontId="22" fillId="0" borderId="0" xfId="0" applyNumberFormat="1" applyFont="1"/>
    <xf numFmtId="174" fontId="21" fillId="0" borderId="0" xfId="0" applyNumberFormat="1" applyFont="1"/>
    <xf numFmtId="174" fontId="16" fillId="0" borderId="0" xfId="0" applyNumberFormat="1" applyFont="1"/>
    <xf numFmtId="175" fontId="16" fillId="0" borderId="0" xfId="0" applyNumberFormat="1" applyFont="1"/>
    <xf numFmtId="175" fontId="21" fillId="0" borderId="0" xfId="0" applyNumberFormat="1" applyFont="1"/>
    <xf numFmtId="175" fontId="22" fillId="0" borderId="2" xfId="0" applyNumberFormat="1" applyFont="1" applyBorder="1"/>
    <xf numFmtId="175" fontId="33" fillId="0" borderId="0" xfId="0" applyNumberFormat="1" applyFont="1"/>
    <xf numFmtId="175" fontId="22" fillId="0" borderId="0" xfId="0" applyNumberFormat="1" applyFont="1"/>
    <xf numFmtId="175" fontId="22" fillId="0" borderId="1" xfId="0" applyNumberFormat="1" applyFont="1" applyBorder="1"/>
    <xf numFmtId="0" fontId="0" fillId="5" borderId="0" xfId="0" applyFill="1"/>
    <xf numFmtId="0" fontId="10" fillId="6" borderId="2" xfId="0" applyFont="1" applyFill="1" applyBorder="1"/>
    <xf numFmtId="0" fontId="10" fillId="6" borderId="2" xfId="0" applyFont="1" applyFill="1" applyBorder="1" applyAlignment="1">
      <alignment horizontal="center" vertical="center"/>
    </xf>
    <xf numFmtId="0" fontId="3" fillId="6" borderId="2" xfId="0" applyFont="1" applyFill="1" applyBorder="1" applyAlignment="1">
      <alignment horizontal="center" vertical="center"/>
    </xf>
    <xf numFmtId="0" fontId="10" fillId="6" borderId="3" xfId="0" applyFont="1" applyFill="1" applyBorder="1" applyAlignment="1">
      <alignment horizontal="center" vertical="center"/>
    </xf>
    <xf numFmtId="0" fontId="30" fillId="6" borderId="0" xfId="0" applyFont="1" applyFill="1"/>
    <xf numFmtId="0" fontId="18" fillId="6" borderId="2" xfId="0" applyFont="1" applyFill="1" applyBorder="1"/>
    <xf numFmtId="0" fontId="3" fillId="6" borderId="2" xfId="0" applyFont="1" applyFill="1" applyBorder="1"/>
    <xf numFmtId="0" fontId="0" fillId="6" borderId="0" xfId="0" applyFill="1"/>
    <xf numFmtId="1" fontId="44" fillId="0" borderId="0" xfId="0" applyNumberFormat="1" applyFont="1" applyAlignment="1">
      <alignment vertical="center"/>
    </xf>
    <xf numFmtId="3" fontId="0" fillId="0" borderId="0" xfId="0" applyNumberFormat="1"/>
    <xf numFmtId="44" fontId="9" fillId="0" borderId="0" xfId="0" applyNumberFormat="1" applyFont="1"/>
    <xf numFmtId="44" fontId="13" fillId="0" borderId="0" xfId="0" applyNumberFormat="1" applyFont="1"/>
    <xf numFmtId="44" fontId="13" fillId="0" borderId="0" xfId="1" applyNumberFormat="1" applyFont="1" applyBorder="1"/>
    <xf numFmtId="44" fontId="14" fillId="0" borderId="0" xfId="0" applyNumberFormat="1" applyFont="1"/>
    <xf numFmtId="44" fontId="8" fillId="0" borderId="0" xfId="0" applyNumberFormat="1" applyFont="1"/>
    <xf numFmtId="44" fontId="0" fillId="0" borderId="0" xfId="0" applyNumberFormat="1"/>
    <xf numFmtId="0" fontId="28" fillId="0" borderId="0" xfId="0" applyFont="1" applyAlignment="1">
      <alignment horizontal="center" vertical="center"/>
    </xf>
    <xf numFmtId="0" fontId="29" fillId="0" borderId="0" xfId="0" applyFont="1" applyAlignment="1">
      <alignment horizontal="center"/>
    </xf>
    <xf numFmtId="0" fontId="28" fillId="0" borderId="0" xfId="0" applyFont="1" applyAlignment="1">
      <alignment horizontal="center"/>
    </xf>
    <xf numFmtId="3" fontId="17" fillId="0" borderId="0" xfId="0" applyNumberFormat="1" applyFont="1"/>
    <xf numFmtId="164" fontId="17" fillId="0" borderId="0" xfId="0" applyNumberFormat="1" applyFont="1"/>
    <xf numFmtId="167" fontId="17" fillId="0" borderId="0" xfId="0" applyNumberFormat="1" applyFont="1"/>
    <xf numFmtId="170" fontId="17" fillId="0" borderId="0" xfId="0" applyNumberFormat="1" applyFont="1"/>
    <xf numFmtId="2" fontId="17" fillId="0" borderId="0" xfId="0" applyNumberFormat="1" applyFont="1"/>
    <xf numFmtId="168" fontId="50" fillId="0" borderId="0" xfId="0" applyNumberFormat="1" applyFont="1"/>
    <xf numFmtId="3" fontId="50" fillId="0" borderId="0" xfId="0" applyNumberFormat="1" applyFont="1"/>
    <xf numFmtId="168" fontId="17" fillId="0" borderId="0" xfId="0" applyNumberFormat="1" applyFont="1"/>
    <xf numFmtId="0" fontId="51" fillId="0" borderId="0" xfId="0" applyFont="1"/>
    <xf numFmtId="4" fontId="0" fillId="0" borderId="0" xfId="0" applyNumberFormat="1"/>
    <xf numFmtId="4" fontId="52" fillId="0" borderId="0" xfId="0" applyNumberFormat="1" applyFont="1" applyAlignment="1">
      <alignment horizontal="center" vertical="center"/>
    </xf>
    <xf numFmtId="4" fontId="12" fillId="0" borderId="0" xfId="0" applyNumberFormat="1" applyFont="1"/>
    <xf numFmtId="0" fontId="16" fillId="0" borderId="20" xfId="0" applyFont="1" applyBorder="1"/>
    <xf numFmtId="0" fontId="16" fillId="0" borderId="34" xfId="0" applyFont="1" applyBorder="1"/>
    <xf numFmtId="0" fontId="10" fillId="0" borderId="35" xfId="0" applyFont="1" applyBorder="1" applyAlignment="1">
      <alignment horizontal="center" vertical="center"/>
    </xf>
    <xf numFmtId="0" fontId="10" fillId="0" borderId="36" xfId="0" applyFont="1" applyBorder="1" applyAlignment="1">
      <alignment horizontal="center" vertical="center"/>
    </xf>
    <xf numFmtId="3" fontId="17" fillId="0" borderId="37" xfId="0" applyNumberFormat="1" applyFont="1" applyBorder="1"/>
    <xf numFmtId="3" fontId="17" fillId="0" borderId="11" xfId="0" applyNumberFormat="1" applyFont="1" applyBorder="1"/>
    <xf numFmtId="170" fontId="17" fillId="0" borderId="37" xfId="0" applyNumberFormat="1" applyFont="1" applyBorder="1"/>
    <xf numFmtId="170" fontId="17" fillId="0" borderId="11" xfId="0" applyNumberFormat="1" applyFont="1" applyBorder="1"/>
    <xf numFmtId="3" fontId="50" fillId="0" borderId="37" xfId="0" applyNumberFormat="1" applyFont="1" applyBorder="1"/>
    <xf numFmtId="3" fontId="50" fillId="0" borderId="11" xfId="0" applyNumberFormat="1" applyFont="1" applyBorder="1"/>
    <xf numFmtId="0" fontId="16" fillId="0" borderId="20" xfId="0" applyFont="1" applyBorder="1" applyAlignment="1">
      <alignment horizontal="center"/>
    </xf>
    <xf numFmtId="0" fontId="16" fillId="0" borderId="34" xfId="0" applyFont="1" applyBorder="1" applyAlignment="1">
      <alignment horizontal="center"/>
    </xf>
    <xf numFmtId="0" fontId="0" fillId="0" borderId="11" xfId="0" applyBorder="1"/>
    <xf numFmtId="164" fontId="20" fillId="0" borderId="37" xfId="0" applyNumberFormat="1" applyFont="1" applyBorder="1"/>
    <xf numFmtId="164" fontId="20" fillId="0" borderId="11" xfId="0" applyNumberFormat="1" applyFont="1" applyBorder="1"/>
    <xf numFmtId="164" fontId="17" fillId="0" borderId="37" xfId="0" applyNumberFormat="1" applyFont="1" applyBorder="1"/>
    <xf numFmtId="164" fontId="17" fillId="0" borderId="11" xfId="0" applyNumberFormat="1" applyFont="1" applyBorder="1"/>
    <xf numFmtId="166" fontId="0" fillId="0" borderId="26" xfId="0" applyNumberFormat="1" applyBorder="1"/>
    <xf numFmtId="0" fontId="30" fillId="0" borderId="29" xfId="0" applyFont="1" applyBorder="1"/>
    <xf numFmtId="6" fontId="0" fillId="0" borderId="30" xfId="0" applyNumberFormat="1" applyBorder="1"/>
    <xf numFmtId="6" fontId="0" fillId="0" borderId="31" xfId="0" applyNumberFormat="1" applyBorder="1"/>
    <xf numFmtId="0" fontId="3" fillId="0" borderId="30" xfId="0" applyFont="1" applyBorder="1"/>
    <xf numFmtId="0" fontId="18" fillId="0" borderId="30" xfId="0" applyFont="1" applyBorder="1"/>
    <xf numFmtId="0" fontId="18" fillId="0" borderId="31" xfId="0" applyFont="1" applyBorder="1"/>
    <xf numFmtId="0" fontId="28" fillId="8" borderId="0" xfId="0" applyFont="1" applyFill="1" applyAlignment="1">
      <alignment horizontal="center" vertical="center"/>
    </xf>
    <xf numFmtId="0" fontId="28" fillId="8" borderId="0" xfId="0" applyFont="1" applyFill="1" applyAlignment="1">
      <alignment horizontal="center"/>
    </xf>
    <xf numFmtId="0" fontId="23" fillId="8" borderId="0" xfId="0" applyFont="1" applyFill="1"/>
    <xf numFmtId="0" fontId="0" fillId="8" borderId="0" xfId="0" applyFill="1"/>
    <xf numFmtId="10" fontId="0" fillId="0" borderId="17" xfId="0" applyNumberFormat="1" applyBorder="1"/>
    <xf numFmtId="176" fontId="0" fillId="0" borderId="17" xfId="0" applyNumberFormat="1" applyBorder="1"/>
    <xf numFmtId="176" fontId="0" fillId="0" borderId="28" xfId="0" applyNumberFormat="1" applyBorder="1"/>
    <xf numFmtId="0" fontId="16" fillId="0" borderId="37" xfId="0" applyFont="1" applyBorder="1" applyAlignment="1">
      <alignment horizontal="center"/>
    </xf>
    <xf numFmtId="0" fontId="10" fillId="0" borderId="37" xfId="0" applyFont="1" applyBorder="1" applyAlignment="1">
      <alignment horizontal="center" vertical="center"/>
    </xf>
    <xf numFmtId="0" fontId="16" fillId="0" borderId="11" xfId="0" applyFont="1" applyBorder="1" applyAlignment="1">
      <alignment horizontal="center"/>
    </xf>
    <xf numFmtId="0" fontId="18" fillId="0" borderId="0" xfId="0" applyFont="1" applyAlignment="1">
      <alignment horizontal="left"/>
    </xf>
    <xf numFmtId="3" fontId="18" fillId="0" borderId="0" xfId="0" applyNumberFormat="1" applyFont="1"/>
    <xf numFmtId="3" fontId="18" fillId="0" borderId="37" xfId="0" applyNumberFormat="1" applyFont="1" applyBorder="1"/>
    <xf numFmtId="3" fontId="18" fillId="0" borderId="11" xfId="0" applyNumberFormat="1" applyFont="1" applyBorder="1"/>
    <xf numFmtId="164" fontId="18" fillId="0" borderId="0" xfId="0" applyNumberFormat="1" applyFont="1"/>
    <xf numFmtId="164" fontId="18" fillId="0" borderId="37" xfId="0" applyNumberFormat="1" applyFont="1" applyBorder="1"/>
    <xf numFmtId="164" fontId="18" fillId="0" borderId="11" xfId="0" applyNumberFormat="1" applyFont="1" applyBorder="1"/>
    <xf numFmtId="2" fontId="18" fillId="0" borderId="0" xfId="0" applyNumberFormat="1" applyFont="1"/>
    <xf numFmtId="167" fontId="18" fillId="0" borderId="0" xfId="0" applyNumberFormat="1" applyFont="1"/>
    <xf numFmtId="170" fontId="18" fillId="0" borderId="0" xfId="0" applyNumberFormat="1" applyFont="1"/>
    <xf numFmtId="170" fontId="18" fillId="0" borderId="37" xfId="0" applyNumberFormat="1" applyFont="1" applyBorder="1"/>
    <xf numFmtId="170" fontId="18" fillId="0" borderId="11" xfId="0" applyNumberFormat="1" applyFont="1" applyBorder="1"/>
    <xf numFmtId="0" fontId="53" fillId="0" borderId="0" xfId="0" applyFont="1"/>
    <xf numFmtId="4" fontId="30" fillId="0" borderId="0" xfId="0" applyNumberFormat="1" applyFont="1"/>
    <xf numFmtId="0" fontId="53" fillId="0" borderId="0" xfId="0" applyFont="1" applyAlignment="1">
      <alignment horizontal="right"/>
    </xf>
    <xf numFmtId="4" fontId="10" fillId="0" borderId="0" xfId="0" applyNumberFormat="1" applyFont="1"/>
    <xf numFmtId="173" fontId="10" fillId="0" borderId="0" xfId="1" applyNumberFormat="1" applyFont="1" applyBorder="1"/>
    <xf numFmtId="169" fontId="10" fillId="0" borderId="0" xfId="0" applyNumberFormat="1" applyFont="1"/>
    <xf numFmtId="44" fontId="30" fillId="0" borderId="0" xfId="0" applyNumberFormat="1" applyFont="1"/>
    <xf numFmtId="44" fontId="54" fillId="0" borderId="0" xfId="1" applyNumberFormat="1" applyFont="1" applyBorder="1"/>
    <xf numFmtId="44" fontId="54" fillId="0" borderId="0" xfId="1" applyNumberFormat="1" applyFont="1"/>
    <xf numFmtId="3" fontId="55" fillId="0" borderId="0" xfId="0" applyNumberFormat="1" applyFont="1"/>
    <xf numFmtId="3" fontId="55" fillId="0" borderId="37" xfId="0" applyNumberFormat="1" applyFont="1" applyBorder="1"/>
    <xf numFmtId="3" fontId="55" fillId="0" borderId="11" xfId="0" applyNumberFormat="1" applyFont="1" applyBorder="1"/>
    <xf numFmtId="164" fontId="55" fillId="0" borderId="5" xfId="0" applyNumberFormat="1" applyFont="1" applyBorder="1"/>
    <xf numFmtId="164" fontId="55" fillId="0" borderId="0" xfId="0" applyNumberFormat="1" applyFont="1"/>
    <xf numFmtId="164" fontId="55" fillId="0" borderId="37" xfId="0" applyNumberFormat="1" applyFont="1" applyBorder="1"/>
    <xf numFmtId="164" fontId="55" fillId="0" borderId="11" xfId="0" applyNumberFormat="1" applyFont="1" applyBorder="1"/>
    <xf numFmtId="3" fontId="55" fillId="0" borderId="5" xfId="0" applyNumberFormat="1" applyFont="1" applyBorder="1"/>
    <xf numFmtId="42" fontId="13" fillId="0" borderId="37" xfId="0" applyNumberFormat="1" applyFont="1" applyBorder="1"/>
    <xf numFmtId="42" fontId="13" fillId="0" borderId="11" xfId="0" applyNumberFormat="1" applyFont="1" applyBorder="1"/>
    <xf numFmtId="3" fontId="54" fillId="0" borderId="37" xfId="1" applyNumberFormat="1" applyFont="1" applyBorder="1"/>
    <xf numFmtId="3" fontId="54" fillId="0" borderId="11" xfId="1" applyNumberFormat="1" applyFont="1" applyBorder="1"/>
    <xf numFmtId="3" fontId="13" fillId="0" borderId="37" xfId="1" applyNumberFormat="1" applyFont="1" applyBorder="1"/>
    <xf numFmtId="3" fontId="13" fillId="0" borderId="11" xfId="1" applyNumberFormat="1" applyFont="1" applyBorder="1"/>
    <xf numFmtId="3" fontId="9" fillId="0" borderId="37" xfId="0" applyNumberFormat="1" applyFont="1" applyBorder="1"/>
    <xf numFmtId="3" fontId="9" fillId="0" borderId="11" xfId="0" applyNumberFormat="1" applyFont="1" applyBorder="1"/>
    <xf numFmtId="3" fontId="14" fillId="0" borderId="37" xfId="0" applyNumberFormat="1" applyFont="1" applyBorder="1"/>
    <xf numFmtId="3" fontId="14" fillId="0" borderId="11" xfId="0" applyNumberFormat="1" applyFont="1" applyBorder="1"/>
    <xf numFmtId="1" fontId="9" fillId="0" borderId="37" xfId="0" applyNumberFormat="1" applyFont="1" applyBorder="1"/>
    <xf numFmtId="1" fontId="9" fillId="0" borderId="11" xfId="0" applyNumberFormat="1" applyFont="1" applyBorder="1"/>
    <xf numFmtId="3" fontId="13" fillId="0" borderId="37" xfId="0" applyNumberFormat="1" applyFont="1" applyBorder="1"/>
    <xf numFmtId="3" fontId="13" fillId="0" borderId="11" xfId="0" applyNumberFormat="1" applyFont="1" applyBorder="1"/>
    <xf numFmtId="164" fontId="13" fillId="0" borderId="37" xfId="0" applyNumberFormat="1" applyFont="1" applyBorder="1"/>
    <xf numFmtId="164" fontId="13" fillId="0" borderId="11" xfId="0" applyNumberFormat="1" applyFont="1" applyBorder="1"/>
    <xf numFmtId="164" fontId="9" fillId="0" borderId="37" xfId="0" applyNumberFormat="1" applyFont="1" applyBorder="1"/>
    <xf numFmtId="164" fontId="9" fillId="0" borderId="11" xfId="0" applyNumberFormat="1" applyFont="1" applyBorder="1"/>
    <xf numFmtId="165" fontId="9" fillId="0" borderId="37" xfId="0" applyNumberFormat="1" applyFont="1" applyBorder="1"/>
    <xf numFmtId="165" fontId="9" fillId="0" borderId="11" xfId="0" applyNumberFormat="1" applyFont="1" applyBorder="1"/>
    <xf numFmtId="166" fontId="9" fillId="0" borderId="37" xfId="0" applyNumberFormat="1" applyFont="1" applyBorder="1"/>
    <xf numFmtId="166" fontId="9" fillId="0" borderId="11" xfId="0" applyNumberFormat="1" applyFont="1" applyBorder="1"/>
    <xf numFmtId="166" fontId="8" fillId="0" borderId="37" xfId="0" applyNumberFormat="1" applyFont="1" applyBorder="1"/>
    <xf numFmtId="166" fontId="8" fillId="0" borderId="11" xfId="0" applyNumberFormat="1" applyFont="1" applyBorder="1"/>
    <xf numFmtId="0" fontId="30" fillId="0" borderId="37" xfId="0" applyFont="1" applyBorder="1"/>
    <xf numFmtId="0" fontId="30" fillId="0" borderId="11" xfId="0" applyFont="1" applyBorder="1"/>
    <xf numFmtId="0" fontId="0" fillId="0" borderId="37" xfId="0" applyBorder="1"/>
    <xf numFmtId="164" fontId="8" fillId="0" borderId="37" xfId="0" applyNumberFormat="1" applyFont="1" applyBorder="1"/>
    <xf numFmtId="164" fontId="8" fillId="0" borderId="11" xfId="0" applyNumberFormat="1" applyFont="1" applyBorder="1"/>
    <xf numFmtId="8" fontId="17" fillId="0" borderId="0" xfId="0" applyNumberFormat="1" applyFont="1"/>
    <xf numFmtId="10" fontId="0" fillId="0" borderId="28" xfId="0" applyNumberFormat="1" applyBorder="1"/>
    <xf numFmtId="166" fontId="0" fillId="0" borderId="0" xfId="0" applyNumberFormat="1"/>
    <xf numFmtId="10" fontId="0" fillId="0" borderId="11" xfId="0" applyNumberFormat="1" applyBorder="1"/>
    <xf numFmtId="10" fontId="0" fillId="0" borderId="37" xfId="0" applyNumberFormat="1" applyBorder="1"/>
    <xf numFmtId="0" fontId="48" fillId="0" borderId="16" xfId="0" applyFont="1" applyBorder="1"/>
    <xf numFmtId="0" fontId="48" fillId="0" borderId="10" xfId="0" applyFont="1" applyBorder="1"/>
    <xf numFmtId="0" fontId="49" fillId="0" borderId="0" xfId="0" applyFont="1"/>
    <xf numFmtId="0" fontId="49" fillId="0" borderId="37" xfId="0" applyFont="1" applyBorder="1"/>
    <xf numFmtId="0" fontId="48" fillId="0" borderId="0" xfId="0" applyFont="1"/>
    <xf numFmtId="3" fontId="48" fillId="0" borderId="0" xfId="0" applyNumberFormat="1" applyFont="1"/>
    <xf numFmtId="3" fontId="49" fillId="0" borderId="0" xfId="0" applyNumberFormat="1" applyFont="1"/>
    <xf numFmtId="0" fontId="48" fillId="0" borderId="0" xfId="0" quotePrefix="1" applyFont="1"/>
    <xf numFmtId="0" fontId="49" fillId="0" borderId="11" xfId="0" applyFont="1" applyBorder="1"/>
    <xf numFmtId="0" fontId="48" fillId="0" borderId="11" xfId="0" applyFont="1" applyBorder="1"/>
    <xf numFmtId="0" fontId="49" fillId="0" borderId="39" xfId="0" applyFont="1" applyBorder="1"/>
    <xf numFmtId="3" fontId="49" fillId="0" borderId="14" xfId="0" applyNumberFormat="1" applyFont="1" applyBorder="1"/>
    <xf numFmtId="0" fontId="49" fillId="0" borderId="15" xfId="0" applyFont="1" applyBorder="1"/>
    <xf numFmtId="0" fontId="49" fillId="0" borderId="43" xfId="0" applyFont="1" applyBorder="1"/>
    <xf numFmtId="10" fontId="0" fillId="0" borderId="14" xfId="0" applyNumberFormat="1" applyBorder="1"/>
    <xf numFmtId="10" fontId="0" fillId="0" borderId="42" xfId="0" applyNumberFormat="1" applyBorder="1"/>
    <xf numFmtId="9" fontId="0" fillId="0" borderId="14" xfId="0" applyNumberFormat="1" applyBorder="1"/>
    <xf numFmtId="10" fontId="30" fillId="0" borderId="14" xfId="0" applyNumberFormat="1" applyFont="1" applyBorder="1"/>
    <xf numFmtId="10" fontId="30" fillId="0" borderId="42" xfId="0" applyNumberFormat="1" applyFont="1" applyBorder="1"/>
    <xf numFmtId="9" fontId="30" fillId="0" borderId="14" xfId="0" applyNumberFormat="1" applyFont="1" applyBorder="1"/>
    <xf numFmtId="10" fontId="30" fillId="0" borderId="0" xfId="0" applyNumberFormat="1" applyFont="1"/>
    <xf numFmtId="10" fontId="30" fillId="0" borderId="37" xfId="0" applyNumberFormat="1" applyFont="1" applyBorder="1"/>
    <xf numFmtId="0" fontId="49" fillId="0" borderId="10" xfId="0" applyFont="1" applyBorder="1"/>
    <xf numFmtId="0" fontId="49" fillId="0" borderId="40" xfId="0" applyFont="1" applyBorder="1"/>
    <xf numFmtId="3" fontId="48" fillId="0" borderId="11" xfId="0" applyNumberFormat="1" applyFont="1" applyBorder="1"/>
    <xf numFmtId="9" fontId="0" fillId="0" borderId="0" xfId="0" applyNumberFormat="1"/>
    <xf numFmtId="9" fontId="0" fillId="0" borderId="37" xfId="0" applyNumberFormat="1" applyBorder="1"/>
    <xf numFmtId="3" fontId="49" fillId="0" borderId="44" xfId="0" applyNumberFormat="1" applyFont="1" applyBorder="1"/>
    <xf numFmtId="9" fontId="30" fillId="0" borderId="42" xfId="0" applyNumberFormat="1" applyFont="1" applyBorder="1"/>
    <xf numFmtId="0" fontId="48" fillId="0" borderId="11" xfId="0" quotePrefix="1" applyFont="1" applyBorder="1"/>
    <xf numFmtId="10" fontId="30" fillId="0" borderId="44" xfId="0" applyNumberFormat="1" applyFont="1" applyBorder="1"/>
    <xf numFmtId="9" fontId="0" fillId="0" borderId="11" xfId="0" applyNumberFormat="1" applyBorder="1"/>
    <xf numFmtId="9" fontId="30" fillId="0" borderId="44" xfId="0" applyNumberFormat="1" applyFont="1" applyBorder="1"/>
    <xf numFmtId="0" fontId="49" fillId="0" borderId="45" xfId="0" applyFont="1" applyBorder="1"/>
    <xf numFmtId="10" fontId="0" fillId="0" borderId="10" xfId="0" applyNumberFormat="1" applyBorder="1"/>
    <xf numFmtId="9" fontId="0" fillId="0" borderId="9" xfId="0" applyNumberFormat="1" applyBorder="1"/>
    <xf numFmtId="9" fontId="0" fillId="0" borderId="10" xfId="0" applyNumberFormat="1" applyBorder="1"/>
    <xf numFmtId="9" fontId="0" fillId="0" borderId="40" xfId="0" applyNumberFormat="1" applyBorder="1"/>
    <xf numFmtId="10" fontId="0" fillId="0" borderId="40" xfId="0" applyNumberFormat="1" applyBorder="1"/>
    <xf numFmtId="10" fontId="30" fillId="0" borderId="9" xfId="0" applyNumberFormat="1" applyFont="1" applyBorder="1"/>
    <xf numFmtId="10" fontId="30" fillId="0" borderId="10" xfId="0" applyNumberFormat="1" applyFont="1" applyBorder="1"/>
    <xf numFmtId="0" fontId="49" fillId="0" borderId="44" xfId="0" applyFont="1" applyBorder="1"/>
    <xf numFmtId="0" fontId="59" fillId="0" borderId="46" xfId="0" applyFont="1" applyBorder="1"/>
    <xf numFmtId="0" fontId="59" fillId="0" borderId="47" xfId="0" applyFont="1" applyBorder="1"/>
    <xf numFmtId="0" fontId="48" fillId="0" borderId="47" xfId="0" applyFont="1" applyBorder="1"/>
    <xf numFmtId="0" fontId="59" fillId="0" borderId="48" xfId="0" applyFont="1" applyBorder="1"/>
    <xf numFmtId="0" fontId="48" fillId="0" borderId="14" xfId="0" applyFont="1" applyBorder="1"/>
    <xf numFmtId="9" fontId="0" fillId="0" borderId="44" xfId="0" applyNumberFormat="1" applyBorder="1"/>
    <xf numFmtId="9" fontId="0" fillId="0" borderId="42" xfId="0" applyNumberFormat="1" applyBorder="1"/>
    <xf numFmtId="0" fontId="59" fillId="0" borderId="49" xfId="0" applyFont="1" applyBorder="1"/>
    <xf numFmtId="0" fontId="59" fillId="0" borderId="12" xfId="0" applyFont="1" applyBorder="1"/>
    <xf numFmtId="3" fontId="49" fillId="0" borderId="11" xfId="0" applyNumberFormat="1" applyFont="1" applyBorder="1"/>
    <xf numFmtId="0" fontId="0" fillId="0" borderId="39" xfId="0" applyBorder="1"/>
    <xf numFmtId="0" fontId="0" fillId="0" borderId="16" xfId="0" applyBorder="1"/>
    <xf numFmtId="0" fontId="0" fillId="0" borderId="33" xfId="0" applyBorder="1"/>
    <xf numFmtId="10" fontId="30" fillId="0" borderId="11" xfId="0" applyNumberFormat="1" applyFont="1" applyBorder="1"/>
    <xf numFmtId="9" fontId="0" fillId="0" borderId="46" xfId="0" applyNumberFormat="1" applyBorder="1"/>
    <xf numFmtId="9" fontId="0" fillId="0" borderId="47" xfId="0" applyNumberFormat="1" applyBorder="1"/>
    <xf numFmtId="10" fontId="30" fillId="0" borderId="40" xfId="0" applyNumberFormat="1" applyFont="1" applyBorder="1"/>
    <xf numFmtId="9" fontId="30" fillId="0" borderId="48" xfId="0" applyNumberFormat="1" applyFont="1" applyBorder="1"/>
    <xf numFmtId="0" fontId="56" fillId="0" borderId="11" xfId="0" applyFont="1" applyBorder="1"/>
    <xf numFmtId="3" fontId="56" fillId="0" borderId="0" xfId="0" applyNumberFormat="1" applyFont="1"/>
    <xf numFmtId="3" fontId="56" fillId="0" borderId="37" xfId="0" applyNumberFormat="1" applyFont="1" applyBorder="1"/>
    <xf numFmtId="177" fontId="56" fillId="0" borderId="0" xfId="0" applyNumberFormat="1" applyFont="1"/>
    <xf numFmtId="177" fontId="56" fillId="0" borderId="37" xfId="0" applyNumberFormat="1" applyFont="1" applyBorder="1"/>
    <xf numFmtId="0" fontId="56" fillId="0" borderId="39" xfId="0" applyFont="1" applyBorder="1"/>
    <xf numFmtId="0" fontId="56" fillId="0" borderId="16" xfId="0" applyFont="1" applyBorder="1"/>
    <xf numFmtId="0" fontId="56" fillId="0" borderId="33" xfId="0" applyFont="1" applyBorder="1"/>
    <xf numFmtId="3" fontId="56" fillId="0" borderId="11" xfId="0" applyNumberFormat="1" applyFont="1" applyBorder="1"/>
    <xf numFmtId="177" fontId="56" fillId="0" borderId="11" xfId="0" applyNumberFormat="1" applyFont="1" applyBorder="1"/>
    <xf numFmtId="0" fontId="56" fillId="0" borderId="45" xfId="0" applyFont="1" applyBorder="1"/>
    <xf numFmtId="0" fontId="56" fillId="0" borderId="15" xfId="0" applyFont="1" applyBorder="1"/>
    <xf numFmtId="0" fontId="56" fillId="0" borderId="43" xfId="0" applyFont="1" applyBorder="1"/>
    <xf numFmtId="0" fontId="29" fillId="0" borderId="0" xfId="0" applyFont="1"/>
    <xf numFmtId="0" fontId="7" fillId="0" borderId="0" xfId="0" applyFont="1" applyAlignment="1">
      <alignment vertical="center"/>
    </xf>
    <xf numFmtId="0" fontId="0" fillId="0" borderId="0" xfId="0" applyAlignment="1">
      <alignment vertical="top"/>
    </xf>
    <xf numFmtId="0" fontId="58" fillId="0" borderId="0" xfId="0" applyFont="1" applyAlignment="1">
      <alignment horizontal="center"/>
    </xf>
    <xf numFmtId="0" fontId="23" fillId="0" borderId="0" xfId="0" applyFont="1" applyAlignment="1">
      <alignment horizontal="center"/>
    </xf>
    <xf numFmtId="0" fontId="60" fillId="0" borderId="0" xfId="0" applyFont="1" applyAlignment="1">
      <alignment horizontal="center"/>
    </xf>
    <xf numFmtId="0" fontId="49" fillId="0" borderId="16" xfId="0" applyFont="1" applyBorder="1"/>
    <xf numFmtId="0" fontId="57" fillId="0" borderId="16" xfId="0" applyFont="1" applyBorder="1"/>
    <xf numFmtId="9" fontId="30" fillId="0" borderId="11" xfId="0" applyNumberFormat="1" applyFont="1" applyBorder="1"/>
    <xf numFmtId="9" fontId="30" fillId="0" borderId="0" xfId="0" applyNumberFormat="1" applyFont="1"/>
    <xf numFmtId="9" fontId="30" fillId="0" borderId="37" xfId="0" applyNumberFormat="1" applyFont="1" applyBorder="1"/>
    <xf numFmtId="0" fontId="48" fillId="0" borderId="12" xfId="0" applyFont="1" applyBorder="1"/>
    <xf numFmtId="10" fontId="0" fillId="0" borderId="12" xfId="0" applyNumberFormat="1" applyBorder="1"/>
    <xf numFmtId="9" fontId="0" fillId="0" borderId="50" xfId="0" applyNumberFormat="1" applyBorder="1"/>
    <xf numFmtId="9" fontId="0" fillId="0" borderId="12" xfId="0" applyNumberFormat="1" applyBorder="1"/>
    <xf numFmtId="9" fontId="0" fillId="0" borderId="41" xfId="0" applyNumberFormat="1" applyBorder="1"/>
    <xf numFmtId="0" fontId="56" fillId="0" borderId="0" xfId="0" applyFont="1"/>
    <xf numFmtId="9" fontId="30" fillId="0" borderId="47" xfId="0" applyNumberFormat="1" applyFont="1" applyBorder="1"/>
    <xf numFmtId="0" fontId="49" fillId="0" borderId="47" xfId="0" applyFont="1" applyBorder="1"/>
    <xf numFmtId="10" fontId="0" fillId="0" borderId="47" xfId="0" applyNumberFormat="1" applyBorder="1"/>
    <xf numFmtId="10" fontId="30" fillId="0" borderId="47" xfId="0" applyNumberFormat="1" applyFont="1" applyBorder="1"/>
    <xf numFmtId="3" fontId="49" fillId="0" borderId="47" xfId="0" applyNumberFormat="1" applyFont="1" applyBorder="1"/>
    <xf numFmtId="3" fontId="48" fillId="0" borderId="47" xfId="0" applyNumberFormat="1" applyFont="1" applyBorder="1"/>
    <xf numFmtId="9" fontId="30" fillId="0" borderId="39" xfId="0" applyNumberFormat="1" applyFont="1" applyBorder="1"/>
    <xf numFmtId="9" fontId="30" fillId="0" borderId="16" xfId="0" applyNumberFormat="1" applyFont="1" applyBorder="1"/>
    <xf numFmtId="9" fontId="30" fillId="0" borderId="33" xfId="0" applyNumberFormat="1" applyFont="1" applyBorder="1"/>
    <xf numFmtId="10" fontId="0" fillId="0" borderId="41" xfId="0" applyNumberFormat="1" applyBorder="1"/>
    <xf numFmtId="10" fontId="30" fillId="0" borderId="16" xfId="0" applyNumberFormat="1" applyFont="1" applyBorder="1"/>
    <xf numFmtId="10" fontId="30" fillId="0" borderId="33" xfId="0" applyNumberFormat="1" applyFont="1" applyBorder="1"/>
    <xf numFmtId="10" fontId="30" fillId="0" borderId="46" xfId="0" applyNumberFormat="1" applyFont="1" applyBorder="1"/>
    <xf numFmtId="10" fontId="30" fillId="0" borderId="48" xfId="0" applyNumberFormat="1" applyFont="1" applyBorder="1"/>
    <xf numFmtId="0" fontId="0" fillId="0" borderId="9" xfId="0" applyBorder="1"/>
    <xf numFmtId="0" fontId="0" fillId="0" borderId="10" xfId="0" applyBorder="1"/>
    <xf numFmtId="0" fontId="0" fillId="0" borderId="40" xfId="0" applyBorder="1"/>
    <xf numFmtId="0" fontId="0" fillId="9" borderId="29" xfId="0" applyFill="1" applyBorder="1"/>
    <xf numFmtId="0" fontId="0" fillId="9" borderId="25" xfId="0" applyFill="1" applyBorder="1"/>
    <xf numFmtId="0" fontId="0" fillId="9" borderId="27" xfId="0" applyFill="1" applyBorder="1"/>
    <xf numFmtId="2" fontId="0" fillId="9" borderId="0" xfId="0" applyNumberFormat="1" applyFill="1"/>
    <xf numFmtId="2" fontId="0" fillId="9" borderId="30" xfId="0" applyNumberFormat="1" applyFill="1" applyBorder="1"/>
    <xf numFmtId="10" fontId="0" fillId="9" borderId="0" xfId="0" applyNumberFormat="1" applyFill="1"/>
    <xf numFmtId="2" fontId="0" fillId="9" borderId="17" xfId="0" applyNumberFormat="1" applyFill="1" applyBorder="1"/>
    <xf numFmtId="2" fontId="0" fillId="9" borderId="31" xfId="0" applyNumberFormat="1" applyFill="1" applyBorder="1"/>
    <xf numFmtId="2" fontId="0" fillId="9" borderId="26" xfId="0" applyNumberFormat="1" applyFill="1" applyBorder="1"/>
    <xf numFmtId="10" fontId="0" fillId="9" borderId="26" xfId="0" applyNumberFormat="1" applyFill="1" applyBorder="1"/>
    <xf numFmtId="2" fontId="0" fillId="9" borderId="28" xfId="0" applyNumberFormat="1" applyFill="1" applyBorder="1"/>
    <xf numFmtId="10" fontId="19" fillId="9" borderId="0" xfId="0" applyNumberFormat="1" applyFont="1" applyFill="1"/>
    <xf numFmtId="2" fontId="19" fillId="9" borderId="0" xfId="0" applyNumberFormat="1" applyFont="1" applyFill="1"/>
    <xf numFmtId="0" fontId="63" fillId="4" borderId="29" xfId="0" applyFont="1" applyFill="1" applyBorder="1"/>
    <xf numFmtId="0" fontId="19" fillId="9" borderId="29" xfId="0" applyFont="1" applyFill="1" applyBorder="1"/>
    <xf numFmtId="10" fontId="19" fillId="9" borderId="31" xfId="0" applyNumberFormat="1" applyFont="1" applyFill="1" applyBorder="1"/>
    <xf numFmtId="0" fontId="19" fillId="9" borderId="25" xfId="0" applyFont="1" applyFill="1" applyBorder="1"/>
    <xf numFmtId="10" fontId="19" fillId="9" borderId="26" xfId="0" applyNumberFormat="1" applyFont="1" applyFill="1" applyBorder="1"/>
    <xf numFmtId="2" fontId="19" fillId="9" borderId="26" xfId="0" applyNumberFormat="1" applyFont="1" applyFill="1" applyBorder="1"/>
    <xf numFmtId="10" fontId="19" fillId="9" borderId="30" xfId="0" applyNumberFormat="1" applyFont="1" applyFill="1" applyBorder="1"/>
    <xf numFmtId="2" fontId="19" fillId="9" borderId="31" xfId="0" applyNumberFormat="1" applyFont="1" applyFill="1" applyBorder="1"/>
    <xf numFmtId="2" fontId="19" fillId="9" borderId="30" xfId="0" applyNumberFormat="1" applyFont="1" applyFill="1" applyBorder="1"/>
    <xf numFmtId="10" fontId="0" fillId="9" borderId="31" xfId="0" applyNumberFormat="1" applyFill="1" applyBorder="1"/>
    <xf numFmtId="10" fontId="0" fillId="9" borderId="30" xfId="0" applyNumberFormat="1" applyFill="1" applyBorder="1"/>
    <xf numFmtId="0" fontId="64" fillId="4" borderId="29" xfId="0" applyFont="1" applyFill="1" applyBorder="1" applyAlignment="1">
      <alignment horizontal="left"/>
    </xf>
    <xf numFmtId="0" fontId="64" fillId="4" borderId="29" xfId="0" applyFont="1" applyFill="1" applyBorder="1"/>
    <xf numFmtId="0" fontId="65" fillId="9" borderId="25" xfId="0" applyFont="1" applyFill="1" applyBorder="1"/>
    <xf numFmtId="0" fontId="65" fillId="9" borderId="29" xfId="0" applyFont="1" applyFill="1" applyBorder="1"/>
    <xf numFmtId="0" fontId="66" fillId="9" borderId="25" xfId="0" applyFont="1" applyFill="1" applyBorder="1" applyAlignment="1">
      <alignment horizontal="left"/>
    </xf>
    <xf numFmtId="0" fontId="65" fillId="9" borderId="25" xfId="0" applyFont="1" applyFill="1" applyBorder="1" applyAlignment="1">
      <alignment horizontal="left"/>
    </xf>
    <xf numFmtId="0" fontId="66" fillId="9" borderId="25" xfId="0" applyFont="1" applyFill="1" applyBorder="1"/>
    <xf numFmtId="0" fontId="65" fillId="9" borderId="27" xfId="0" applyFont="1" applyFill="1" applyBorder="1"/>
    <xf numFmtId="2" fontId="65" fillId="9" borderId="0" xfId="0" applyNumberFormat="1" applyFont="1" applyFill="1"/>
    <xf numFmtId="2" fontId="65" fillId="9" borderId="26" xfId="0" applyNumberFormat="1" applyFont="1" applyFill="1" applyBorder="1"/>
    <xf numFmtId="2" fontId="65" fillId="9" borderId="30" xfId="0" applyNumberFormat="1" applyFont="1" applyFill="1" applyBorder="1"/>
    <xf numFmtId="2" fontId="65" fillId="9" borderId="31" xfId="0" applyNumberFormat="1" applyFont="1" applyFill="1" applyBorder="1"/>
    <xf numFmtId="0" fontId="19" fillId="9" borderId="30" xfId="0" applyFont="1" applyFill="1" applyBorder="1"/>
    <xf numFmtId="2" fontId="65" fillId="9" borderId="17" xfId="0" applyNumberFormat="1" applyFont="1" applyFill="1" applyBorder="1"/>
    <xf numFmtId="2" fontId="65" fillId="9" borderId="28" xfId="0" applyNumberFormat="1" applyFont="1" applyFill="1" applyBorder="1"/>
    <xf numFmtId="1" fontId="64" fillId="4" borderId="30" xfId="0" applyNumberFormat="1" applyFont="1" applyFill="1" applyBorder="1"/>
    <xf numFmtId="1" fontId="64" fillId="4" borderId="31" xfId="0" applyNumberFormat="1" applyFont="1" applyFill="1" applyBorder="1"/>
    <xf numFmtId="1" fontId="63" fillId="4" borderId="30" xfId="0" applyNumberFormat="1" applyFont="1" applyFill="1" applyBorder="1"/>
    <xf numFmtId="1" fontId="63" fillId="4" borderId="31" xfId="0" applyNumberFormat="1" applyFont="1" applyFill="1" applyBorder="1"/>
    <xf numFmtId="0" fontId="67" fillId="9" borderId="30" xfId="0" applyFont="1" applyFill="1" applyBorder="1"/>
    <xf numFmtId="0" fontId="67" fillId="9" borderId="30" xfId="0" applyFont="1" applyFill="1" applyBorder="1" applyAlignment="1">
      <alignment horizontal="left"/>
    </xf>
    <xf numFmtId="2" fontId="62" fillId="9" borderId="30" xfId="0" applyNumberFormat="1" applyFont="1" applyFill="1" applyBorder="1"/>
    <xf numFmtId="2" fontId="62" fillId="9" borderId="31" xfId="0" applyNumberFormat="1" applyFont="1" applyFill="1" applyBorder="1"/>
    <xf numFmtId="0" fontId="64" fillId="4" borderId="25" xfId="0" applyFont="1" applyFill="1" applyBorder="1"/>
    <xf numFmtId="1" fontId="63" fillId="4" borderId="0" xfId="0" applyNumberFormat="1" applyFont="1" applyFill="1"/>
    <xf numFmtId="1" fontId="63" fillId="4" borderId="26" xfId="0" applyNumberFormat="1" applyFont="1" applyFill="1" applyBorder="1"/>
    <xf numFmtId="0" fontId="67" fillId="9" borderId="23" xfId="0" applyFont="1" applyFill="1" applyBorder="1"/>
    <xf numFmtId="0" fontId="19" fillId="9" borderId="23" xfId="0" applyFont="1" applyFill="1" applyBorder="1"/>
    <xf numFmtId="0" fontId="13" fillId="0" borderId="0" xfId="0" applyFont="1" applyAlignment="1">
      <alignment horizontal="center"/>
    </xf>
    <xf numFmtId="0" fontId="9" fillId="0" borderId="0" xfId="0" applyFont="1" applyAlignment="1">
      <alignment vertical="center"/>
    </xf>
    <xf numFmtId="0" fontId="13" fillId="0" borderId="1" xfId="0" applyFont="1" applyBorder="1" applyAlignment="1">
      <alignment horizontal="center"/>
    </xf>
    <xf numFmtId="0" fontId="13" fillId="0" borderId="2" xfId="0" applyFont="1" applyBorder="1"/>
    <xf numFmtId="0" fontId="13" fillId="0" borderId="2" xfId="0" applyFont="1" applyBorder="1" applyAlignment="1">
      <alignment horizontal="center" vertical="center"/>
    </xf>
    <xf numFmtId="0" fontId="69" fillId="0" borderId="2" xfId="0" applyFont="1" applyBorder="1" applyAlignment="1">
      <alignment horizontal="center" vertical="center"/>
    </xf>
    <xf numFmtId="0" fontId="13" fillId="0" borderId="3" xfId="0" applyFont="1" applyBorder="1" applyAlignment="1">
      <alignment horizontal="center" vertical="center"/>
    </xf>
    <xf numFmtId="0" fontId="13" fillId="0" borderId="0" xfId="0" applyFont="1"/>
    <xf numFmtId="0" fontId="13" fillId="0" borderId="0" xfId="0" applyFont="1" applyAlignment="1">
      <alignment horizontal="left"/>
    </xf>
    <xf numFmtId="0" fontId="9" fillId="0" borderId="0" xfId="0" applyFont="1" applyAlignment="1">
      <alignment horizontal="left"/>
    </xf>
    <xf numFmtId="0" fontId="9" fillId="0" borderId="1" xfId="0" applyFont="1" applyBorder="1"/>
    <xf numFmtId="0" fontId="9" fillId="0" borderId="0" xfId="0" applyFont="1" applyAlignment="1">
      <alignment horizontal="right"/>
    </xf>
    <xf numFmtId="0" fontId="22" fillId="0" borderId="2" xfId="0" applyFont="1" applyBorder="1"/>
    <xf numFmtId="0" fontId="22" fillId="0" borderId="0" xfId="0" applyFont="1"/>
    <xf numFmtId="0" fontId="16" fillId="0" borderId="0" xfId="0" applyFont="1" applyAlignment="1">
      <alignment horizontal="left"/>
    </xf>
    <xf numFmtId="0" fontId="22" fillId="0" borderId="2" xfId="0" applyFont="1" applyBorder="1" applyAlignment="1">
      <alignment horizontal="left"/>
    </xf>
    <xf numFmtId="0" fontId="46" fillId="0" borderId="0" xfId="0" applyFont="1" applyAlignment="1">
      <alignment horizontal="left"/>
    </xf>
    <xf numFmtId="0" fontId="22" fillId="0" borderId="1" xfId="0" applyFont="1" applyBorder="1" applyAlignment="1">
      <alignment horizontal="left"/>
    </xf>
    <xf numFmtId="43" fontId="9" fillId="0" borderId="0" xfId="1" applyFont="1"/>
    <xf numFmtId="178" fontId="9" fillId="0" borderId="0" xfId="1" applyNumberFormat="1" applyFont="1"/>
    <xf numFmtId="179" fontId="9" fillId="0" borderId="0" xfId="1" applyNumberFormat="1" applyFont="1"/>
    <xf numFmtId="43" fontId="9" fillId="0" borderId="1" xfId="1" applyFont="1" applyBorder="1"/>
    <xf numFmtId="178" fontId="16" fillId="0" borderId="0" xfId="1" applyNumberFormat="1" applyFont="1"/>
    <xf numFmtId="178" fontId="16" fillId="0" borderId="4" xfId="1" applyNumberFormat="1" applyFont="1" applyBorder="1"/>
    <xf numFmtId="178" fontId="21" fillId="0" borderId="4" xfId="1" applyNumberFormat="1" applyFont="1" applyBorder="1"/>
    <xf numFmtId="178" fontId="22" fillId="0" borderId="2" xfId="1" applyNumberFormat="1" applyFont="1" applyBorder="1"/>
    <xf numFmtId="178" fontId="22" fillId="0" borderId="3" xfId="1" applyNumberFormat="1" applyFont="1" applyBorder="1"/>
    <xf numFmtId="178" fontId="22" fillId="0" borderId="0" xfId="1" applyNumberFormat="1" applyFont="1"/>
    <xf numFmtId="178" fontId="22" fillId="0" borderId="4" xfId="1" applyNumberFormat="1" applyFont="1" applyBorder="1"/>
    <xf numFmtId="178" fontId="46" fillId="0" borderId="0" xfId="1" applyNumberFormat="1" applyFont="1"/>
    <xf numFmtId="178" fontId="22" fillId="0" borderId="1" xfId="1" applyNumberFormat="1" applyFont="1" applyBorder="1"/>
    <xf numFmtId="178" fontId="22" fillId="0" borderId="8" xfId="1" applyNumberFormat="1" applyFont="1" applyBorder="1"/>
    <xf numFmtId="179" fontId="16" fillId="0" borderId="0" xfId="1" applyNumberFormat="1" applyFont="1" applyAlignment="1">
      <alignment vertical="center"/>
    </xf>
    <xf numFmtId="10" fontId="16" fillId="0" borderId="0" xfId="0" applyNumberFormat="1" applyFont="1" applyAlignment="1">
      <alignment vertical="center"/>
    </xf>
    <xf numFmtId="179" fontId="22" fillId="0" borderId="10" xfId="1" applyNumberFormat="1" applyFont="1" applyBorder="1" applyAlignment="1">
      <alignment vertical="center"/>
    </xf>
    <xf numFmtId="10" fontId="22" fillId="0" borderId="10" xfId="0" applyNumberFormat="1" applyFont="1" applyBorder="1" applyAlignment="1">
      <alignment vertical="center"/>
    </xf>
    <xf numFmtId="179" fontId="16" fillId="0" borderId="10" xfId="1" applyNumberFormat="1" applyFont="1" applyBorder="1" applyAlignment="1">
      <alignment vertical="center"/>
    </xf>
    <xf numFmtId="179" fontId="22" fillId="0" borderId="13" xfId="1" applyNumberFormat="1" applyFont="1" applyBorder="1" applyAlignment="1">
      <alignment vertical="center"/>
    </xf>
    <xf numFmtId="10" fontId="22" fillId="0" borderId="13" xfId="0" applyNumberFormat="1" applyFont="1" applyBorder="1" applyAlignment="1">
      <alignment vertical="center"/>
    </xf>
    <xf numFmtId="3" fontId="70" fillId="0" borderId="0" xfId="0" applyNumberFormat="1" applyFont="1"/>
    <xf numFmtId="0" fontId="70" fillId="0" borderId="0" xfId="0" applyFont="1"/>
    <xf numFmtId="1" fontId="16" fillId="0" borderId="0" xfId="0" applyNumberFormat="1" applyFont="1" applyAlignment="1">
      <alignment vertical="center"/>
    </xf>
    <xf numFmtId="179" fontId="16" fillId="0" borderId="0" xfId="1" applyNumberFormat="1" applyFont="1" applyAlignment="1">
      <alignment horizontal="right" vertical="center"/>
    </xf>
    <xf numFmtId="2" fontId="16" fillId="0" borderId="0" xfId="0" applyNumberFormat="1" applyFont="1" applyAlignment="1">
      <alignment vertical="center"/>
    </xf>
    <xf numFmtId="179" fontId="16" fillId="0" borderId="0" xfId="1" applyNumberFormat="1" applyFont="1" applyAlignment="1">
      <alignment horizontal="center" vertical="center"/>
    </xf>
    <xf numFmtId="0" fontId="71" fillId="4" borderId="22" xfId="0" applyFont="1" applyFill="1" applyBorder="1"/>
    <xf numFmtId="1" fontId="71" fillId="4" borderId="23" xfId="0" applyNumberFormat="1" applyFont="1" applyFill="1" applyBorder="1"/>
    <xf numFmtId="1" fontId="71" fillId="4" borderId="24" xfId="0" applyNumberFormat="1" applyFont="1" applyFill="1" applyBorder="1"/>
    <xf numFmtId="0" fontId="13" fillId="0" borderId="0" xfId="0" applyFont="1" applyAlignment="1">
      <alignment horizontal="right"/>
    </xf>
    <xf numFmtId="0" fontId="9" fillId="0" borderId="25" xfId="0" applyFont="1" applyBorder="1"/>
    <xf numFmtId="2" fontId="9" fillId="0" borderId="26" xfId="0" applyNumberFormat="1" applyFont="1" applyBorder="1"/>
    <xf numFmtId="10" fontId="9" fillId="0" borderId="26" xfId="0" applyNumberFormat="1" applyFont="1" applyBorder="1"/>
    <xf numFmtId="0" fontId="9" fillId="0" borderId="27" xfId="0" applyFont="1" applyBorder="1"/>
    <xf numFmtId="2" fontId="9" fillId="0" borderId="17" xfId="0" applyNumberFormat="1" applyFont="1" applyBorder="1"/>
    <xf numFmtId="2" fontId="9" fillId="0" borderId="28" xfId="0" applyNumberFormat="1" applyFont="1" applyBorder="1"/>
    <xf numFmtId="180" fontId="9" fillId="0" borderId="0" xfId="0" applyNumberFormat="1" applyFont="1"/>
    <xf numFmtId="180" fontId="16" fillId="0" borderId="0" xfId="0" applyNumberFormat="1" applyFont="1"/>
    <xf numFmtId="180" fontId="22" fillId="0" borderId="2" xfId="0" applyNumberFormat="1" applyFont="1" applyBorder="1"/>
    <xf numFmtId="180" fontId="22" fillId="0" borderId="0" xfId="0" applyNumberFormat="1" applyFont="1"/>
    <xf numFmtId="180" fontId="16" fillId="0" borderId="4" xfId="0" applyNumberFormat="1" applyFont="1" applyBorder="1"/>
    <xf numFmtId="180" fontId="16" fillId="0" borderId="5" xfId="0" applyNumberFormat="1" applyFont="1" applyBorder="1"/>
    <xf numFmtId="180" fontId="22" fillId="0" borderId="3" xfId="0" applyNumberFormat="1" applyFont="1" applyBorder="1"/>
    <xf numFmtId="180" fontId="16" fillId="0" borderId="2" xfId="0" applyNumberFormat="1" applyFont="1" applyBorder="1"/>
    <xf numFmtId="180" fontId="16" fillId="0" borderId="6" xfId="0" applyNumberFormat="1" applyFont="1" applyBorder="1"/>
    <xf numFmtId="180" fontId="22" fillId="0" borderId="15" xfId="0" applyNumberFormat="1" applyFont="1" applyBorder="1"/>
    <xf numFmtId="180" fontId="16" fillId="0" borderId="19" xfId="0" applyNumberFormat="1" applyFont="1" applyBorder="1"/>
    <xf numFmtId="180" fontId="16" fillId="0" borderId="3" xfId="0" applyNumberFormat="1" applyFont="1" applyBorder="1"/>
    <xf numFmtId="179" fontId="9" fillId="0" borderId="0" xfId="1" applyNumberFormat="1" applyFont="1" applyAlignment="1">
      <alignment vertical="center"/>
    </xf>
    <xf numFmtId="9" fontId="9" fillId="0" borderId="0" xfId="0" applyNumberFormat="1" applyFont="1"/>
    <xf numFmtId="179" fontId="9" fillId="0" borderId="26" xfId="1" applyNumberFormat="1" applyFont="1" applyBorder="1"/>
    <xf numFmtId="1" fontId="9" fillId="0" borderId="26" xfId="0" applyNumberFormat="1" applyFont="1" applyBorder="1"/>
    <xf numFmtId="179" fontId="16" fillId="0" borderId="0" xfId="1" applyNumberFormat="1" applyFont="1" applyBorder="1" applyAlignment="1">
      <alignment vertical="center"/>
    </xf>
    <xf numFmtId="179" fontId="9" fillId="0" borderId="0" xfId="1" applyNumberFormat="1" applyFont="1" applyBorder="1"/>
    <xf numFmtId="179" fontId="9" fillId="0" borderId="0" xfId="1" applyNumberFormat="1" applyFont="1" applyBorder="1" applyAlignment="1">
      <alignment vertical="center"/>
    </xf>
    <xf numFmtId="43" fontId="9" fillId="0" borderId="0" xfId="1" applyFont="1" applyBorder="1"/>
    <xf numFmtId="179" fontId="16" fillId="0" borderId="0" xfId="1" applyNumberFormat="1" applyFont="1" applyBorder="1" applyAlignment="1">
      <alignment horizontal="right" vertical="center"/>
    </xf>
    <xf numFmtId="179" fontId="16" fillId="0" borderId="0" xfId="1" applyNumberFormat="1" applyFont="1" applyBorder="1" applyAlignment="1">
      <alignment horizontal="center" vertical="center"/>
    </xf>
    <xf numFmtId="166" fontId="9" fillId="0" borderId="8" xfId="0" applyNumberFormat="1" applyFont="1" applyBorder="1"/>
    <xf numFmtId="164" fontId="72" fillId="0" borderId="0" xfId="0" applyNumberFormat="1" applyFont="1"/>
    <xf numFmtId="164" fontId="9" fillId="0" borderId="0" xfId="4" applyNumberFormat="1" applyFont="1"/>
    <xf numFmtId="2" fontId="0" fillId="9" borderId="0" xfId="0" applyNumberFormat="1" applyFill="1" applyAlignment="1">
      <alignment horizontal="right"/>
    </xf>
    <xf numFmtId="43" fontId="0" fillId="0" borderId="0" xfId="1" applyFont="1"/>
    <xf numFmtId="43" fontId="0" fillId="0" borderId="26" xfId="1" applyFont="1" applyBorder="1"/>
    <xf numFmtId="43" fontId="0" fillId="0" borderId="17" xfId="1" applyFont="1" applyBorder="1"/>
    <xf numFmtId="43" fontId="0" fillId="0" borderId="28" xfId="1" applyFont="1" applyBorder="1"/>
    <xf numFmtId="0" fontId="8" fillId="0" borderId="0" xfId="0" applyFont="1" applyAlignment="1">
      <alignment horizontal="right"/>
    </xf>
    <xf numFmtId="0" fontId="22" fillId="0" borderId="0" xfId="0" applyFont="1" applyAlignment="1">
      <alignment horizontal="center"/>
    </xf>
    <xf numFmtId="0" fontId="16" fillId="0" borderId="1" xfId="0" applyFont="1" applyBorder="1" applyAlignment="1">
      <alignment horizontal="center"/>
    </xf>
    <xf numFmtId="0" fontId="7" fillId="0" borderId="0" xfId="0" applyFont="1" applyAlignment="1">
      <alignment horizontal="right"/>
    </xf>
    <xf numFmtId="0" fontId="29" fillId="7" borderId="0" xfId="0" applyFont="1" applyFill="1" applyAlignment="1">
      <alignment horizontal="center"/>
    </xf>
    <xf numFmtId="0" fontId="7" fillId="7" borderId="0" xfId="0" applyFont="1" applyFill="1" applyAlignment="1">
      <alignment horizontal="center" vertical="center"/>
    </xf>
    <xf numFmtId="0" fontId="7" fillId="7" borderId="0" xfId="0" applyFont="1" applyFill="1" applyAlignment="1">
      <alignment horizontal="center"/>
    </xf>
    <xf numFmtId="0" fontId="10" fillId="0" borderId="0" xfId="0" applyFont="1" applyAlignment="1">
      <alignment horizontal="center"/>
    </xf>
    <xf numFmtId="0" fontId="10" fillId="0" borderId="1" xfId="0" applyFont="1" applyBorder="1" applyAlignment="1">
      <alignment horizontal="center"/>
    </xf>
    <xf numFmtId="0" fontId="12" fillId="0" borderId="1" xfId="0" applyFont="1" applyBorder="1" applyAlignment="1">
      <alignment horizontal="center"/>
    </xf>
    <xf numFmtId="0" fontId="27" fillId="7" borderId="0" xfId="0" applyFont="1" applyFill="1" applyAlignment="1">
      <alignment horizontal="center" vertical="center"/>
    </xf>
    <xf numFmtId="0" fontId="28" fillId="7" borderId="0" xfId="0" applyFont="1" applyFill="1" applyAlignment="1">
      <alignment horizontal="center" vertical="center"/>
    </xf>
    <xf numFmtId="0" fontId="27" fillId="7" borderId="0" xfId="0" applyFont="1" applyFill="1" applyAlignment="1">
      <alignment horizontal="center"/>
    </xf>
    <xf numFmtId="0" fontId="28" fillId="7" borderId="0" xfId="0" applyFont="1" applyFill="1" applyAlignment="1">
      <alignment horizontal="center"/>
    </xf>
    <xf numFmtId="0" fontId="29" fillId="0" borderId="0" xfId="0" applyFont="1" applyAlignment="1">
      <alignment horizontal="center"/>
    </xf>
    <xf numFmtId="0" fontId="7" fillId="0" borderId="0" xfId="0" applyFont="1" applyAlignment="1">
      <alignment horizontal="center" vertical="center"/>
    </xf>
    <xf numFmtId="0" fontId="7" fillId="0" borderId="0" xfId="0" applyFont="1" applyAlignment="1">
      <alignment horizontal="center"/>
    </xf>
    <xf numFmtId="0" fontId="27" fillId="0" borderId="0" xfId="0" applyFont="1" applyAlignment="1">
      <alignment horizontal="center" vertical="center"/>
    </xf>
    <xf numFmtId="0" fontId="28" fillId="0" borderId="0" xfId="0" applyFont="1" applyAlignment="1">
      <alignment horizontal="center" vertical="center"/>
    </xf>
    <xf numFmtId="0" fontId="27" fillId="0" borderId="0" xfId="0" applyFont="1" applyAlignment="1">
      <alignment horizontal="center"/>
    </xf>
    <xf numFmtId="0" fontId="28" fillId="0" borderId="0" xfId="0" applyFont="1" applyAlignment="1">
      <alignment horizontal="center"/>
    </xf>
    <xf numFmtId="0" fontId="34" fillId="0" borderId="0" xfId="0" applyFont="1"/>
    <xf numFmtId="0" fontId="0" fillId="0" borderId="0" xfId="0"/>
    <xf numFmtId="0" fontId="22" fillId="0" borderId="0" xfId="0" applyFont="1"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xf>
    <xf numFmtId="0" fontId="13" fillId="0" borderId="0" xfId="0" applyFont="1" applyAlignment="1">
      <alignment horizontal="center"/>
    </xf>
    <xf numFmtId="0" fontId="13" fillId="0" borderId="0" xfId="0" applyFont="1" applyAlignment="1">
      <alignment horizontal="center" vertical="center"/>
    </xf>
    <xf numFmtId="0" fontId="13" fillId="0" borderId="1" xfId="0" applyFont="1" applyBorder="1" applyAlignment="1">
      <alignment horizontal="center"/>
    </xf>
    <xf numFmtId="0" fontId="9" fillId="0" borderId="1" xfId="0" applyFont="1" applyBorder="1" applyAlignment="1">
      <alignment horizontal="center"/>
    </xf>
    <xf numFmtId="0" fontId="42" fillId="2" borderId="10" xfId="0" applyFont="1" applyFill="1" applyBorder="1" applyAlignment="1">
      <alignment horizontal="center" vertical="center" wrapText="1"/>
    </xf>
    <xf numFmtId="0" fontId="36" fillId="2" borderId="10" xfId="0" applyFont="1" applyFill="1" applyBorder="1" applyAlignment="1">
      <alignment horizontal="center" vertical="center" wrapText="1"/>
    </xf>
    <xf numFmtId="0" fontId="37" fillId="0" borderId="0" xfId="0" applyFont="1"/>
    <xf numFmtId="0" fontId="36" fillId="2" borderId="0" xfId="0" applyFont="1" applyFill="1" applyAlignment="1">
      <alignment horizontal="center" vertical="center" wrapText="1"/>
    </xf>
    <xf numFmtId="0" fontId="60" fillId="0" borderId="0" xfId="0" applyFont="1" applyAlignment="1">
      <alignment horizontal="center"/>
    </xf>
    <xf numFmtId="0" fontId="23" fillId="0" borderId="0" xfId="0" applyFont="1" applyAlignment="1">
      <alignment horizontal="center"/>
    </xf>
    <xf numFmtId="0" fontId="61" fillId="0" borderId="0" xfId="0" applyFont="1" applyAlignment="1">
      <alignment horizontal="center" vertical="top"/>
    </xf>
    <xf numFmtId="0" fontId="58" fillId="0" borderId="0" xfId="0" applyFont="1" applyAlignment="1">
      <alignment horizontal="center"/>
    </xf>
    <xf numFmtId="0" fontId="32" fillId="3" borderId="22" xfId="0" applyFont="1" applyFill="1" applyBorder="1" applyAlignment="1">
      <alignment horizontal="center"/>
    </xf>
    <xf numFmtId="0" fontId="30" fillId="0" borderId="22" xfId="0" applyFont="1" applyBorder="1" applyAlignment="1">
      <alignment horizontal="left"/>
    </xf>
    <xf numFmtId="0" fontId="30" fillId="0" borderId="23" xfId="0" applyFont="1" applyBorder="1" applyAlignment="1">
      <alignment horizontal="left"/>
    </xf>
    <xf numFmtId="0" fontId="30" fillId="0" borderId="24" xfId="0" applyFont="1" applyBorder="1" applyAlignment="1">
      <alignment horizontal="left"/>
    </xf>
    <xf numFmtId="0" fontId="32" fillId="3" borderId="23" xfId="0" applyFont="1" applyFill="1" applyBorder="1" applyAlignment="1">
      <alignment horizontal="center"/>
    </xf>
    <xf numFmtId="0" fontId="32" fillId="3" borderId="24" xfId="0" applyFont="1" applyFill="1" applyBorder="1" applyAlignment="1">
      <alignment horizontal="center"/>
    </xf>
    <xf numFmtId="0" fontId="32" fillId="3" borderId="32" xfId="0" applyFont="1" applyFill="1" applyBorder="1" applyAlignment="1">
      <alignment horizontal="center"/>
    </xf>
    <xf numFmtId="0" fontId="30" fillId="0" borderId="29" xfId="0" applyFont="1" applyBorder="1" applyAlignment="1">
      <alignment horizontal="left"/>
    </xf>
    <xf numFmtId="0" fontId="30" fillId="0" borderId="38" xfId="0" applyFont="1" applyBorder="1" applyAlignment="1">
      <alignment horizontal="left"/>
    </xf>
    <xf numFmtId="0" fontId="73" fillId="4" borderId="0" xfId="0" applyFont="1" applyFill="1" applyAlignment="1">
      <alignment horizontal="center" vertical="top"/>
    </xf>
    <xf numFmtId="0" fontId="22" fillId="5" borderId="0" xfId="0" applyFont="1" applyFill="1" applyAlignment="1">
      <alignment horizontal="center"/>
    </xf>
    <xf numFmtId="0" fontId="16" fillId="5" borderId="1" xfId="0" applyFont="1" applyFill="1" applyBorder="1" applyAlignment="1">
      <alignment horizontal="center"/>
    </xf>
    <xf numFmtId="0" fontId="10" fillId="5" borderId="1" xfId="0" applyFont="1" applyFill="1" applyBorder="1" applyAlignment="1">
      <alignment horizontal="center"/>
    </xf>
    <xf numFmtId="0" fontId="27" fillId="5" borderId="0" xfId="0" applyFont="1" applyFill="1" applyAlignment="1">
      <alignment horizontal="center"/>
    </xf>
    <xf numFmtId="0" fontId="28" fillId="5" borderId="0" xfId="0" applyFont="1" applyFill="1" applyAlignment="1">
      <alignment horizontal="center"/>
    </xf>
    <xf numFmtId="0" fontId="10" fillId="5" borderId="0" xfId="0" applyFont="1" applyFill="1" applyAlignment="1">
      <alignment horizontal="center"/>
    </xf>
    <xf numFmtId="0" fontId="29" fillId="5" borderId="0" xfId="0" applyFont="1" applyFill="1" applyAlignment="1">
      <alignment horizontal="center"/>
    </xf>
    <xf numFmtId="0" fontId="7" fillId="5" borderId="0" xfId="0" applyFont="1" applyFill="1" applyAlignment="1">
      <alignment horizontal="center" vertical="center"/>
    </xf>
    <xf numFmtId="0" fontId="7" fillId="5" borderId="0" xfId="0" applyFont="1" applyFill="1" applyAlignment="1">
      <alignment horizontal="center"/>
    </xf>
    <xf numFmtId="0" fontId="27" fillId="5" borderId="0" xfId="0" applyFont="1" applyFill="1" applyAlignment="1">
      <alignment horizontal="center" vertical="center"/>
    </xf>
    <xf numFmtId="0" fontId="28" fillId="5" borderId="0" xfId="0" applyFont="1" applyFill="1" applyAlignment="1">
      <alignment horizontal="center" vertical="center"/>
    </xf>
    <xf numFmtId="0" fontId="30" fillId="8" borderId="25" xfId="0" applyFont="1" applyFill="1" applyBorder="1"/>
    <xf numFmtId="2" fontId="0" fillId="8" borderId="0" xfId="0" applyNumberFormat="1" applyFill="1"/>
    <xf numFmtId="2" fontId="0" fillId="8" borderId="26" xfId="0" applyNumberFormat="1" applyFill="1" applyBorder="1"/>
    <xf numFmtId="0" fontId="30" fillId="8" borderId="27" xfId="0" applyFont="1" applyFill="1" applyBorder="1"/>
    <xf numFmtId="2" fontId="0" fillId="8" borderId="17" xfId="0" applyNumberFormat="1" applyFill="1" applyBorder="1"/>
    <xf numFmtId="2" fontId="0" fillId="8" borderId="28" xfId="0" applyNumberFormat="1" applyFill="1" applyBorder="1"/>
    <xf numFmtId="166" fontId="0" fillId="8" borderId="0" xfId="0" applyNumberFormat="1" applyFill="1"/>
    <xf numFmtId="166" fontId="0" fillId="8" borderId="26" xfId="0" applyNumberFormat="1" applyFill="1" applyBorder="1"/>
    <xf numFmtId="2" fontId="0" fillId="8" borderId="0" xfId="0" applyNumberFormat="1" applyFill="1" applyAlignment="1">
      <alignment horizontal="right"/>
    </xf>
    <xf numFmtId="2" fontId="0" fillId="8" borderId="26" xfId="0" applyNumberFormat="1" applyFill="1" applyBorder="1" applyAlignment="1">
      <alignment horizontal="right"/>
    </xf>
    <xf numFmtId="4" fontId="0" fillId="8" borderId="0" xfId="0" applyNumberFormat="1" applyFill="1" applyAlignment="1">
      <alignment horizontal="right"/>
    </xf>
    <xf numFmtId="4" fontId="0" fillId="8" borderId="26" xfId="0" applyNumberFormat="1" applyFill="1" applyBorder="1" applyAlignment="1">
      <alignment horizontal="right"/>
    </xf>
    <xf numFmtId="2" fontId="0" fillId="8" borderId="17" xfId="0" applyNumberFormat="1" applyFill="1" applyBorder="1" applyAlignment="1">
      <alignment horizontal="right"/>
    </xf>
    <xf numFmtId="2" fontId="0" fillId="8" borderId="28" xfId="0" applyNumberFormat="1" applyFill="1" applyBorder="1" applyAlignment="1">
      <alignment horizontal="right"/>
    </xf>
    <xf numFmtId="4" fontId="0" fillId="8" borderId="0" xfId="0" applyNumberFormat="1" applyFill="1"/>
    <xf numFmtId="10" fontId="0" fillId="8" borderId="0" xfId="0" applyNumberFormat="1" applyFill="1"/>
    <xf numFmtId="10" fontId="0" fillId="8" borderId="26" xfId="0" applyNumberFormat="1" applyFill="1" applyBorder="1"/>
    <xf numFmtId="10" fontId="0" fillId="8" borderId="17" xfId="0" applyNumberFormat="1" applyFill="1" applyBorder="1"/>
    <xf numFmtId="10" fontId="0" fillId="8" borderId="28" xfId="0" applyNumberFormat="1" applyFill="1" applyBorder="1"/>
  </cellXfs>
  <cellStyles count="5">
    <cellStyle name="Comma" xfId="1" builtinId="3"/>
    <cellStyle name="Currency" xfId="2" builtinId="4"/>
    <cellStyle name="Hyperlink" xfId="3" builtinId="8"/>
    <cellStyle name="Normal" xfId="0" builtinId="0"/>
    <cellStyle name="Percent" xfId="4"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Total 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RATIOS'!$J$6</c:f>
              <c:strCache>
                <c:ptCount val="1"/>
                <c:pt idx="0">
                  <c:v>Monster</c:v>
                </c:pt>
              </c:strCache>
            </c:strRef>
          </c:tx>
          <c:spPr>
            <a:solidFill>
              <a:schemeClr val="accent1"/>
            </a:solidFill>
            <a:ln>
              <a:noFill/>
            </a:ln>
            <a:effectLst/>
          </c:spPr>
          <c:invertIfNegative val="0"/>
          <c:cat>
            <c:numRef>
              <c:f>'FINANCIAL RATIOS'!$K$5:$O$5</c:f>
              <c:numCache>
                <c:formatCode>General</c:formatCode>
                <c:ptCount val="5"/>
                <c:pt idx="0">
                  <c:v>2021</c:v>
                </c:pt>
                <c:pt idx="1">
                  <c:v>2022</c:v>
                </c:pt>
                <c:pt idx="2">
                  <c:v>2023</c:v>
                </c:pt>
                <c:pt idx="3">
                  <c:v>2024</c:v>
                </c:pt>
                <c:pt idx="4">
                  <c:v>2025</c:v>
                </c:pt>
              </c:numCache>
            </c:numRef>
          </c:cat>
          <c:val>
            <c:numRef>
              <c:f>'FINANCIAL RATIOS'!$K$6:$O$6</c:f>
              <c:numCache>
                <c:formatCode>"$"#,##0_);[Red]\("$"#,##0\)</c:formatCode>
                <c:ptCount val="5"/>
                <c:pt idx="0">
                  <c:v>7804.7839999999997</c:v>
                </c:pt>
                <c:pt idx="1">
                  <c:v>8293.1049999999996</c:v>
                </c:pt>
                <c:pt idx="2">
                  <c:v>9686.5220000000008</c:v>
                </c:pt>
                <c:pt idx="3">
                  <c:v>7719.0890000000009</c:v>
                </c:pt>
                <c:pt idx="4">
                  <c:v>9988.9449999999997</c:v>
                </c:pt>
              </c:numCache>
            </c:numRef>
          </c:val>
          <c:extLst>
            <c:ext xmlns:c16="http://schemas.microsoft.com/office/drawing/2014/chart" uri="{C3380CC4-5D6E-409C-BE32-E72D297353CC}">
              <c16:uniqueId val="{00000000-96E5-4AE4-B1FF-3B534860735E}"/>
            </c:ext>
          </c:extLst>
        </c:ser>
        <c:ser>
          <c:idx val="1"/>
          <c:order val="1"/>
          <c:tx>
            <c:strRef>
              <c:f>'FINANCIAL RATIOS'!$J$7</c:f>
              <c:strCache>
                <c:ptCount val="1"/>
                <c:pt idx="0">
                  <c:v>PepsiCo</c:v>
                </c:pt>
              </c:strCache>
            </c:strRef>
          </c:tx>
          <c:spPr>
            <a:solidFill>
              <a:schemeClr val="accent2"/>
            </a:solidFill>
            <a:ln>
              <a:noFill/>
            </a:ln>
            <a:effectLst/>
          </c:spPr>
          <c:invertIfNegative val="0"/>
          <c:cat>
            <c:numRef>
              <c:f>'FINANCIAL RATIOS'!$K$5:$O$5</c:f>
              <c:numCache>
                <c:formatCode>General</c:formatCode>
                <c:ptCount val="5"/>
                <c:pt idx="0">
                  <c:v>2021</c:v>
                </c:pt>
                <c:pt idx="1">
                  <c:v>2022</c:v>
                </c:pt>
                <c:pt idx="2">
                  <c:v>2023</c:v>
                </c:pt>
                <c:pt idx="3">
                  <c:v>2024</c:v>
                </c:pt>
                <c:pt idx="4">
                  <c:v>2025</c:v>
                </c:pt>
              </c:numCache>
            </c:numRef>
          </c:cat>
          <c:val>
            <c:numRef>
              <c:f>'FINANCIAL RATIOS'!$K$7:$O$7</c:f>
              <c:numCache>
                <c:formatCode>"$"#,##0_);[Red]\("$"#,##0\)</c:formatCode>
                <c:ptCount val="5"/>
                <c:pt idx="0">
                  <c:v>92377</c:v>
                </c:pt>
                <c:pt idx="1">
                  <c:v>92197</c:v>
                </c:pt>
                <c:pt idx="2">
                  <c:v>100495</c:v>
                </c:pt>
                <c:pt idx="3">
                  <c:v>99467</c:v>
                </c:pt>
                <c:pt idx="4">
                  <c:v>107399</c:v>
                </c:pt>
              </c:numCache>
            </c:numRef>
          </c:val>
          <c:extLst>
            <c:ext xmlns:c16="http://schemas.microsoft.com/office/drawing/2014/chart" uri="{C3380CC4-5D6E-409C-BE32-E72D297353CC}">
              <c16:uniqueId val="{00000001-96E5-4AE4-B1FF-3B534860735E}"/>
            </c:ext>
          </c:extLst>
        </c:ser>
        <c:ser>
          <c:idx val="2"/>
          <c:order val="2"/>
          <c:tx>
            <c:strRef>
              <c:f>'FINANCIAL RATIOS'!$J$8</c:f>
              <c:strCache>
                <c:ptCount val="1"/>
                <c:pt idx="0">
                  <c:v>Coca-Cola</c:v>
                </c:pt>
              </c:strCache>
            </c:strRef>
          </c:tx>
          <c:spPr>
            <a:solidFill>
              <a:schemeClr val="accent3"/>
            </a:solidFill>
            <a:ln>
              <a:noFill/>
            </a:ln>
            <a:effectLst/>
          </c:spPr>
          <c:invertIfNegative val="0"/>
          <c:cat>
            <c:numRef>
              <c:f>'FINANCIAL RATIOS'!$K$5:$O$5</c:f>
              <c:numCache>
                <c:formatCode>General</c:formatCode>
                <c:ptCount val="5"/>
                <c:pt idx="0">
                  <c:v>2021</c:v>
                </c:pt>
                <c:pt idx="1">
                  <c:v>2022</c:v>
                </c:pt>
                <c:pt idx="2">
                  <c:v>2023</c:v>
                </c:pt>
                <c:pt idx="3">
                  <c:v>2024</c:v>
                </c:pt>
                <c:pt idx="4">
                  <c:v>2025</c:v>
                </c:pt>
              </c:numCache>
            </c:numRef>
          </c:cat>
          <c:val>
            <c:numRef>
              <c:f>'FINANCIAL RATIOS'!$K$8:$O$8</c:f>
              <c:numCache>
                <c:formatCode>"$"#,##0_);[Red]\("$"#,##0\)</c:formatCode>
                <c:ptCount val="5"/>
                <c:pt idx="0">
                  <c:v>94354</c:v>
                </c:pt>
                <c:pt idx="1">
                  <c:v>92763</c:v>
                </c:pt>
                <c:pt idx="2">
                  <c:v>97703</c:v>
                </c:pt>
                <c:pt idx="3">
                  <c:v>100549</c:v>
                </c:pt>
                <c:pt idx="4">
                  <c:v>104816</c:v>
                </c:pt>
              </c:numCache>
            </c:numRef>
          </c:val>
          <c:extLst>
            <c:ext xmlns:c16="http://schemas.microsoft.com/office/drawing/2014/chart" uri="{C3380CC4-5D6E-409C-BE32-E72D297353CC}">
              <c16:uniqueId val="{00000002-96E5-4AE4-B1FF-3B534860735E}"/>
            </c:ext>
          </c:extLst>
        </c:ser>
        <c:ser>
          <c:idx val="3"/>
          <c:order val="3"/>
          <c:tx>
            <c:strRef>
              <c:f>'FINANCIAL RATIOS'!$J$9</c:f>
              <c:strCache>
                <c:ptCount val="1"/>
                <c:pt idx="0">
                  <c:v>CELH</c:v>
                </c:pt>
              </c:strCache>
            </c:strRef>
          </c:tx>
          <c:spPr>
            <a:solidFill>
              <a:schemeClr val="accent4"/>
            </a:solidFill>
            <a:ln>
              <a:noFill/>
            </a:ln>
            <a:effectLst/>
          </c:spPr>
          <c:invertIfNegative val="0"/>
          <c:cat>
            <c:numRef>
              <c:f>'FINANCIAL RATIOS'!$K$5:$O$5</c:f>
              <c:numCache>
                <c:formatCode>General</c:formatCode>
                <c:ptCount val="5"/>
                <c:pt idx="0">
                  <c:v>2021</c:v>
                </c:pt>
                <c:pt idx="1">
                  <c:v>2022</c:v>
                </c:pt>
                <c:pt idx="2">
                  <c:v>2023</c:v>
                </c:pt>
                <c:pt idx="3">
                  <c:v>2024</c:v>
                </c:pt>
                <c:pt idx="4">
                  <c:v>2025</c:v>
                </c:pt>
              </c:numCache>
            </c:numRef>
          </c:cat>
          <c:val>
            <c:numRef>
              <c:f>'FINANCIAL RATIOS'!$K$9:$O$9</c:f>
              <c:numCache>
                <c:formatCode>"$"#,##0_);[Red]\("$"#,##0\)</c:formatCode>
                <c:ptCount val="5"/>
                <c:pt idx="0">
                  <c:v>314.01799999999997</c:v>
                </c:pt>
                <c:pt idx="1">
                  <c:v>1222.069</c:v>
                </c:pt>
                <c:pt idx="2">
                  <c:v>1536.396</c:v>
                </c:pt>
                <c:pt idx="3">
                  <c:v>1766.8810000000001</c:v>
                </c:pt>
                <c:pt idx="4">
                  <c:v>5119.6210000000001</c:v>
                </c:pt>
              </c:numCache>
            </c:numRef>
          </c:val>
          <c:extLst>
            <c:ext xmlns:c16="http://schemas.microsoft.com/office/drawing/2014/chart" uri="{C3380CC4-5D6E-409C-BE32-E72D297353CC}">
              <c16:uniqueId val="{00000003-96E5-4AE4-B1FF-3B534860735E}"/>
            </c:ext>
          </c:extLst>
        </c:ser>
        <c:ser>
          <c:idx val="4"/>
          <c:order val="4"/>
          <c:tx>
            <c:strRef>
              <c:f>'FINANCIAL RATIOS'!$J$10</c:f>
              <c:strCache>
                <c:ptCount val="1"/>
                <c:pt idx="0">
                  <c:v>KDP</c:v>
                </c:pt>
              </c:strCache>
            </c:strRef>
          </c:tx>
          <c:spPr>
            <a:solidFill>
              <a:schemeClr val="accent5"/>
            </a:solidFill>
            <a:ln>
              <a:noFill/>
            </a:ln>
            <a:effectLst/>
          </c:spPr>
          <c:invertIfNegative val="0"/>
          <c:cat>
            <c:numRef>
              <c:f>'FINANCIAL RATIOS'!$K$5:$O$5</c:f>
              <c:numCache>
                <c:formatCode>General</c:formatCode>
                <c:ptCount val="5"/>
                <c:pt idx="0">
                  <c:v>2021</c:v>
                </c:pt>
                <c:pt idx="1">
                  <c:v>2022</c:v>
                </c:pt>
                <c:pt idx="2">
                  <c:v>2023</c:v>
                </c:pt>
                <c:pt idx="3">
                  <c:v>2024</c:v>
                </c:pt>
                <c:pt idx="4">
                  <c:v>2025</c:v>
                </c:pt>
              </c:numCache>
            </c:numRef>
          </c:cat>
          <c:val>
            <c:numRef>
              <c:f>'FINANCIAL RATIOS'!$K$10:$O$10</c:f>
              <c:numCache>
                <c:formatCode>_("$"* #,##0_);_("$"* \(#,##0\);_("$"* "-"??_);_(@_)</c:formatCode>
                <c:ptCount val="5"/>
                <c:pt idx="0">
                  <c:v>50598</c:v>
                </c:pt>
                <c:pt idx="1">
                  <c:v>51837</c:v>
                </c:pt>
                <c:pt idx="2">
                  <c:v>52130</c:v>
                </c:pt>
                <c:pt idx="3">
                  <c:v>53430</c:v>
                </c:pt>
                <c:pt idx="4">
                  <c:v>55459</c:v>
                </c:pt>
              </c:numCache>
            </c:numRef>
          </c:val>
          <c:extLst>
            <c:ext xmlns:c16="http://schemas.microsoft.com/office/drawing/2014/chart" uri="{C3380CC4-5D6E-409C-BE32-E72D297353CC}">
              <c16:uniqueId val="{00000004-96E5-4AE4-B1FF-3B534860735E}"/>
            </c:ext>
          </c:extLst>
        </c:ser>
        <c:dLbls>
          <c:showLegendKey val="0"/>
          <c:showVal val="0"/>
          <c:showCatName val="0"/>
          <c:showSerName val="0"/>
          <c:showPercent val="0"/>
          <c:showBubbleSize val="0"/>
        </c:dLbls>
        <c:gapWidth val="150"/>
        <c:axId val="478004744"/>
        <c:axId val="487407624"/>
      </c:barChart>
      <c:catAx>
        <c:axId val="47800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407624"/>
        <c:crosses val="autoZero"/>
        <c:auto val="1"/>
        <c:lblAlgn val="ctr"/>
        <c:lblOffset val="100"/>
        <c:noMultiLvlLbl val="0"/>
      </c:catAx>
      <c:valAx>
        <c:axId val="487407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00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RATIOS'!$J$14</c:f>
              <c:strCache>
                <c:ptCount val="1"/>
                <c:pt idx="0">
                  <c:v>Monster</c:v>
                </c:pt>
              </c:strCache>
            </c:strRef>
          </c:tx>
          <c:spPr>
            <a:solidFill>
              <a:schemeClr val="accent1"/>
            </a:solidFill>
            <a:ln>
              <a:noFill/>
            </a:ln>
            <a:effectLst/>
          </c:spPr>
          <c:invertIfNegative val="0"/>
          <c:cat>
            <c:numRef>
              <c:f>'FINANCIAL RATIOS'!$K$13:$O$13</c:f>
              <c:numCache>
                <c:formatCode>General</c:formatCode>
                <c:ptCount val="5"/>
                <c:pt idx="0">
                  <c:v>2021</c:v>
                </c:pt>
                <c:pt idx="1">
                  <c:v>2022</c:v>
                </c:pt>
                <c:pt idx="2">
                  <c:v>2023</c:v>
                </c:pt>
                <c:pt idx="3">
                  <c:v>2024</c:v>
                </c:pt>
                <c:pt idx="4">
                  <c:v>2025</c:v>
                </c:pt>
              </c:numCache>
            </c:numRef>
          </c:cat>
          <c:val>
            <c:numRef>
              <c:f>'FINANCIAL RATIOS'!$K$14:$O$14</c:f>
              <c:numCache>
                <c:formatCode>"$"#,##0_);[Red]\("$"#,##0\)</c:formatCode>
                <c:ptCount val="5"/>
                <c:pt idx="0">
                  <c:v>5541.3519999999999</c:v>
                </c:pt>
                <c:pt idx="1">
                  <c:v>6311.05</c:v>
                </c:pt>
                <c:pt idx="2">
                  <c:v>7140.027</c:v>
                </c:pt>
                <c:pt idx="3">
                  <c:v>7492.7089999999998</c:v>
                </c:pt>
                <c:pt idx="4">
                  <c:v>8294.3430000000008</c:v>
                </c:pt>
              </c:numCache>
            </c:numRef>
          </c:val>
          <c:extLst>
            <c:ext xmlns:c16="http://schemas.microsoft.com/office/drawing/2014/chart" uri="{C3380CC4-5D6E-409C-BE32-E72D297353CC}">
              <c16:uniqueId val="{00000000-44AA-4427-9D75-0E24284661EE}"/>
            </c:ext>
          </c:extLst>
        </c:ser>
        <c:ser>
          <c:idx val="1"/>
          <c:order val="1"/>
          <c:tx>
            <c:strRef>
              <c:f>'FINANCIAL RATIOS'!$J$15</c:f>
              <c:strCache>
                <c:ptCount val="1"/>
                <c:pt idx="0">
                  <c:v>PepsiCo</c:v>
                </c:pt>
              </c:strCache>
            </c:strRef>
          </c:tx>
          <c:spPr>
            <a:solidFill>
              <a:schemeClr val="accent2"/>
            </a:solidFill>
            <a:ln>
              <a:noFill/>
            </a:ln>
            <a:effectLst/>
          </c:spPr>
          <c:invertIfNegative val="0"/>
          <c:cat>
            <c:numRef>
              <c:f>'FINANCIAL RATIOS'!$K$13:$O$13</c:f>
              <c:numCache>
                <c:formatCode>General</c:formatCode>
                <c:ptCount val="5"/>
                <c:pt idx="0">
                  <c:v>2021</c:v>
                </c:pt>
                <c:pt idx="1">
                  <c:v>2022</c:v>
                </c:pt>
                <c:pt idx="2">
                  <c:v>2023</c:v>
                </c:pt>
                <c:pt idx="3">
                  <c:v>2024</c:v>
                </c:pt>
                <c:pt idx="4">
                  <c:v>2025</c:v>
                </c:pt>
              </c:numCache>
            </c:numRef>
          </c:cat>
          <c:val>
            <c:numRef>
              <c:f>'FINANCIAL RATIOS'!$K$15:$O$15</c:f>
              <c:numCache>
                <c:formatCode>"$"#,##0_);[Red]\("$"#,##0\)</c:formatCode>
                <c:ptCount val="5"/>
                <c:pt idx="0">
                  <c:v>79474</c:v>
                </c:pt>
                <c:pt idx="1">
                  <c:v>86392</c:v>
                </c:pt>
                <c:pt idx="2">
                  <c:v>91471</c:v>
                </c:pt>
                <c:pt idx="3">
                  <c:v>91854</c:v>
                </c:pt>
                <c:pt idx="4">
                  <c:v>93925</c:v>
                </c:pt>
              </c:numCache>
            </c:numRef>
          </c:val>
          <c:extLst>
            <c:ext xmlns:c16="http://schemas.microsoft.com/office/drawing/2014/chart" uri="{C3380CC4-5D6E-409C-BE32-E72D297353CC}">
              <c16:uniqueId val="{00000001-44AA-4427-9D75-0E24284661EE}"/>
            </c:ext>
          </c:extLst>
        </c:ser>
        <c:ser>
          <c:idx val="2"/>
          <c:order val="2"/>
          <c:tx>
            <c:strRef>
              <c:f>'FINANCIAL RATIOS'!$J$16</c:f>
              <c:strCache>
                <c:ptCount val="1"/>
                <c:pt idx="0">
                  <c:v>Coca-Cola</c:v>
                </c:pt>
              </c:strCache>
            </c:strRef>
          </c:tx>
          <c:spPr>
            <a:solidFill>
              <a:schemeClr val="accent3"/>
            </a:solidFill>
            <a:ln>
              <a:noFill/>
            </a:ln>
            <a:effectLst/>
          </c:spPr>
          <c:invertIfNegative val="0"/>
          <c:cat>
            <c:numRef>
              <c:f>'FINANCIAL RATIOS'!$K$13:$O$13</c:f>
              <c:numCache>
                <c:formatCode>General</c:formatCode>
                <c:ptCount val="5"/>
                <c:pt idx="0">
                  <c:v>2021</c:v>
                </c:pt>
                <c:pt idx="1">
                  <c:v>2022</c:v>
                </c:pt>
                <c:pt idx="2">
                  <c:v>2023</c:v>
                </c:pt>
                <c:pt idx="3">
                  <c:v>2024</c:v>
                </c:pt>
                <c:pt idx="4">
                  <c:v>2025</c:v>
                </c:pt>
              </c:numCache>
            </c:numRef>
          </c:cat>
          <c:val>
            <c:numRef>
              <c:f>'FINANCIAL RATIOS'!$K$16:$O$16</c:f>
              <c:numCache>
                <c:formatCode>"$"#,##0_);[Red]\("$"#,##0\)</c:formatCode>
                <c:ptCount val="5"/>
                <c:pt idx="0">
                  <c:v>38655</c:v>
                </c:pt>
                <c:pt idx="1">
                  <c:v>43004</c:v>
                </c:pt>
                <c:pt idx="2">
                  <c:v>45754</c:v>
                </c:pt>
                <c:pt idx="3">
                  <c:v>47061</c:v>
                </c:pt>
                <c:pt idx="4">
                  <c:v>47941</c:v>
                </c:pt>
              </c:numCache>
            </c:numRef>
          </c:val>
          <c:extLst>
            <c:ext xmlns:c16="http://schemas.microsoft.com/office/drawing/2014/chart" uri="{C3380CC4-5D6E-409C-BE32-E72D297353CC}">
              <c16:uniqueId val="{00000002-44AA-4427-9D75-0E24284661EE}"/>
            </c:ext>
          </c:extLst>
        </c:ser>
        <c:ser>
          <c:idx val="3"/>
          <c:order val="3"/>
          <c:tx>
            <c:strRef>
              <c:f>'FINANCIAL RATIOS'!$J$17</c:f>
              <c:strCache>
                <c:ptCount val="1"/>
                <c:pt idx="0">
                  <c:v>CELH</c:v>
                </c:pt>
              </c:strCache>
            </c:strRef>
          </c:tx>
          <c:spPr>
            <a:solidFill>
              <a:schemeClr val="accent4"/>
            </a:solidFill>
            <a:ln>
              <a:noFill/>
            </a:ln>
            <a:effectLst/>
          </c:spPr>
          <c:invertIfNegative val="0"/>
          <c:cat>
            <c:numRef>
              <c:f>'FINANCIAL RATIOS'!$K$13:$O$13</c:f>
              <c:numCache>
                <c:formatCode>General</c:formatCode>
                <c:ptCount val="5"/>
                <c:pt idx="0">
                  <c:v>2021</c:v>
                </c:pt>
                <c:pt idx="1">
                  <c:v>2022</c:v>
                </c:pt>
                <c:pt idx="2">
                  <c:v>2023</c:v>
                </c:pt>
                <c:pt idx="3">
                  <c:v>2024</c:v>
                </c:pt>
                <c:pt idx="4">
                  <c:v>2025</c:v>
                </c:pt>
              </c:numCache>
            </c:numRef>
          </c:cat>
          <c:val>
            <c:numRef>
              <c:f>'FINANCIAL RATIOS'!$K$17:$O$17</c:f>
              <c:numCache>
                <c:formatCode>"$"#,##0_);[Red]\("$"#,##0\)</c:formatCode>
                <c:ptCount val="5"/>
                <c:pt idx="0">
                  <c:v>314.27199999999999</c:v>
                </c:pt>
                <c:pt idx="1">
                  <c:v>653.60400000000004</c:v>
                </c:pt>
                <c:pt idx="2">
                  <c:v>1318.0139999999999</c:v>
                </c:pt>
                <c:pt idx="3">
                  <c:v>1355.63</c:v>
                </c:pt>
                <c:pt idx="4">
                  <c:v>2515.2689999999998</c:v>
                </c:pt>
              </c:numCache>
            </c:numRef>
          </c:val>
          <c:extLst>
            <c:ext xmlns:c16="http://schemas.microsoft.com/office/drawing/2014/chart" uri="{C3380CC4-5D6E-409C-BE32-E72D297353CC}">
              <c16:uniqueId val="{00000003-44AA-4427-9D75-0E24284661EE}"/>
            </c:ext>
          </c:extLst>
        </c:ser>
        <c:ser>
          <c:idx val="4"/>
          <c:order val="4"/>
          <c:tx>
            <c:strRef>
              <c:f>'FINANCIAL RATIOS'!$J$18</c:f>
              <c:strCache>
                <c:ptCount val="1"/>
                <c:pt idx="0">
                  <c:v>KDP</c:v>
                </c:pt>
              </c:strCache>
            </c:strRef>
          </c:tx>
          <c:spPr>
            <a:solidFill>
              <a:schemeClr val="accent5"/>
            </a:solidFill>
            <a:ln>
              <a:noFill/>
            </a:ln>
            <a:effectLst/>
          </c:spPr>
          <c:invertIfNegative val="0"/>
          <c:cat>
            <c:numRef>
              <c:f>'FINANCIAL RATIOS'!$K$13:$O$13</c:f>
              <c:numCache>
                <c:formatCode>General</c:formatCode>
                <c:ptCount val="5"/>
                <c:pt idx="0">
                  <c:v>2021</c:v>
                </c:pt>
                <c:pt idx="1">
                  <c:v>2022</c:v>
                </c:pt>
                <c:pt idx="2">
                  <c:v>2023</c:v>
                </c:pt>
                <c:pt idx="3">
                  <c:v>2024</c:v>
                </c:pt>
                <c:pt idx="4">
                  <c:v>2025</c:v>
                </c:pt>
              </c:numCache>
            </c:numRef>
          </c:cat>
          <c:val>
            <c:numRef>
              <c:f>'FINANCIAL RATIOS'!$K$18:$O$18</c:f>
              <c:numCache>
                <c:formatCode>_("$"* #,##0_);_("$"* \(#,##0\);_("$"* "-"??_);_(@_)</c:formatCode>
                <c:ptCount val="5"/>
                <c:pt idx="0">
                  <c:v>12683</c:v>
                </c:pt>
                <c:pt idx="1">
                  <c:v>14057</c:v>
                </c:pt>
                <c:pt idx="2">
                  <c:v>14814</c:v>
                </c:pt>
                <c:pt idx="3">
                  <c:v>15351</c:v>
                </c:pt>
                <c:pt idx="4">
                  <c:v>16603</c:v>
                </c:pt>
              </c:numCache>
            </c:numRef>
          </c:val>
          <c:extLst>
            <c:ext xmlns:c16="http://schemas.microsoft.com/office/drawing/2014/chart" uri="{C3380CC4-5D6E-409C-BE32-E72D297353CC}">
              <c16:uniqueId val="{00000004-44AA-4427-9D75-0E24284661EE}"/>
            </c:ext>
          </c:extLst>
        </c:ser>
        <c:dLbls>
          <c:showLegendKey val="0"/>
          <c:showVal val="0"/>
          <c:showCatName val="0"/>
          <c:showSerName val="0"/>
          <c:showPercent val="0"/>
          <c:showBubbleSize val="0"/>
        </c:dLbls>
        <c:gapWidth val="219"/>
        <c:axId val="886184456"/>
        <c:axId val="886211080"/>
      </c:barChart>
      <c:catAx>
        <c:axId val="886184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211080"/>
        <c:crosses val="autoZero"/>
        <c:auto val="1"/>
        <c:lblAlgn val="ctr"/>
        <c:lblOffset val="100"/>
        <c:noMultiLvlLbl val="0"/>
      </c:catAx>
      <c:valAx>
        <c:axId val="886211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184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Free Cash Flows (FCF)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RATIOS'!$J$23</c:f>
              <c:strCache>
                <c:ptCount val="1"/>
                <c:pt idx="0">
                  <c:v>Monster</c:v>
                </c:pt>
              </c:strCache>
            </c:strRef>
          </c:tx>
          <c:spPr>
            <a:solidFill>
              <a:schemeClr val="accent1"/>
            </a:solidFill>
            <a:ln>
              <a:noFill/>
            </a:ln>
            <a:effectLst/>
          </c:spPr>
          <c:invertIfNegative val="0"/>
          <c:cat>
            <c:numRef>
              <c:f>'FINANCIAL RATIOS'!$K$22:$O$22</c:f>
              <c:numCache>
                <c:formatCode>General</c:formatCode>
                <c:ptCount val="5"/>
                <c:pt idx="0">
                  <c:v>2021</c:v>
                </c:pt>
                <c:pt idx="1">
                  <c:v>2022</c:v>
                </c:pt>
                <c:pt idx="2">
                  <c:v>2023</c:v>
                </c:pt>
                <c:pt idx="3">
                  <c:v>2024</c:v>
                </c:pt>
                <c:pt idx="4">
                  <c:v>2025</c:v>
                </c:pt>
              </c:numCache>
            </c:numRef>
          </c:cat>
          <c:val>
            <c:numRef>
              <c:f>'FINANCIAL RATIOS'!$K$23:$O$23</c:f>
              <c:numCache>
                <c:formatCode>0.00</c:formatCode>
                <c:ptCount val="5"/>
              </c:numCache>
            </c:numRef>
          </c:val>
          <c:extLst>
            <c:ext xmlns:c16="http://schemas.microsoft.com/office/drawing/2014/chart" uri="{C3380CC4-5D6E-409C-BE32-E72D297353CC}">
              <c16:uniqueId val="{00000000-C003-416B-9199-31A40737EAD1}"/>
            </c:ext>
          </c:extLst>
        </c:ser>
        <c:ser>
          <c:idx val="1"/>
          <c:order val="1"/>
          <c:tx>
            <c:strRef>
              <c:f>'FINANCIAL RATIOS'!$J$24</c:f>
              <c:strCache>
                <c:ptCount val="1"/>
                <c:pt idx="0">
                  <c:v>PepsiCo</c:v>
                </c:pt>
              </c:strCache>
            </c:strRef>
          </c:tx>
          <c:spPr>
            <a:solidFill>
              <a:schemeClr val="accent2"/>
            </a:solidFill>
            <a:ln>
              <a:noFill/>
            </a:ln>
            <a:effectLst/>
          </c:spPr>
          <c:invertIfNegative val="0"/>
          <c:cat>
            <c:numRef>
              <c:f>'FINANCIAL RATIOS'!$K$22:$O$22</c:f>
              <c:numCache>
                <c:formatCode>General</c:formatCode>
                <c:ptCount val="5"/>
                <c:pt idx="0">
                  <c:v>2021</c:v>
                </c:pt>
                <c:pt idx="1">
                  <c:v>2022</c:v>
                </c:pt>
                <c:pt idx="2">
                  <c:v>2023</c:v>
                </c:pt>
                <c:pt idx="3">
                  <c:v>2024</c:v>
                </c:pt>
                <c:pt idx="4">
                  <c:v>2025</c:v>
                </c:pt>
              </c:numCache>
            </c:numRef>
          </c:cat>
          <c:val>
            <c:numRef>
              <c:f>'FINANCIAL RATIOS'!$K$24:$O$24</c:f>
              <c:numCache>
                <c:formatCode>0.00</c:formatCode>
                <c:ptCount val="5"/>
                <c:pt idx="0">
                  <c:v>7157</c:v>
                </c:pt>
                <c:pt idx="1">
                  <c:v>5855</c:v>
                </c:pt>
                <c:pt idx="2">
                  <c:v>8122</c:v>
                </c:pt>
                <c:pt idx="3">
                  <c:v>7531</c:v>
                </c:pt>
                <c:pt idx="4">
                  <c:v>8200</c:v>
                </c:pt>
              </c:numCache>
            </c:numRef>
          </c:val>
          <c:extLst>
            <c:ext xmlns:c16="http://schemas.microsoft.com/office/drawing/2014/chart" uri="{C3380CC4-5D6E-409C-BE32-E72D297353CC}">
              <c16:uniqueId val="{00000002-C003-416B-9199-31A40737EAD1}"/>
            </c:ext>
          </c:extLst>
        </c:ser>
        <c:ser>
          <c:idx val="2"/>
          <c:order val="2"/>
          <c:tx>
            <c:strRef>
              <c:f>'FINANCIAL RATIOS'!$J$25</c:f>
              <c:strCache>
                <c:ptCount val="1"/>
                <c:pt idx="0">
                  <c:v>Coca-Cola</c:v>
                </c:pt>
              </c:strCache>
            </c:strRef>
          </c:tx>
          <c:spPr>
            <a:solidFill>
              <a:schemeClr val="accent3"/>
            </a:solidFill>
            <a:ln>
              <a:noFill/>
            </a:ln>
            <a:effectLst/>
          </c:spPr>
          <c:invertIfNegative val="0"/>
          <c:cat>
            <c:numRef>
              <c:f>'FINANCIAL RATIOS'!$K$22:$O$22</c:f>
              <c:numCache>
                <c:formatCode>General</c:formatCode>
                <c:ptCount val="5"/>
                <c:pt idx="0">
                  <c:v>2021</c:v>
                </c:pt>
                <c:pt idx="1">
                  <c:v>2022</c:v>
                </c:pt>
                <c:pt idx="2">
                  <c:v>2023</c:v>
                </c:pt>
                <c:pt idx="3">
                  <c:v>2024</c:v>
                </c:pt>
                <c:pt idx="4">
                  <c:v>2025</c:v>
                </c:pt>
              </c:numCache>
            </c:numRef>
          </c:cat>
          <c:val>
            <c:numRef>
              <c:f>'FINANCIAL RATIOS'!$K$25:$O$25</c:f>
              <c:numCache>
                <c:formatCode>0.00</c:formatCode>
                <c:ptCount val="5"/>
                <c:pt idx="0">
                  <c:v>5296</c:v>
                </c:pt>
                <c:pt idx="1">
                  <c:v>4741</c:v>
                </c:pt>
                <c:pt idx="2">
                  <c:v>9747</c:v>
                </c:pt>
                <c:pt idx="3">
                  <c:v>9534</c:v>
                </c:pt>
                <c:pt idx="4">
                  <c:v>11258</c:v>
                </c:pt>
              </c:numCache>
            </c:numRef>
          </c:val>
          <c:extLst>
            <c:ext xmlns:c16="http://schemas.microsoft.com/office/drawing/2014/chart" uri="{C3380CC4-5D6E-409C-BE32-E72D297353CC}">
              <c16:uniqueId val="{00000004-C003-416B-9199-31A40737EAD1}"/>
            </c:ext>
          </c:extLst>
        </c:ser>
        <c:ser>
          <c:idx val="3"/>
          <c:order val="3"/>
          <c:tx>
            <c:strRef>
              <c:f>'FINANCIAL RATIOS'!$J$26</c:f>
              <c:strCache>
                <c:ptCount val="1"/>
                <c:pt idx="0">
                  <c:v>CELH</c:v>
                </c:pt>
              </c:strCache>
            </c:strRef>
          </c:tx>
          <c:spPr>
            <a:solidFill>
              <a:schemeClr val="accent4"/>
            </a:solidFill>
            <a:ln>
              <a:noFill/>
            </a:ln>
            <a:effectLst/>
          </c:spPr>
          <c:invertIfNegative val="0"/>
          <c:cat>
            <c:numRef>
              <c:f>'FINANCIAL RATIOS'!$K$22:$O$22</c:f>
              <c:numCache>
                <c:formatCode>General</c:formatCode>
                <c:ptCount val="5"/>
                <c:pt idx="0">
                  <c:v>2021</c:v>
                </c:pt>
                <c:pt idx="1">
                  <c:v>2022</c:v>
                </c:pt>
                <c:pt idx="2">
                  <c:v>2023</c:v>
                </c:pt>
                <c:pt idx="3">
                  <c:v>2024</c:v>
                </c:pt>
                <c:pt idx="4">
                  <c:v>2025</c:v>
                </c:pt>
              </c:numCache>
            </c:numRef>
          </c:cat>
          <c:val>
            <c:numRef>
              <c:f>'FINANCIAL RATIOS'!$K$26:$O$26</c:f>
              <c:numCache>
                <c:formatCode>General</c:formatCode>
                <c:ptCount val="5"/>
              </c:numCache>
            </c:numRef>
          </c:val>
          <c:extLst>
            <c:ext xmlns:c16="http://schemas.microsoft.com/office/drawing/2014/chart" uri="{C3380CC4-5D6E-409C-BE32-E72D297353CC}">
              <c16:uniqueId val="{00000006-C003-416B-9199-31A40737EAD1}"/>
            </c:ext>
          </c:extLst>
        </c:ser>
        <c:ser>
          <c:idx val="4"/>
          <c:order val="4"/>
          <c:tx>
            <c:strRef>
              <c:f>'FINANCIAL RATIOS'!$J$27</c:f>
              <c:strCache>
                <c:ptCount val="1"/>
                <c:pt idx="0">
                  <c:v>KDP</c:v>
                </c:pt>
              </c:strCache>
            </c:strRef>
          </c:tx>
          <c:spPr>
            <a:solidFill>
              <a:schemeClr val="accent5"/>
            </a:solidFill>
            <a:ln>
              <a:noFill/>
            </a:ln>
            <a:effectLst/>
          </c:spPr>
          <c:invertIfNegative val="0"/>
          <c:cat>
            <c:numRef>
              <c:f>'FINANCIAL RATIOS'!$K$22:$O$22</c:f>
              <c:numCache>
                <c:formatCode>General</c:formatCode>
                <c:ptCount val="5"/>
                <c:pt idx="0">
                  <c:v>2021</c:v>
                </c:pt>
                <c:pt idx="1">
                  <c:v>2022</c:v>
                </c:pt>
                <c:pt idx="2">
                  <c:v>2023</c:v>
                </c:pt>
                <c:pt idx="3">
                  <c:v>2024</c:v>
                </c:pt>
                <c:pt idx="4">
                  <c:v>2025</c:v>
                </c:pt>
              </c:numCache>
            </c:numRef>
          </c:cat>
          <c:val>
            <c:numRef>
              <c:f>'FINANCIAL RATIOS'!$K$27:$O$27</c:f>
              <c:numCache>
                <c:formatCode>General</c:formatCode>
                <c:ptCount val="5"/>
              </c:numCache>
            </c:numRef>
          </c:val>
          <c:extLst>
            <c:ext xmlns:c16="http://schemas.microsoft.com/office/drawing/2014/chart" uri="{C3380CC4-5D6E-409C-BE32-E72D297353CC}">
              <c16:uniqueId val="{00000008-C003-416B-9199-31A40737EAD1}"/>
            </c:ext>
          </c:extLst>
        </c:ser>
        <c:dLbls>
          <c:showLegendKey val="0"/>
          <c:showVal val="0"/>
          <c:showCatName val="0"/>
          <c:showSerName val="0"/>
          <c:showPercent val="0"/>
          <c:showBubbleSize val="0"/>
        </c:dLbls>
        <c:gapWidth val="219"/>
        <c:overlap val="-27"/>
        <c:axId val="1423964680"/>
        <c:axId val="677285895"/>
      </c:barChart>
      <c:catAx>
        <c:axId val="1423964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85895"/>
        <c:crosses val="autoZero"/>
        <c:auto val="1"/>
        <c:lblAlgn val="ctr"/>
        <c:lblOffset val="100"/>
        <c:noMultiLvlLbl val="0"/>
      </c:catAx>
      <c:valAx>
        <c:axId val="6772858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964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RATIOS'!$B$16</c:f>
              <c:strCache>
                <c:ptCount val="1"/>
                <c:pt idx="0">
                  <c:v>Monster</c:v>
                </c:pt>
              </c:strCache>
            </c:strRef>
          </c:tx>
          <c:spPr>
            <a:solidFill>
              <a:schemeClr val="accent1"/>
            </a:solidFill>
            <a:ln>
              <a:noFill/>
            </a:ln>
            <a:effectLst/>
          </c:spPr>
          <c:invertIfNegative val="0"/>
          <c:cat>
            <c:numRef>
              <c:f>'FINANCIAL RATIOS'!$C$15:$G$15</c:f>
              <c:numCache>
                <c:formatCode>General</c:formatCode>
                <c:ptCount val="5"/>
                <c:pt idx="0">
                  <c:v>2021</c:v>
                </c:pt>
                <c:pt idx="1">
                  <c:v>2022</c:v>
                </c:pt>
                <c:pt idx="2">
                  <c:v>2023</c:v>
                </c:pt>
                <c:pt idx="3">
                  <c:v>2024</c:v>
                </c:pt>
                <c:pt idx="4">
                  <c:v>2025</c:v>
                </c:pt>
              </c:numCache>
            </c:numRef>
          </c:cat>
          <c:val>
            <c:numRef>
              <c:f>'FINANCIAL RATIOS'!$C$16:$G$16</c:f>
              <c:numCache>
                <c:formatCode>0.00</c:formatCode>
                <c:ptCount val="5"/>
                <c:pt idx="0">
                  <c:v>4.851545370520042</c:v>
                </c:pt>
                <c:pt idx="1">
                  <c:v>4.7554906395150391</c:v>
                </c:pt>
                <c:pt idx="2">
                  <c:v>4.8110948799549638</c:v>
                </c:pt>
                <c:pt idx="3">
                  <c:v>3.317941648390597</c:v>
                </c:pt>
                <c:pt idx="4">
                  <c:v>3.7029686830872102</c:v>
                </c:pt>
              </c:numCache>
            </c:numRef>
          </c:val>
          <c:extLst>
            <c:ext xmlns:c16="http://schemas.microsoft.com/office/drawing/2014/chart" uri="{C3380CC4-5D6E-409C-BE32-E72D297353CC}">
              <c16:uniqueId val="{00000000-D7F9-483A-8FE5-0C68503F8204}"/>
            </c:ext>
          </c:extLst>
        </c:ser>
        <c:ser>
          <c:idx val="1"/>
          <c:order val="1"/>
          <c:tx>
            <c:strRef>
              <c:f>'FINANCIAL RATIOS'!$B$17</c:f>
              <c:strCache>
                <c:ptCount val="1"/>
                <c:pt idx="0">
                  <c:v>PepsiCo</c:v>
                </c:pt>
              </c:strCache>
            </c:strRef>
          </c:tx>
          <c:spPr>
            <a:solidFill>
              <a:schemeClr val="accent2"/>
            </a:solidFill>
            <a:ln>
              <a:noFill/>
            </a:ln>
            <a:effectLst/>
          </c:spPr>
          <c:invertIfNegative val="0"/>
          <c:cat>
            <c:numRef>
              <c:f>'FINANCIAL RATIOS'!$C$15:$G$15</c:f>
              <c:numCache>
                <c:formatCode>General</c:formatCode>
                <c:ptCount val="5"/>
                <c:pt idx="0">
                  <c:v>2021</c:v>
                </c:pt>
                <c:pt idx="1">
                  <c:v>2022</c:v>
                </c:pt>
                <c:pt idx="2">
                  <c:v>2023</c:v>
                </c:pt>
                <c:pt idx="3">
                  <c:v>2024</c:v>
                </c:pt>
                <c:pt idx="4">
                  <c:v>2025</c:v>
                </c:pt>
              </c:numCache>
            </c:numRef>
          </c:cat>
          <c:val>
            <c:numRef>
              <c:f>'FINANCIAL RATIOS'!$C$17:$G$17</c:f>
              <c:numCache>
                <c:formatCode>0.00</c:formatCode>
                <c:ptCount val="5"/>
                <c:pt idx="0">
                  <c:v>0.83077803203661327</c:v>
                </c:pt>
                <c:pt idx="1">
                  <c:v>0.80451745379876793</c:v>
                </c:pt>
                <c:pt idx="2">
                  <c:v>0.85158150851581504</c:v>
                </c:pt>
                <c:pt idx="3">
                  <c:v>0.81893708777270424</c:v>
                </c:pt>
                <c:pt idx="4">
                  <c:v>0.85303992186546207</c:v>
                </c:pt>
              </c:numCache>
            </c:numRef>
          </c:val>
          <c:extLst>
            <c:ext xmlns:c16="http://schemas.microsoft.com/office/drawing/2014/chart" uri="{C3380CC4-5D6E-409C-BE32-E72D297353CC}">
              <c16:uniqueId val="{00000001-D7F9-483A-8FE5-0C68503F8204}"/>
            </c:ext>
          </c:extLst>
        </c:ser>
        <c:ser>
          <c:idx val="2"/>
          <c:order val="2"/>
          <c:tx>
            <c:strRef>
              <c:f>'FINANCIAL RATIOS'!$B$18</c:f>
              <c:strCache>
                <c:ptCount val="1"/>
                <c:pt idx="0">
                  <c:v>Coca-Cola</c:v>
                </c:pt>
              </c:strCache>
            </c:strRef>
          </c:tx>
          <c:spPr>
            <a:solidFill>
              <a:schemeClr val="accent3"/>
            </a:solidFill>
            <a:ln>
              <a:noFill/>
            </a:ln>
            <a:effectLst/>
          </c:spPr>
          <c:invertIfNegative val="0"/>
          <c:cat>
            <c:numRef>
              <c:f>'FINANCIAL RATIOS'!$C$15:$G$15</c:f>
              <c:numCache>
                <c:formatCode>General</c:formatCode>
                <c:ptCount val="5"/>
                <c:pt idx="0">
                  <c:v>2021</c:v>
                </c:pt>
                <c:pt idx="1">
                  <c:v>2022</c:v>
                </c:pt>
                <c:pt idx="2">
                  <c:v>2023</c:v>
                </c:pt>
                <c:pt idx="3">
                  <c:v>2024</c:v>
                </c:pt>
                <c:pt idx="4">
                  <c:v>2025</c:v>
                </c:pt>
              </c:numCache>
            </c:numRef>
          </c:cat>
          <c:val>
            <c:numRef>
              <c:f>'FINANCIAL RATIOS'!$C$18:$G$18</c:f>
              <c:numCache>
                <c:formatCode>0.00</c:formatCode>
                <c:ptCount val="5"/>
                <c:pt idx="0">
                  <c:v>1.1300751879699249</c:v>
                </c:pt>
                <c:pt idx="1">
                  <c:v>1.1453559115798013</c:v>
                </c:pt>
                <c:pt idx="2">
                  <c:v>1.1341054685842773</c:v>
                </c:pt>
                <c:pt idx="3">
                  <c:v>1.0296249356410154</c:v>
                </c:pt>
                <c:pt idx="4">
                  <c:v>1.4587660354306657</c:v>
                </c:pt>
              </c:numCache>
            </c:numRef>
          </c:val>
          <c:extLst>
            <c:ext xmlns:c16="http://schemas.microsoft.com/office/drawing/2014/chart" uri="{C3380CC4-5D6E-409C-BE32-E72D297353CC}">
              <c16:uniqueId val="{00000002-D7F9-483A-8FE5-0C68503F8204}"/>
            </c:ext>
          </c:extLst>
        </c:ser>
        <c:ser>
          <c:idx val="3"/>
          <c:order val="3"/>
          <c:tx>
            <c:strRef>
              <c:f>'FINANCIAL RATIOS'!$B$19</c:f>
              <c:strCache>
                <c:ptCount val="1"/>
                <c:pt idx="0">
                  <c:v>CELH</c:v>
                </c:pt>
              </c:strCache>
            </c:strRef>
          </c:tx>
          <c:spPr>
            <a:solidFill>
              <a:schemeClr val="accent4"/>
            </a:solidFill>
            <a:ln>
              <a:noFill/>
            </a:ln>
            <a:effectLst/>
          </c:spPr>
          <c:invertIfNegative val="0"/>
          <c:cat>
            <c:numRef>
              <c:f>'FINANCIAL RATIOS'!$C$15:$G$15</c:f>
              <c:numCache>
                <c:formatCode>General</c:formatCode>
                <c:ptCount val="5"/>
                <c:pt idx="0">
                  <c:v>2021</c:v>
                </c:pt>
                <c:pt idx="1">
                  <c:v>2022</c:v>
                </c:pt>
                <c:pt idx="2">
                  <c:v>2023</c:v>
                </c:pt>
                <c:pt idx="3">
                  <c:v>2024</c:v>
                </c:pt>
                <c:pt idx="4">
                  <c:v>2025</c:v>
                </c:pt>
              </c:numCache>
            </c:numRef>
          </c:cat>
          <c:val>
            <c:numRef>
              <c:f>'FINANCIAL RATIOS'!$C$19:$G$19</c:f>
              <c:numCache>
                <c:formatCode>0.00</c:formatCode>
                <c:ptCount val="5"/>
                <c:pt idx="0">
                  <c:v>2.8173295820626261</c:v>
                </c:pt>
                <c:pt idx="1">
                  <c:v>5.6912551536005456</c:v>
                </c:pt>
                <c:pt idx="2">
                  <c:v>4.3559196422438573</c:v>
                </c:pt>
                <c:pt idx="3">
                  <c:v>3.6236748874936735</c:v>
                </c:pt>
                <c:pt idx="4">
                  <c:v>1.6789750131173253</c:v>
                </c:pt>
              </c:numCache>
            </c:numRef>
          </c:val>
          <c:extLst>
            <c:ext xmlns:c16="http://schemas.microsoft.com/office/drawing/2014/chart" uri="{C3380CC4-5D6E-409C-BE32-E72D297353CC}">
              <c16:uniqueId val="{00000003-D7F9-483A-8FE5-0C68503F8204}"/>
            </c:ext>
          </c:extLst>
        </c:ser>
        <c:ser>
          <c:idx val="4"/>
          <c:order val="4"/>
          <c:tx>
            <c:strRef>
              <c:f>'FINANCIAL RATIOS'!$B$20</c:f>
              <c:strCache>
                <c:ptCount val="1"/>
                <c:pt idx="0">
                  <c:v>KDP</c:v>
                </c:pt>
              </c:strCache>
            </c:strRef>
          </c:tx>
          <c:spPr>
            <a:solidFill>
              <a:schemeClr val="accent5"/>
            </a:solidFill>
            <a:ln>
              <a:noFill/>
            </a:ln>
            <a:effectLst/>
          </c:spPr>
          <c:invertIfNegative val="0"/>
          <c:cat>
            <c:numRef>
              <c:f>'FINANCIAL RATIOS'!$C$15:$G$15</c:f>
              <c:numCache>
                <c:formatCode>General</c:formatCode>
                <c:ptCount val="5"/>
                <c:pt idx="0">
                  <c:v>2021</c:v>
                </c:pt>
                <c:pt idx="1">
                  <c:v>2022</c:v>
                </c:pt>
                <c:pt idx="2">
                  <c:v>2023</c:v>
                </c:pt>
                <c:pt idx="3">
                  <c:v>2024</c:v>
                </c:pt>
                <c:pt idx="4">
                  <c:v>2025</c:v>
                </c:pt>
              </c:numCache>
            </c:numRef>
          </c:cat>
          <c:val>
            <c:numRef>
              <c:f>'FINANCIAL RATIOS'!$C$20:$G$20</c:f>
              <c:numCache>
                <c:formatCode>0.00</c:formatCode>
                <c:ptCount val="5"/>
                <c:pt idx="0">
                  <c:v>0.47139552814186586</c:v>
                </c:pt>
                <c:pt idx="1">
                  <c:v>0.47102526002971767</c:v>
                </c:pt>
                <c:pt idx="2">
                  <c:v>0.37853297442799461</c:v>
                </c:pt>
                <c:pt idx="3">
                  <c:v>0.49425003091381231</c:v>
                </c:pt>
                <c:pt idx="4">
                  <c:v>0.63522316043425819</c:v>
                </c:pt>
              </c:numCache>
            </c:numRef>
          </c:val>
          <c:extLst>
            <c:ext xmlns:c16="http://schemas.microsoft.com/office/drawing/2014/chart" uri="{C3380CC4-5D6E-409C-BE32-E72D297353CC}">
              <c16:uniqueId val="{00000004-D7F9-483A-8FE5-0C68503F8204}"/>
            </c:ext>
          </c:extLst>
        </c:ser>
        <c:dLbls>
          <c:showLegendKey val="0"/>
          <c:showVal val="0"/>
          <c:showCatName val="0"/>
          <c:showSerName val="0"/>
          <c:showPercent val="0"/>
          <c:showBubbleSize val="0"/>
        </c:dLbls>
        <c:gapWidth val="219"/>
        <c:overlap val="-27"/>
        <c:axId val="1788643335"/>
        <c:axId val="1788653575"/>
      </c:barChart>
      <c:catAx>
        <c:axId val="1788643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653575"/>
        <c:crosses val="autoZero"/>
        <c:auto val="1"/>
        <c:lblAlgn val="ctr"/>
        <c:lblOffset val="100"/>
        <c:noMultiLvlLbl val="0"/>
      </c:catAx>
      <c:valAx>
        <c:axId val="1788653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643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Quick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RATIOS'!$B$24</c:f>
              <c:strCache>
                <c:ptCount val="1"/>
                <c:pt idx="0">
                  <c:v>Monster</c:v>
                </c:pt>
              </c:strCache>
            </c:strRef>
          </c:tx>
          <c:spPr>
            <a:solidFill>
              <a:schemeClr val="accent1"/>
            </a:solidFill>
            <a:ln>
              <a:noFill/>
            </a:ln>
            <a:effectLst/>
          </c:spPr>
          <c:invertIfNegative val="0"/>
          <c:cat>
            <c:numRef>
              <c:f>'FINANCIAL RATIOS'!$C$23:$G$23</c:f>
              <c:numCache>
                <c:formatCode>General</c:formatCode>
                <c:ptCount val="5"/>
                <c:pt idx="0">
                  <c:v>2021</c:v>
                </c:pt>
                <c:pt idx="1">
                  <c:v>2022</c:v>
                </c:pt>
                <c:pt idx="2">
                  <c:v>2023</c:v>
                </c:pt>
                <c:pt idx="3">
                  <c:v>2024</c:v>
                </c:pt>
                <c:pt idx="4">
                  <c:v>2025</c:v>
                </c:pt>
              </c:numCache>
            </c:numRef>
          </c:cat>
          <c:val>
            <c:numRef>
              <c:f>'FINANCIAL RATIOS'!$C$24:$G$24</c:f>
              <c:numCache>
                <c:formatCode>0.00</c:formatCode>
                <c:ptCount val="5"/>
                <c:pt idx="0">
                  <c:v>4.2367160721020936</c:v>
                </c:pt>
                <c:pt idx="1">
                  <c:v>3.8217066642181767</c:v>
                </c:pt>
                <c:pt idx="2">
                  <c:v>3.974893452550555</c:v>
                </c:pt>
                <c:pt idx="3">
                  <c:v>2.6463295851825799</c:v>
                </c:pt>
                <c:pt idx="4">
                  <c:v>3.1506589398941838</c:v>
                </c:pt>
              </c:numCache>
            </c:numRef>
          </c:val>
          <c:extLst>
            <c:ext xmlns:c16="http://schemas.microsoft.com/office/drawing/2014/chart" uri="{C3380CC4-5D6E-409C-BE32-E72D297353CC}">
              <c16:uniqueId val="{00000000-29CB-4BA0-9504-3507F21E45C7}"/>
            </c:ext>
          </c:extLst>
        </c:ser>
        <c:ser>
          <c:idx val="1"/>
          <c:order val="1"/>
          <c:tx>
            <c:strRef>
              <c:f>'FINANCIAL RATIOS'!$B$25</c:f>
              <c:strCache>
                <c:ptCount val="1"/>
                <c:pt idx="0">
                  <c:v>PepsiCo</c:v>
                </c:pt>
              </c:strCache>
            </c:strRef>
          </c:tx>
          <c:spPr>
            <a:solidFill>
              <a:schemeClr val="accent2"/>
            </a:solidFill>
            <a:ln>
              <a:noFill/>
            </a:ln>
            <a:effectLst/>
          </c:spPr>
          <c:invertIfNegative val="0"/>
          <c:cat>
            <c:numRef>
              <c:f>'FINANCIAL RATIOS'!$C$23:$G$23</c:f>
              <c:numCache>
                <c:formatCode>General</c:formatCode>
                <c:ptCount val="5"/>
                <c:pt idx="0">
                  <c:v>2021</c:v>
                </c:pt>
                <c:pt idx="1">
                  <c:v>2022</c:v>
                </c:pt>
                <c:pt idx="2">
                  <c:v>2023</c:v>
                </c:pt>
                <c:pt idx="3">
                  <c:v>2024</c:v>
                </c:pt>
                <c:pt idx="4">
                  <c:v>2025</c:v>
                </c:pt>
              </c:numCache>
            </c:numRef>
          </c:cat>
          <c:val>
            <c:numRef>
              <c:f>'FINANCIAL RATIOS'!$C$25:$G$25</c:f>
              <c:numCache>
                <c:formatCode>0.00</c:formatCode>
                <c:ptCount val="5"/>
                <c:pt idx="0">
                  <c:v>0.66498855835240278</c:v>
                </c:pt>
                <c:pt idx="1">
                  <c:v>0.60955758820235206</c:v>
                </c:pt>
                <c:pt idx="2">
                  <c:v>0.68303472683034727</c:v>
                </c:pt>
                <c:pt idx="3">
                  <c:v>0.65068493150684936</c:v>
                </c:pt>
                <c:pt idx="4">
                  <c:v>0.67464290074471978</c:v>
                </c:pt>
              </c:numCache>
            </c:numRef>
          </c:val>
          <c:extLst>
            <c:ext xmlns:c16="http://schemas.microsoft.com/office/drawing/2014/chart" uri="{C3380CC4-5D6E-409C-BE32-E72D297353CC}">
              <c16:uniqueId val="{00000001-29CB-4BA0-9504-3507F21E45C7}"/>
            </c:ext>
          </c:extLst>
        </c:ser>
        <c:ser>
          <c:idx val="2"/>
          <c:order val="2"/>
          <c:tx>
            <c:strRef>
              <c:f>'FINANCIAL RATIOS'!$B$26</c:f>
              <c:strCache>
                <c:ptCount val="1"/>
                <c:pt idx="0">
                  <c:v>Coca-Cola</c:v>
                </c:pt>
              </c:strCache>
            </c:strRef>
          </c:tx>
          <c:spPr>
            <a:solidFill>
              <a:schemeClr val="accent3"/>
            </a:solidFill>
            <a:ln>
              <a:noFill/>
            </a:ln>
            <a:effectLst/>
          </c:spPr>
          <c:invertIfNegative val="0"/>
          <c:cat>
            <c:numRef>
              <c:f>'FINANCIAL RATIOS'!$C$23:$G$23</c:f>
              <c:numCache>
                <c:formatCode>General</c:formatCode>
                <c:ptCount val="5"/>
                <c:pt idx="0">
                  <c:v>2021</c:v>
                </c:pt>
                <c:pt idx="1">
                  <c:v>2022</c:v>
                </c:pt>
                <c:pt idx="2">
                  <c:v>2023</c:v>
                </c:pt>
                <c:pt idx="3">
                  <c:v>2024</c:v>
                </c:pt>
                <c:pt idx="4">
                  <c:v>2025</c:v>
                </c:pt>
              </c:numCache>
            </c:numRef>
          </c:cat>
          <c:val>
            <c:numRef>
              <c:f>'FINANCIAL RATIOS'!$C$26:$G$26</c:f>
              <c:numCache>
                <c:formatCode>0.00</c:formatCode>
                <c:ptCount val="5"/>
                <c:pt idx="0">
                  <c:v>0.95894736842105266</c:v>
                </c:pt>
                <c:pt idx="1">
                  <c:v>0.93074427093895762</c:v>
                </c:pt>
                <c:pt idx="2">
                  <c:v>0.94641720758559245</c:v>
                </c:pt>
                <c:pt idx="3">
                  <c:v>0.84236999485128128</c:v>
                </c:pt>
                <c:pt idx="4">
                  <c:v>1.2508340773459894</c:v>
                </c:pt>
              </c:numCache>
            </c:numRef>
          </c:val>
          <c:extLst>
            <c:ext xmlns:c16="http://schemas.microsoft.com/office/drawing/2014/chart" uri="{C3380CC4-5D6E-409C-BE32-E72D297353CC}">
              <c16:uniqueId val="{00000002-29CB-4BA0-9504-3507F21E45C7}"/>
            </c:ext>
          </c:extLst>
        </c:ser>
        <c:ser>
          <c:idx val="3"/>
          <c:order val="3"/>
          <c:tx>
            <c:strRef>
              <c:f>'FINANCIAL RATIOS'!$B$27</c:f>
              <c:strCache>
                <c:ptCount val="1"/>
                <c:pt idx="0">
                  <c:v>CELH</c:v>
                </c:pt>
              </c:strCache>
            </c:strRef>
          </c:tx>
          <c:spPr>
            <a:solidFill>
              <a:schemeClr val="accent4"/>
            </a:solidFill>
            <a:ln>
              <a:noFill/>
            </a:ln>
            <a:effectLst/>
          </c:spPr>
          <c:invertIfNegative val="0"/>
          <c:cat>
            <c:numRef>
              <c:f>'FINANCIAL RATIOS'!$C$23:$G$23</c:f>
              <c:numCache>
                <c:formatCode>General</c:formatCode>
                <c:ptCount val="5"/>
                <c:pt idx="0">
                  <c:v>2021</c:v>
                </c:pt>
                <c:pt idx="1">
                  <c:v>2022</c:v>
                </c:pt>
                <c:pt idx="2">
                  <c:v>2023</c:v>
                </c:pt>
                <c:pt idx="3">
                  <c:v>2024</c:v>
                </c:pt>
                <c:pt idx="4">
                  <c:v>2025</c:v>
                </c:pt>
              </c:numCache>
            </c:numRef>
          </c:cat>
          <c:val>
            <c:numRef>
              <c:f>'FINANCIAL RATIOS'!$C$27:$G$27</c:f>
              <c:numCache>
                <c:formatCode>0.00</c:formatCode>
                <c:ptCount val="5"/>
                <c:pt idx="0">
                  <c:v>0.76391692796701172</c:v>
                </c:pt>
                <c:pt idx="1">
                  <c:v>4.6168945100592085</c:v>
                </c:pt>
                <c:pt idx="2">
                  <c:v>3.5270540430131629</c:v>
                </c:pt>
                <c:pt idx="3">
                  <c:v>3.2648446797160329</c:v>
                </c:pt>
                <c:pt idx="4">
                  <c:v>1.3659223936384217</c:v>
                </c:pt>
              </c:numCache>
            </c:numRef>
          </c:val>
          <c:extLst>
            <c:ext xmlns:c16="http://schemas.microsoft.com/office/drawing/2014/chart" uri="{C3380CC4-5D6E-409C-BE32-E72D297353CC}">
              <c16:uniqueId val="{00000003-29CB-4BA0-9504-3507F21E45C7}"/>
            </c:ext>
          </c:extLst>
        </c:ser>
        <c:ser>
          <c:idx val="4"/>
          <c:order val="4"/>
          <c:tx>
            <c:strRef>
              <c:f>'FINANCIAL RATIOS'!$B$28</c:f>
              <c:strCache>
                <c:ptCount val="1"/>
                <c:pt idx="0">
                  <c:v>KDP</c:v>
                </c:pt>
              </c:strCache>
            </c:strRef>
          </c:tx>
          <c:spPr>
            <a:solidFill>
              <a:schemeClr val="accent5"/>
            </a:solidFill>
            <a:ln>
              <a:noFill/>
            </a:ln>
            <a:effectLst/>
          </c:spPr>
          <c:invertIfNegative val="0"/>
          <c:cat>
            <c:numRef>
              <c:f>'FINANCIAL RATIOS'!$C$23:$G$23</c:f>
              <c:numCache>
                <c:formatCode>General</c:formatCode>
                <c:ptCount val="5"/>
                <c:pt idx="0">
                  <c:v>2021</c:v>
                </c:pt>
                <c:pt idx="1">
                  <c:v>2022</c:v>
                </c:pt>
                <c:pt idx="2">
                  <c:v>2023</c:v>
                </c:pt>
                <c:pt idx="3">
                  <c:v>2024</c:v>
                </c:pt>
                <c:pt idx="4">
                  <c:v>2025</c:v>
                </c:pt>
              </c:numCache>
            </c:numRef>
          </c:cat>
          <c:val>
            <c:numRef>
              <c:f>'FINANCIAL RATIOS'!$C$28:$G$28</c:f>
              <c:numCache>
                <c:formatCode>0.00</c:formatCode>
                <c:ptCount val="5"/>
                <c:pt idx="0">
                  <c:v>0.32243639167309174</c:v>
                </c:pt>
                <c:pt idx="1">
                  <c:v>0.29730064388311045</c:v>
                </c:pt>
                <c:pt idx="2">
                  <c:v>0.2379991027366532</c:v>
                </c:pt>
                <c:pt idx="3">
                  <c:v>0.3336218622480524</c:v>
                </c:pt>
                <c:pt idx="4">
                  <c:v>0.4261761158021713</c:v>
                </c:pt>
              </c:numCache>
            </c:numRef>
          </c:val>
          <c:extLst>
            <c:ext xmlns:c16="http://schemas.microsoft.com/office/drawing/2014/chart" uri="{C3380CC4-5D6E-409C-BE32-E72D297353CC}">
              <c16:uniqueId val="{00000004-29CB-4BA0-9504-3507F21E45C7}"/>
            </c:ext>
          </c:extLst>
        </c:ser>
        <c:dLbls>
          <c:showLegendKey val="0"/>
          <c:showVal val="0"/>
          <c:showCatName val="0"/>
          <c:showSerName val="0"/>
          <c:showPercent val="0"/>
          <c:showBubbleSize val="0"/>
        </c:dLbls>
        <c:gapWidth val="219"/>
        <c:overlap val="-27"/>
        <c:axId val="1967238152"/>
        <c:axId val="1967244296"/>
      </c:barChart>
      <c:catAx>
        <c:axId val="1967238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244296"/>
        <c:crosses val="autoZero"/>
        <c:auto val="1"/>
        <c:lblAlgn val="ctr"/>
        <c:lblOffset val="100"/>
        <c:noMultiLvlLbl val="0"/>
      </c:catAx>
      <c:valAx>
        <c:axId val="1967244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238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RATIOS'!$B$32</c:f>
              <c:strCache>
                <c:ptCount val="1"/>
                <c:pt idx="0">
                  <c:v>Monster</c:v>
                </c:pt>
              </c:strCache>
            </c:strRef>
          </c:tx>
          <c:spPr>
            <a:solidFill>
              <a:schemeClr val="accent1"/>
            </a:solidFill>
            <a:ln>
              <a:noFill/>
            </a:ln>
            <a:effectLst/>
          </c:spPr>
          <c:invertIfNegative val="0"/>
          <c:cat>
            <c:numRef>
              <c:f>'FINANCIAL RATIOS'!$C$31:$G$31</c:f>
              <c:numCache>
                <c:formatCode>General</c:formatCode>
                <c:ptCount val="5"/>
                <c:pt idx="0">
                  <c:v>2021</c:v>
                </c:pt>
                <c:pt idx="1">
                  <c:v>2022</c:v>
                </c:pt>
                <c:pt idx="2">
                  <c:v>2023</c:v>
                </c:pt>
                <c:pt idx="3">
                  <c:v>2024</c:v>
                </c:pt>
                <c:pt idx="4">
                  <c:v>2025</c:v>
                </c:pt>
              </c:numCache>
            </c:numRef>
          </c:cat>
          <c:val>
            <c:numRef>
              <c:f>'FINANCIAL RATIOS'!$C$32:$G$32</c:f>
              <c:numCache>
                <c:formatCode>0.00</c:formatCode>
                <c:ptCount val="5"/>
                <c:pt idx="0">
                  <c:v>1.3744637728013132</c:v>
                </c:pt>
                <c:pt idx="1">
                  <c:v>1.3045605791743933</c:v>
                </c:pt>
                <c:pt idx="2">
                  <c:v>1.977874456932966</c:v>
                </c:pt>
                <c:pt idx="3">
                  <c:v>1.3970482515564651</c:v>
                </c:pt>
                <c:pt idx="4">
                  <c:v>1.4422888836701711</c:v>
                </c:pt>
              </c:numCache>
            </c:numRef>
          </c:val>
          <c:extLst>
            <c:ext xmlns:c16="http://schemas.microsoft.com/office/drawing/2014/chart" uri="{C3380CC4-5D6E-409C-BE32-E72D297353CC}">
              <c16:uniqueId val="{00000000-6331-4E17-9BE5-C56FDE3F66A3}"/>
            </c:ext>
          </c:extLst>
        </c:ser>
        <c:ser>
          <c:idx val="1"/>
          <c:order val="1"/>
          <c:tx>
            <c:strRef>
              <c:f>'FINANCIAL RATIOS'!$B$33</c:f>
              <c:strCache>
                <c:ptCount val="1"/>
                <c:pt idx="0">
                  <c:v>PepsiCo</c:v>
                </c:pt>
              </c:strCache>
            </c:strRef>
          </c:tx>
          <c:spPr>
            <a:solidFill>
              <a:schemeClr val="accent2"/>
            </a:solidFill>
            <a:ln>
              <a:noFill/>
            </a:ln>
            <a:effectLst/>
          </c:spPr>
          <c:invertIfNegative val="0"/>
          <c:cat>
            <c:numRef>
              <c:f>'FINANCIAL RATIOS'!$C$31:$G$31</c:f>
              <c:numCache>
                <c:formatCode>General</c:formatCode>
                <c:ptCount val="5"/>
                <c:pt idx="0">
                  <c:v>2021</c:v>
                </c:pt>
                <c:pt idx="1">
                  <c:v>2022</c:v>
                </c:pt>
                <c:pt idx="2">
                  <c:v>2023</c:v>
                </c:pt>
                <c:pt idx="3">
                  <c:v>2024</c:v>
                </c:pt>
                <c:pt idx="4">
                  <c:v>2025</c:v>
                </c:pt>
              </c:numCache>
            </c:numRef>
          </c:cat>
          <c:val>
            <c:numRef>
              <c:f>'FINANCIAL RATIOS'!$C$33:$G$33</c:f>
              <c:numCache>
                <c:formatCode>0.00</c:formatCode>
                <c:ptCount val="5"/>
                <c:pt idx="0">
                  <c:v>0.21342486651411136</c:v>
                </c:pt>
                <c:pt idx="1">
                  <c:v>0.18532760873623297</c:v>
                </c:pt>
                <c:pt idx="2">
                  <c:v>0.30685373021139445</c:v>
                </c:pt>
                <c:pt idx="3">
                  <c:v>0.2696917808219178</c:v>
                </c:pt>
                <c:pt idx="4">
                  <c:v>0.27954462214625808</c:v>
                </c:pt>
              </c:numCache>
            </c:numRef>
          </c:val>
          <c:extLst>
            <c:ext xmlns:c16="http://schemas.microsoft.com/office/drawing/2014/chart" uri="{C3380CC4-5D6E-409C-BE32-E72D297353CC}">
              <c16:uniqueId val="{00000001-6331-4E17-9BE5-C56FDE3F66A3}"/>
            </c:ext>
          </c:extLst>
        </c:ser>
        <c:ser>
          <c:idx val="2"/>
          <c:order val="2"/>
          <c:tx>
            <c:strRef>
              <c:f>'FINANCIAL RATIOS'!$B$34</c:f>
              <c:strCache>
                <c:ptCount val="1"/>
                <c:pt idx="0">
                  <c:v>Coca-Cola</c:v>
                </c:pt>
              </c:strCache>
            </c:strRef>
          </c:tx>
          <c:spPr>
            <a:solidFill>
              <a:schemeClr val="accent3"/>
            </a:solidFill>
            <a:ln>
              <a:noFill/>
            </a:ln>
            <a:effectLst/>
          </c:spPr>
          <c:invertIfNegative val="0"/>
          <c:cat>
            <c:numRef>
              <c:f>'FINANCIAL RATIOS'!$C$31:$G$31</c:f>
              <c:numCache>
                <c:formatCode>General</c:formatCode>
                <c:ptCount val="5"/>
                <c:pt idx="0">
                  <c:v>2021</c:v>
                </c:pt>
                <c:pt idx="1">
                  <c:v>2022</c:v>
                </c:pt>
                <c:pt idx="2">
                  <c:v>2023</c:v>
                </c:pt>
                <c:pt idx="3">
                  <c:v>2024</c:v>
                </c:pt>
                <c:pt idx="4">
                  <c:v>2025</c:v>
                </c:pt>
              </c:numCache>
            </c:numRef>
          </c:cat>
          <c:val>
            <c:numRef>
              <c:f>'FINANCIAL RATIOS'!$C$34:$G$34</c:f>
              <c:numCache>
                <c:formatCode>0.00</c:formatCode>
                <c:ptCount val="5"/>
                <c:pt idx="0">
                  <c:v>0.48541353383458646</c:v>
                </c:pt>
                <c:pt idx="1">
                  <c:v>0.48261001825187588</c:v>
                </c:pt>
                <c:pt idx="2">
                  <c:v>0.39735267913962075</c:v>
                </c:pt>
                <c:pt idx="3">
                  <c:v>0.42884866727395143</c:v>
                </c:pt>
                <c:pt idx="4">
                  <c:v>0.48259010384850337</c:v>
                </c:pt>
              </c:numCache>
            </c:numRef>
          </c:val>
          <c:extLst>
            <c:ext xmlns:c16="http://schemas.microsoft.com/office/drawing/2014/chart" uri="{C3380CC4-5D6E-409C-BE32-E72D297353CC}">
              <c16:uniqueId val="{00000002-6331-4E17-9BE5-C56FDE3F66A3}"/>
            </c:ext>
          </c:extLst>
        </c:ser>
        <c:ser>
          <c:idx val="3"/>
          <c:order val="3"/>
          <c:tx>
            <c:strRef>
              <c:f>'FINANCIAL RATIOS'!$B$35</c:f>
              <c:strCache>
                <c:ptCount val="1"/>
                <c:pt idx="0">
                  <c:v>CELH</c:v>
                </c:pt>
              </c:strCache>
            </c:strRef>
          </c:tx>
          <c:spPr>
            <a:solidFill>
              <a:schemeClr val="accent4"/>
            </a:solidFill>
            <a:ln>
              <a:noFill/>
            </a:ln>
            <a:effectLst/>
          </c:spPr>
          <c:invertIfNegative val="0"/>
          <c:cat>
            <c:numRef>
              <c:f>'FINANCIAL RATIOS'!$C$31:$G$31</c:f>
              <c:numCache>
                <c:formatCode>General</c:formatCode>
                <c:ptCount val="5"/>
                <c:pt idx="0">
                  <c:v>2021</c:v>
                </c:pt>
                <c:pt idx="1">
                  <c:v>2022</c:v>
                </c:pt>
                <c:pt idx="2">
                  <c:v>2023</c:v>
                </c:pt>
                <c:pt idx="3">
                  <c:v>2024</c:v>
                </c:pt>
                <c:pt idx="4">
                  <c:v>2025</c:v>
                </c:pt>
              </c:numCache>
            </c:numRef>
          </c:cat>
          <c:val>
            <c:numRef>
              <c:f>'FINANCIAL RATIOS'!$C$35:$G$35</c:f>
              <c:numCache>
                <c:formatCode>0.00</c:formatCode>
                <c:ptCount val="5"/>
                <c:pt idx="0">
                  <c:v>0.17455220995661699</c:v>
                </c:pt>
                <c:pt idx="1">
                  <c:v>3.8076753774140548</c:v>
                </c:pt>
                <c:pt idx="2">
                  <c:v>2.7329915802944909</c:v>
                </c:pt>
                <c:pt idx="3">
                  <c:v>2.4353071525298535</c:v>
                </c:pt>
                <c:pt idx="4">
                  <c:v>0.369756546147956</c:v>
                </c:pt>
              </c:numCache>
            </c:numRef>
          </c:val>
          <c:extLst>
            <c:ext xmlns:c16="http://schemas.microsoft.com/office/drawing/2014/chart" uri="{C3380CC4-5D6E-409C-BE32-E72D297353CC}">
              <c16:uniqueId val="{00000003-6331-4E17-9BE5-C56FDE3F66A3}"/>
            </c:ext>
          </c:extLst>
        </c:ser>
        <c:ser>
          <c:idx val="4"/>
          <c:order val="4"/>
          <c:tx>
            <c:strRef>
              <c:f>'FINANCIAL RATIOS'!$B$36</c:f>
              <c:strCache>
                <c:ptCount val="1"/>
                <c:pt idx="0">
                  <c:v>KDP</c:v>
                </c:pt>
              </c:strCache>
            </c:strRef>
          </c:tx>
          <c:spPr>
            <a:solidFill>
              <a:schemeClr val="accent5"/>
            </a:solidFill>
            <a:ln>
              <a:noFill/>
            </a:ln>
            <a:effectLst/>
          </c:spPr>
          <c:invertIfNegative val="0"/>
          <c:cat>
            <c:numRef>
              <c:f>'FINANCIAL RATIOS'!$C$31:$G$31</c:f>
              <c:numCache>
                <c:formatCode>General</c:formatCode>
                <c:ptCount val="5"/>
                <c:pt idx="0">
                  <c:v>2021</c:v>
                </c:pt>
                <c:pt idx="1">
                  <c:v>2022</c:v>
                </c:pt>
                <c:pt idx="2">
                  <c:v>2023</c:v>
                </c:pt>
                <c:pt idx="3">
                  <c:v>2024</c:v>
                </c:pt>
                <c:pt idx="4">
                  <c:v>2025</c:v>
                </c:pt>
              </c:numCache>
            </c:numRef>
          </c:cat>
          <c:val>
            <c:numRef>
              <c:f>'FINANCIAL RATIOS'!$C$36:$G$36</c:f>
              <c:numCache>
                <c:formatCode>0.00</c:formatCode>
                <c:ptCount val="5"/>
                <c:pt idx="0">
                  <c:v>8.7432536622976093E-2</c:v>
                </c:pt>
                <c:pt idx="1">
                  <c:v>6.6245666171371967E-2</c:v>
                </c:pt>
                <c:pt idx="2">
                  <c:v>2.9946164199192462E-2</c:v>
                </c:pt>
                <c:pt idx="3">
                  <c:v>6.3064177074316802E-2</c:v>
                </c:pt>
                <c:pt idx="4">
                  <c:v>0.12376357056694813</c:v>
                </c:pt>
              </c:numCache>
            </c:numRef>
          </c:val>
          <c:extLst>
            <c:ext xmlns:c16="http://schemas.microsoft.com/office/drawing/2014/chart" uri="{C3380CC4-5D6E-409C-BE32-E72D297353CC}">
              <c16:uniqueId val="{00000004-6331-4E17-9BE5-C56FDE3F66A3}"/>
            </c:ext>
          </c:extLst>
        </c:ser>
        <c:dLbls>
          <c:showLegendKey val="0"/>
          <c:showVal val="0"/>
          <c:showCatName val="0"/>
          <c:showSerName val="0"/>
          <c:showPercent val="0"/>
          <c:showBubbleSize val="0"/>
        </c:dLbls>
        <c:gapWidth val="219"/>
        <c:overlap val="-27"/>
        <c:axId val="1000756231"/>
        <c:axId val="1000758791"/>
      </c:barChart>
      <c:catAx>
        <c:axId val="1000756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58791"/>
        <c:crosses val="autoZero"/>
        <c:auto val="1"/>
        <c:lblAlgn val="ctr"/>
        <c:lblOffset val="100"/>
        <c:noMultiLvlLbl val="0"/>
      </c:catAx>
      <c:valAx>
        <c:axId val="10007587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56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NWC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RATIOS'!$B$40</c:f>
              <c:strCache>
                <c:ptCount val="1"/>
                <c:pt idx="0">
                  <c:v>Monster</c:v>
                </c:pt>
              </c:strCache>
            </c:strRef>
          </c:tx>
          <c:spPr>
            <a:solidFill>
              <a:schemeClr val="accent1"/>
            </a:solidFill>
            <a:ln>
              <a:noFill/>
            </a:ln>
            <a:effectLst/>
          </c:spPr>
          <c:invertIfNegative val="0"/>
          <c:cat>
            <c:numRef>
              <c:f>'FINANCIAL RATIOS'!$C$39:$G$39</c:f>
              <c:numCache>
                <c:formatCode>General</c:formatCode>
                <c:ptCount val="5"/>
                <c:pt idx="0">
                  <c:v>2021</c:v>
                </c:pt>
                <c:pt idx="1">
                  <c:v>2022</c:v>
                </c:pt>
                <c:pt idx="2">
                  <c:v>2023</c:v>
                </c:pt>
                <c:pt idx="3">
                  <c:v>2024</c:v>
                </c:pt>
                <c:pt idx="4">
                  <c:v>2025</c:v>
                </c:pt>
              </c:numCache>
            </c:numRef>
          </c:cat>
          <c:val>
            <c:numRef>
              <c:f>'FINANCIAL RATIOS'!$C$40:$G$40</c:f>
              <c:numCache>
                <c:formatCode>0.00</c:formatCode>
                <c:ptCount val="5"/>
                <c:pt idx="0">
                  <c:v>0.47625072007117686</c:v>
                </c:pt>
                <c:pt idx="1">
                  <c:v>0.45374066769925137</c:v>
                </c:pt>
                <c:pt idx="2">
                  <c:v>0.45705847774877301</c:v>
                </c:pt>
                <c:pt idx="3">
                  <c:v>0.32957062679287663</c:v>
                </c:pt>
                <c:pt idx="4">
                  <c:v>0.39176349454321763</c:v>
                </c:pt>
              </c:numCache>
            </c:numRef>
          </c:val>
          <c:extLst>
            <c:ext xmlns:c16="http://schemas.microsoft.com/office/drawing/2014/chart" uri="{C3380CC4-5D6E-409C-BE32-E72D297353CC}">
              <c16:uniqueId val="{00000000-0CD9-4FC0-8F2A-D91CB42D57C8}"/>
            </c:ext>
          </c:extLst>
        </c:ser>
        <c:ser>
          <c:idx val="1"/>
          <c:order val="1"/>
          <c:tx>
            <c:strRef>
              <c:f>'FINANCIAL RATIOS'!$B$41</c:f>
              <c:strCache>
                <c:ptCount val="1"/>
                <c:pt idx="0">
                  <c:v>PepsiCo</c:v>
                </c:pt>
              </c:strCache>
            </c:strRef>
          </c:tx>
          <c:spPr>
            <a:solidFill>
              <a:schemeClr val="accent2"/>
            </a:solidFill>
            <a:ln>
              <a:noFill/>
            </a:ln>
            <a:effectLst/>
          </c:spPr>
          <c:invertIfNegative val="0"/>
          <c:cat>
            <c:numRef>
              <c:f>'FINANCIAL RATIOS'!$C$39:$G$39</c:f>
              <c:numCache>
                <c:formatCode>General</c:formatCode>
                <c:ptCount val="5"/>
                <c:pt idx="0">
                  <c:v>2021</c:v>
                </c:pt>
                <c:pt idx="1">
                  <c:v>2022</c:v>
                </c:pt>
                <c:pt idx="2">
                  <c:v>2023</c:v>
                </c:pt>
                <c:pt idx="3">
                  <c:v>2024</c:v>
                </c:pt>
                <c:pt idx="4">
                  <c:v>2025</c:v>
                </c:pt>
              </c:numCache>
            </c:numRef>
          </c:cat>
          <c:val>
            <c:numRef>
              <c:f>'FINANCIAL RATIOS'!$C$41:$G$41</c:f>
              <c:numCache>
                <c:formatCode>0.00</c:formatCode>
                <c:ptCount val="5"/>
                <c:pt idx="0">
                  <c:v>-4.8031436396505624E-2</c:v>
                </c:pt>
                <c:pt idx="1">
                  <c:v>-5.6791435730012906E-2</c:v>
                </c:pt>
                <c:pt idx="2">
                  <c:v>-4.6738643713617592E-2</c:v>
                </c:pt>
                <c:pt idx="3">
                  <c:v>-5.7405973840570237E-2</c:v>
                </c:pt>
                <c:pt idx="4">
                  <c:v>-4.4832819672436429E-2</c:v>
                </c:pt>
              </c:numCache>
            </c:numRef>
          </c:val>
          <c:extLst>
            <c:ext xmlns:c16="http://schemas.microsoft.com/office/drawing/2014/chart" uri="{C3380CC4-5D6E-409C-BE32-E72D297353CC}">
              <c16:uniqueId val="{00000001-0CD9-4FC0-8F2A-D91CB42D57C8}"/>
            </c:ext>
          </c:extLst>
        </c:ser>
        <c:ser>
          <c:idx val="2"/>
          <c:order val="2"/>
          <c:tx>
            <c:strRef>
              <c:f>'FINANCIAL RATIOS'!$B$42</c:f>
              <c:strCache>
                <c:ptCount val="1"/>
                <c:pt idx="0">
                  <c:v>Coca-Cola</c:v>
                </c:pt>
              </c:strCache>
            </c:strRef>
          </c:tx>
          <c:spPr>
            <a:solidFill>
              <a:schemeClr val="accent3"/>
            </a:solidFill>
            <a:ln>
              <a:noFill/>
            </a:ln>
            <a:effectLst/>
          </c:spPr>
          <c:invertIfNegative val="0"/>
          <c:cat>
            <c:numRef>
              <c:f>'FINANCIAL RATIOS'!$C$39:$G$39</c:f>
              <c:numCache>
                <c:formatCode>General</c:formatCode>
                <c:ptCount val="5"/>
                <c:pt idx="0">
                  <c:v>2021</c:v>
                </c:pt>
                <c:pt idx="1">
                  <c:v>2022</c:v>
                </c:pt>
                <c:pt idx="2">
                  <c:v>2023</c:v>
                </c:pt>
                <c:pt idx="3">
                  <c:v>2024</c:v>
                </c:pt>
                <c:pt idx="4">
                  <c:v>2025</c:v>
                </c:pt>
              </c:numCache>
            </c:numRef>
          </c:cat>
          <c:val>
            <c:numRef>
              <c:f>'FINANCIAL RATIOS'!$C$42:$G$42</c:f>
              <c:numCache>
                <c:formatCode>0.00</c:formatCode>
                <c:ptCount val="5"/>
                <c:pt idx="0">
                  <c:v>2.7502808571973632E-2</c:v>
                </c:pt>
                <c:pt idx="1">
                  <c:v>3.0906719273848408E-2</c:v>
                </c:pt>
                <c:pt idx="2">
                  <c:v>3.2353151899122849E-2</c:v>
                </c:pt>
                <c:pt idx="3">
                  <c:v>7.4391590169966878E-3</c:v>
                </c:pt>
                <c:pt idx="4">
                  <c:v>9.3144176461608913E-2</c:v>
                </c:pt>
              </c:numCache>
            </c:numRef>
          </c:val>
          <c:extLst>
            <c:ext xmlns:c16="http://schemas.microsoft.com/office/drawing/2014/chart" uri="{C3380CC4-5D6E-409C-BE32-E72D297353CC}">
              <c16:uniqueId val="{00000002-0CD9-4FC0-8F2A-D91CB42D57C8}"/>
            </c:ext>
          </c:extLst>
        </c:ser>
        <c:ser>
          <c:idx val="3"/>
          <c:order val="3"/>
          <c:tx>
            <c:strRef>
              <c:f>'FINANCIAL RATIOS'!$B$43</c:f>
              <c:strCache>
                <c:ptCount val="1"/>
                <c:pt idx="0">
                  <c:v>CELH</c:v>
                </c:pt>
              </c:strCache>
            </c:strRef>
          </c:tx>
          <c:spPr>
            <a:solidFill>
              <a:schemeClr val="accent4"/>
            </a:solidFill>
            <a:ln>
              <a:noFill/>
            </a:ln>
            <a:effectLst/>
          </c:spPr>
          <c:invertIfNegative val="0"/>
          <c:cat>
            <c:numRef>
              <c:f>'FINANCIAL RATIOS'!$C$39:$G$39</c:f>
              <c:numCache>
                <c:formatCode>General</c:formatCode>
                <c:ptCount val="5"/>
                <c:pt idx="0">
                  <c:v>2021</c:v>
                </c:pt>
                <c:pt idx="1">
                  <c:v>2022</c:v>
                </c:pt>
                <c:pt idx="2">
                  <c:v>2023</c:v>
                </c:pt>
                <c:pt idx="3">
                  <c:v>2024</c:v>
                </c:pt>
                <c:pt idx="4">
                  <c:v>2025</c:v>
                </c:pt>
              </c:numCache>
            </c:numRef>
          </c:cat>
          <c:val>
            <c:numRef>
              <c:f>'FINANCIAL RATIOS'!$C$43:$G$43</c:f>
              <c:numCache>
                <c:formatCode>0.00</c:formatCode>
                <c:ptCount val="5"/>
                <c:pt idx="0">
                  <c:v>0.5389404429045469</c:v>
                </c:pt>
                <c:pt idx="1">
                  <c:v>0.61917616763046934</c:v>
                </c:pt>
                <c:pt idx="2">
                  <c:v>0.60420034938908984</c:v>
                </c:pt>
                <c:pt idx="3">
                  <c:v>0.54278980870811333</c:v>
                </c:pt>
                <c:pt idx="4">
                  <c:v>0.14306293376013576</c:v>
                </c:pt>
              </c:numCache>
            </c:numRef>
          </c:val>
          <c:extLst>
            <c:ext xmlns:c16="http://schemas.microsoft.com/office/drawing/2014/chart" uri="{C3380CC4-5D6E-409C-BE32-E72D297353CC}">
              <c16:uniqueId val="{00000003-0CD9-4FC0-8F2A-D91CB42D57C8}"/>
            </c:ext>
          </c:extLst>
        </c:ser>
        <c:ser>
          <c:idx val="4"/>
          <c:order val="4"/>
          <c:tx>
            <c:strRef>
              <c:f>'FINANCIAL RATIOS'!$B$44</c:f>
              <c:strCache>
                <c:ptCount val="1"/>
                <c:pt idx="0">
                  <c:v>KDP</c:v>
                </c:pt>
              </c:strCache>
            </c:strRef>
          </c:tx>
          <c:spPr>
            <a:solidFill>
              <a:schemeClr val="accent5"/>
            </a:solidFill>
            <a:ln>
              <a:noFill/>
            </a:ln>
            <a:effectLst/>
          </c:spPr>
          <c:invertIfNegative val="0"/>
          <c:cat>
            <c:numRef>
              <c:f>'FINANCIAL RATIOS'!$C$39:$G$39</c:f>
              <c:numCache>
                <c:formatCode>General</c:formatCode>
                <c:ptCount val="5"/>
                <c:pt idx="0">
                  <c:v>2021</c:v>
                </c:pt>
                <c:pt idx="1">
                  <c:v>2022</c:v>
                </c:pt>
                <c:pt idx="2">
                  <c:v>2023</c:v>
                </c:pt>
                <c:pt idx="3">
                  <c:v>2024</c:v>
                </c:pt>
                <c:pt idx="4">
                  <c:v>2025</c:v>
                </c:pt>
              </c:numCache>
            </c:numRef>
          </c:cat>
          <c:val>
            <c:numRef>
              <c:f>'FINANCIAL RATIOS'!$C$44:$G$44</c:f>
              <c:numCache>
                <c:formatCode>0.00</c:formatCode>
                <c:ptCount val="5"/>
                <c:pt idx="0">
                  <c:v>-6.7749713427408195E-2</c:v>
                </c:pt>
                <c:pt idx="1">
                  <c:v>-8.2412176630592054E-2</c:v>
                </c:pt>
                <c:pt idx="2">
                  <c:v>-0.10629196240168809</c:v>
                </c:pt>
                <c:pt idx="3">
                  <c:v>-7.6548755380872163E-2</c:v>
                </c:pt>
                <c:pt idx="4">
                  <c:v>-5.4526767521953151E-2</c:v>
                </c:pt>
              </c:numCache>
            </c:numRef>
          </c:val>
          <c:extLst>
            <c:ext xmlns:c16="http://schemas.microsoft.com/office/drawing/2014/chart" uri="{C3380CC4-5D6E-409C-BE32-E72D297353CC}">
              <c16:uniqueId val="{00000004-0CD9-4FC0-8F2A-D91CB42D57C8}"/>
            </c:ext>
          </c:extLst>
        </c:ser>
        <c:dLbls>
          <c:showLegendKey val="0"/>
          <c:showVal val="0"/>
          <c:showCatName val="0"/>
          <c:showSerName val="0"/>
          <c:showPercent val="0"/>
          <c:showBubbleSize val="0"/>
        </c:dLbls>
        <c:gapWidth val="219"/>
        <c:overlap val="-27"/>
        <c:axId val="753601544"/>
        <c:axId val="765412360"/>
      </c:barChart>
      <c:catAx>
        <c:axId val="75360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12360"/>
        <c:crosses val="autoZero"/>
        <c:auto val="1"/>
        <c:lblAlgn val="ctr"/>
        <c:lblOffset val="100"/>
        <c:noMultiLvlLbl val="0"/>
      </c:catAx>
      <c:valAx>
        <c:axId val="765412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01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Interval Measure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RATIOS'!$B$48</c:f>
              <c:strCache>
                <c:ptCount val="1"/>
                <c:pt idx="0">
                  <c:v>Monster</c:v>
                </c:pt>
              </c:strCache>
            </c:strRef>
          </c:tx>
          <c:spPr>
            <a:solidFill>
              <a:schemeClr val="accent1"/>
            </a:solidFill>
            <a:ln>
              <a:noFill/>
            </a:ln>
            <a:effectLst/>
          </c:spPr>
          <c:invertIfNegative val="0"/>
          <c:cat>
            <c:numRef>
              <c:f>'FINANCIAL RATIOS'!$C$47:$G$47</c:f>
              <c:numCache>
                <c:formatCode>General</c:formatCode>
                <c:ptCount val="5"/>
                <c:pt idx="0">
                  <c:v>2021</c:v>
                </c:pt>
                <c:pt idx="1">
                  <c:v>2022</c:v>
                </c:pt>
                <c:pt idx="2">
                  <c:v>2023</c:v>
                </c:pt>
                <c:pt idx="3">
                  <c:v>2024</c:v>
                </c:pt>
                <c:pt idx="4">
                  <c:v>2025</c:v>
                </c:pt>
              </c:numCache>
            </c:numRef>
          </c:cat>
          <c:val>
            <c:numRef>
              <c:f>'FINANCIAL RATIOS'!$C$48:$G$48</c:f>
              <c:numCache>
                <c:formatCode>0.00</c:formatCode>
                <c:ptCount val="5"/>
                <c:pt idx="0">
                  <c:v>456.46972329545378</c:v>
                </c:pt>
                <c:pt idx="1">
                  <c:v>367.97848922493546</c:v>
                </c:pt>
                <c:pt idx="2">
                  <c:v>393.31261741633176</c:v>
                </c:pt>
                <c:pt idx="3">
                  <c:v>238.95177903842128</c:v>
                </c:pt>
                <c:pt idx="4">
                  <c:v>333.07222532671983</c:v>
                </c:pt>
              </c:numCache>
            </c:numRef>
          </c:val>
          <c:extLst>
            <c:ext xmlns:c16="http://schemas.microsoft.com/office/drawing/2014/chart" uri="{C3380CC4-5D6E-409C-BE32-E72D297353CC}">
              <c16:uniqueId val="{00000000-5788-439E-AD6A-D5E9205E91F4}"/>
            </c:ext>
          </c:extLst>
        </c:ser>
        <c:ser>
          <c:idx val="1"/>
          <c:order val="1"/>
          <c:tx>
            <c:strRef>
              <c:f>'FINANCIAL RATIOS'!$B$49</c:f>
              <c:strCache>
                <c:ptCount val="1"/>
                <c:pt idx="0">
                  <c:v>PepsiCo</c:v>
                </c:pt>
              </c:strCache>
            </c:strRef>
          </c:tx>
          <c:spPr>
            <a:solidFill>
              <a:schemeClr val="accent2"/>
            </a:solidFill>
            <a:ln>
              <a:noFill/>
            </a:ln>
            <a:effectLst/>
          </c:spPr>
          <c:invertIfNegative val="0"/>
          <c:cat>
            <c:numRef>
              <c:f>'FINANCIAL RATIOS'!$C$47:$G$47</c:f>
              <c:numCache>
                <c:formatCode>General</c:formatCode>
                <c:ptCount val="5"/>
                <c:pt idx="0">
                  <c:v>2021</c:v>
                </c:pt>
                <c:pt idx="1">
                  <c:v>2022</c:v>
                </c:pt>
                <c:pt idx="2">
                  <c:v>2023</c:v>
                </c:pt>
                <c:pt idx="3">
                  <c:v>2024</c:v>
                </c:pt>
                <c:pt idx="4">
                  <c:v>2025</c:v>
                </c:pt>
              </c:numCache>
            </c:numRef>
          </c:cat>
          <c:val>
            <c:numRef>
              <c:f>'FINANCIAL RATIOS'!$C$49:$G$49</c:f>
              <c:numCache>
                <c:formatCode>0.00</c:formatCode>
                <c:ptCount val="5"/>
                <c:pt idx="0">
                  <c:v>116.38943377444666</c:v>
                </c:pt>
                <c:pt idx="1">
                  <c:v>105.03986378205128</c:v>
                </c:pt>
                <c:pt idx="2">
                  <c:v>123.75605460149714</c:v>
                </c:pt>
                <c:pt idx="3">
                  <c:v>119.37252269935543</c:v>
                </c:pt>
                <c:pt idx="4">
                  <c:v>123.76266271973988</c:v>
                </c:pt>
              </c:numCache>
            </c:numRef>
          </c:val>
          <c:extLst>
            <c:ext xmlns:c16="http://schemas.microsoft.com/office/drawing/2014/chart" uri="{C3380CC4-5D6E-409C-BE32-E72D297353CC}">
              <c16:uniqueId val="{00000001-5788-439E-AD6A-D5E9205E91F4}"/>
            </c:ext>
          </c:extLst>
        </c:ser>
        <c:ser>
          <c:idx val="2"/>
          <c:order val="2"/>
          <c:tx>
            <c:strRef>
              <c:f>'FINANCIAL RATIOS'!$B$50</c:f>
              <c:strCache>
                <c:ptCount val="1"/>
                <c:pt idx="0">
                  <c:v>Coca-Cola</c:v>
                </c:pt>
              </c:strCache>
            </c:strRef>
          </c:tx>
          <c:spPr>
            <a:solidFill>
              <a:schemeClr val="accent3"/>
            </a:solidFill>
            <a:ln>
              <a:noFill/>
            </a:ln>
            <a:effectLst/>
          </c:spPr>
          <c:invertIfNegative val="0"/>
          <c:cat>
            <c:numRef>
              <c:f>'FINANCIAL RATIOS'!$C$47:$G$47</c:f>
              <c:numCache>
                <c:formatCode>General</c:formatCode>
                <c:ptCount val="5"/>
                <c:pt idx="0">
                  <c:v>2021</c:v>
                </c:pt>
                <c:pt idx="1">
                  <c:v>2022</c:v>
                </c:pt>
                <c:pt idx="2">
                  <c:v>2023</c:v>
                </c:pt>
                <c:pt idx="3">
                  <c:v>2024</c:v>
                </c:pt>
                <c:pt idx="4">
                  <c:v>2025</c:v>
                </c:pt>
              </c:numCache>
            </c:numRef>
          </c:cat>
          <c:val>
            <c:numRef>
              <c:f>'FINANCIAL RATIOS'!$C$50:$G$50</c:f>
              <c:numCache>
                <c:formatCode>0.00</c:formatCode>
                <c:ptCount val="5"/>
                <c:pt idx="0">
                  <c:v>290.29262355804849</c:v>
                </c:pt>
                <c:pt idx="1">
                  <c:v>256.9158747468453</c:v>
                </c:pt>
                <c:pt idx="2">
                  <c:v>283.28484742908574</c:v>
                </c:pt>
                <c:pt idx="3">
                  <c:v>255.97952467020963</c:v>
                </c:pt>
                <c:pt idx="4">
                  <c:v>331.52110945317304</c:v>
                </c:pt>
              </c:numCache>
            </c:numRef>
          </c:val>
          <c:extLst>
            <c:ext xmlns:c16="http://schemas.microsoft.com/office/drawing/2014/chart" uri="{C3380CC4-5D6E-409C-BE32-E72D297353CC}">
              <c16:uniqueId val="{00000002-5788-439E-AD6A-D5E9205E91F4}"/>
            </c:ext>
          </c:extLst>
        </c:ser>
        <c:ser>
          <c:idx val="3"/>
          <c:order val="3"/>
          <c:tx>
            <c:strRef>
              <c:f>'FINANCIAL RATIOS'!$B$51</c:f>
              <c:strCache>
                <c:ptCount val="1"/>
                <c:pt idx="0">
                  <c:v>CELH</c:v>
                </c:pt>
              </c:strCache>
            </c:strRef>
          </c:tx>
          <c:spPr>
            <a:solidFill>
              <a:schemeClr val="accent4"/>
            </a:solidFill>
            <a:ln>
              <a:noFill/>
            </a:ln>
            <a:effectLst/>
          </c:spPr>
          <c:invertIfNegative val="0"/>
          <c:cat>
            <c:numRef>
              <c:f>'FINANCIAL RATIOS'!$C$47:$G$47</c:f>
              <c:numCache>
                <c:formatCode>General</c:formatCode>
                <c:ptCount val="5"/>
                <c:pt idx="0">
                  <c:v>2021</c:v>
                </c:pt>
                <c:pt idx="1">
                  <c:v>2022</c:v>
                </c:pt>
                <c:pt idx="2">
                  <c:v>2023</c:v>
                </c:pt>
                <c:pt idx="3">
                  <c:v>2024</c:v>
                </c:pt>
                <c:pt idx="4">
                  <c:v>2025</c:v>
                </c:pt>
              </c:numCache>
            </c:numRef>
          </c:cat>
          <c:val>
            <c:numRef>
              <c:f>'FINANCIAL RATIOS'!$C$51:$G$51</c:f>
              <c:numCache>
                <c:formatCode>0.00</c:formatCode>
                <c:ptCount val="5"/>
                <c:pt idx="0">
                  <c:v>300.79521111187893</c:v>
                </c:pt>
                <c:pt idx="1">
                  <c:v>412.93733092598637</c:v>
                </c:pt>
                <c:pt idx="2">
                  <c:v>418.19121987585203</c:v>
                </c:pt>
                <c:pt idx="3">
                  <c:v>402.92598895576469</c:v>
                </c:pt>
                <c:pt idx="4">
                  <c:v>278.43874186201958</c:v>
                </c:pt>
              </c:numCache>
            </c:numRef>
          </c:val>
          <c:extLst>
            <c:ext xmlns:c16="http://schemas.microsoft.com/office/drawing/2014/chart" uri="{C3380CC4-5D6E-409C-BE32-E72D297353CC}">
              <c16:uniqueId val="{00000003-5788-439E-AD6A-D5E9205E91F4}"/>
            </c:ext>
          </c:extLst>
        </c:ser>
        <c:ser>
          <c:idx val="4"/>
          <c:order val="4"/>
          <c:tx>
            <c:strRef>
              <c:f>'FINANCIAL RATIOS'!$B$52</c:f>
              <c:strCache>
                <c:ptCount val="1"/>
                <c:pt idx="0">
                  <c:v>KDP</c:v>
                </c:pt>
              </c:strCache>
            </c:strRef>
          </c:tx>
          <c:spPr>
            <a:solidFill>
              <a:schemeClr val="accent5"/>
            </a:solidFill>
            <a:ln>
              <a:noFill/>
            </a:ln>
            <a:effectLst/>
          </c:spPr>
          <c:invertIfNegative val="0"/>
          <c:cat>
            <c:numRef>
              <c:f>'FINANCIAL RATIOS'!$C$47:$G$47</c:f>
              <c:numCache>
                <c:formatCode>General</c:formatCode>
                <c:ptCount val="5"/>
                <c:pt idx="0">
                  <c:v>2021</c:v>
                </c:pt>
                <c:pt idx="1">
                  <c:v>2022</c:v>
                </c:pt>
                <c:pt idx="2">
                  <c:v>2023</c:v>
                </c:pt>
                <c:pt idx="3">
                  <c:v>2024</c:v>
                </c:pt>
                <c:pt idx="4">
                  <c:v>2025</c:v>
                </c:pt>
              </c:numCache>
            </c:numRef>
          </c:cat>
          <c:val>
            <c:numRef>
              <c:f>'FINANCIAL RATIOS'!$C$52:$G$52</c:f>
              <c:numCache>
                <c:formatCode>0.00</c:formatCode>
                <c:ptCount val="5"/>
                <c:pt idx="0">
                  <c:v>115.57955251709137</c:v>
                </c:pt>
                <c:pt idx="1">
                  <c:v>124.15809711168738</c:v>
                </c:pt>
                <c:pt idx="2">
                  <c:v>106.3152671096919</c:v>
                </c:pt>
                <c:pt idx="3">
                  <c:v>122.03304056879966</c:v>
                </c:pt>
                <c:pt idx="4">
                  <c:v>149.10325032968737</c:v>
                </c:pt>
              </c:numCache>
            </c:numRef>
          </c:val>
          <c:extLst>
            <c:ext xmlns:c16="http://schemas.microsoft.com/office/drawing/2014/chart" uri="{C3380CC4-5D6E-409C-BE32-E72D297353CC}">
              <c16:uniqueId val="{00000004-5788-439E-AD6A-D5E9205E91F4}"/>
            </c:ext>
          </c:extLst>
        </c:ser>
        <c:dLbls>
          <c:showLegendKey val="0"/>
          <c:showVal val="0"/>
          <c:showCatName val="0"/>
          <c:showSerName val="0"/>
          <c:showPercent val="0"/>
          <c:showBubbleSize val="0"/>
        </c:dLbls>
        <c:gapWidth val="219"/>
        <c:overlap val="-27"/>
        <c:axId val="1787408903"/>
        <c:axId val="1787410951"/>
      </c:barChart>
      <c:catAx>
        <c:axId val="1787408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410951"/>
        <c:crosses val="autoZero"/>
        <c:auto val="1"/>
        <c:lblAlgn val="ctr"/>
        <c:lblOffset val="100"/>
        <c:noMultiLvlLbl val="0"/>
      </c:catAx>
      <c:valAx>
        <c:axId val="17874109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408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Debt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RATIOS'!$B$59</c:f>
              <c:strCache>
                <c:ptCount val="1"/>
                <c:pt idx="0">
                  <c:v>Monster</c:v>
                </c:pt>
              </c:strCache>
            </c:strRef>
          </c:tx>
          <c:spPr>
            <a:solidFill>
              <a:schemeClr val="accent1"/>
            </a:solidFill>
            <a:ln>
              <a:noFill/>
            </a:ln>
            <a:effectLst/>
          </c:spPr>
          <c:invertIfNegative val="0"/>
          <c:cat>
            <c:numRef>
              <c:f>'FINANCIAL RATIOS'!$C$58:$G$58</c:f>
              <c:numCache>
                <c:formatCode>General</c:formatCode>
                <c:ptCount val="5"/>
                <c:pt idx="0">
                  <c:v>2021</c:v>
                </c:pt>
                <c:pt idx="1">
                  <c:v>2022</c:v>
                </c:pt>
                <c:pt idx="2">
                  <c:v>2023</c:v>
                </c:pt>
                <c:pt idx="3">
                  <c:v>2024</c:v>
                </c:pt>
                <c:pt idx="4">
                  <c:v>2025</c:v>
                </c:pt>
              </c:numCache>
            </c:numRef>
          </c:cat>
          <c:val>
            <c:numRef>
              <c:f>'FINANCIAL RATIOS'!$C$59:$G$59</c:f>
              <c:numCache>
                <c:formatCode>0.00%</c:formatCode>
                <c:ptCount val="5"/>
                <c:pt idx="0">
                  <c:v>0</c:v>
                </c:pt>
                <c:pt idx="1">
                  <c:v>0</c:v>
                </c:pt>
                <c:pt idx="2">
                  <c:v>0</c:v>
                </c:pt>
                <c:pt idx="3">
                  <c:v>4.8444965461597864E-2</c:v>
                </c:pt>
                <c:pt idx="4">
                  <c:v>0</c:v>
                </c:pt>
              </c:numCache>
            </c:numRef>
          </c:val>
          <c:extLst>
            <c:ext xmlns:c16="http://schemas.microsoft.com/office/drawing/2014/chart" uri="{C3380CC4-5D6E-409C-BE32-E72D297353CC}">
              <c16:uniqueId val="{00000000-8CED-408E-ACCE-5B3480F1B138}"/>
            </c:ext>
          </c:extLst>
        </c:ser>
        <c:ser>
          <c:idx val="1"/>
          <c:order val="1"/>
          <c:tx>
            <c:strRef>
              <c:f>'FINANCIAL RATIOS'!$B$60</c:f>
              <c:strCache>
                <c:ptCount val="1"/>
                <c:pt idx="0">
                  <c:v>PepsiCo</c:v>
                </c:pt>
              </c:strCache>
            </c:strRef>
          </c:tx>
          <c:spPr>
            <a:solidFill>
              <a:schemeClr val="accent2"/>
            </a:solidFill>
            <a:ln>
              <a:noFill/>
            </a:ln>
            <a:effectLst/>
          </c:spPr>
          <c:invertIfNegative val="0"/>
          <c:cat>
            <c:numRef>
              <c:f>'FINANCIAL RATIOS'!$C$58:$G$58</c:f>
              <c:numCache>
                <c:formatCode>General</c:formatCode>
                <c:ptCount val="5"/>
                <c:pt idx="0">
                  <c:v>2021</c:v>
                </c:pt>
                <c:pt idx="1">
                  <c:v>2022</c:v>
                </c:pt>
                <c:pt idx="2">
                  <c:v>2023</c:v>
                </c:pt>
                <c:pt idx="3">
                  <c:v>2024</c:v>
                </c:pt>
                <c:pt idx="4">
                  <c:v>2025</c:v>
                </c:pt>
              </c:numCache>
            </c:numRef>
          </c:cat>
          <c:val>
            <c:numRef>
              <c:f>'FINANCIAL RATIOS'!$C$60:$G$60</c:f>
              <c:numCache>
                <c:formatCode>0.00%</c:formatCode>
                <c:ptCount val="5"/>
                <c:pt idx="0">
                  <c:v>0.43662383493726792</c:v>
                </c:pt>
                <c:pt idx="1">
                  <c:v>0.42377734633447944</c:v>
                </c:pt>
                <c:pt idx="2">
                  <c:v>0.43887755609731827</c:v>
                </c:pt>
                <c:pt idx="3">
                  <c:v>0.44543416409462433</c:v>
                </c:pt>
                <c:pt idx="4">
                  <c:v>0.45793722474138493</c:v>
                </c:pt>
              </c:numCache>
            </c:numRef>
          </c:val>
          <c:extLst>
            <c:ext xmlns:c16="http://schemas.microsoft.com/office/drawing/2014/chart" uri="{C3380CC4-5D6E-409C-BE32-E72D297353CC}">
              <c16:uniqueId val="{00000001-8CED-408E-ACCE-5B3480F1B138}"/>
            </c:ext>
          </c:extLst>
        </c:ser>
        <c:ser>
          <c:idx val="2"/>
          <c:order val="2"/>
          <c:tx>
            <c:strRef>
              <c:f>'FINANCIAL RATIOS'!$B$61</c:f>
              <c:strCache>
                <c:ptCount val="1"/>
                <c:pt idx="0">
                  <c:v>Coca-Cola</c:v>
                </c:pt>
              </c:strCache>
            </c:strRef>
          </c:tx>
          <c:spPr>
            <a:solidFill>
              <a:schemeClr val="accent3"/>
            </a:solidFill>
            <a:ln>
              <a:noFill/>
            </a:ln>
            <a:effectLst/>
          </c:spPr>
          <c:invertIfNegative val="0"/>
          <c:cat>
            <c:numRef>
              <c:f>'FINANCIAL RATIOS'!$C$58:$G$58</c:f>
              <c:numCache>
                <c:formatCode>General</c:formatCode>
                <c:ptCount val="5"/>
                <c:pt idx="0">
                  <c:v>2021</c:v>
                </c:pt>
                <c:pt idx="1">
                  <c:v>2022</c:v>
                </c:pt>
                <c:pt idx="2">
                  <c:v>2023</c:v>
                </c:pt>
                <c:pt idx="3">
                  <c:v>2024</c:v>
                </c:pt>
                <c:pt idx="4">
                  <c:v>2025</c:v>
                </c:pt>
              </c:numCache>
            </c:numRef>
          </c:cat>
          <c:val>
            <c:numRef>
              <c:f>'FINANCIAL RATIOS'!$C$61:$G$61</c:f>
              <c:numCache>
                <c:formatCode>0.00%</c:formatCode>
                <c:ptCount val="5"/>
                <c:pt idx="0">
                  <c:v>0.45319753269601715</c:v>
                </c:pt>
                <c:pt idx="1">
                  <c:v>0.42203249140282223</c:v>
                </c:pt>
                <c:pt idx="2">
                  <c:v>0.43052925703407263</c:v>
                </c:pt>
                <c:pt idx="3">
                  <c:v>0.44278908790738841</c:v>
                </c:pt>
                <c:pt idx="4">
                  <c:v>0.43401770722027172</c:v>
                </c:pt>
              </c:numCache>
            </c:numRef>
          </c:val>
          <c:extLst>
            <c:ext xmlns:c16="http://schemas.microsoft.com/office/drawing/2014/chart" uri="{C3380CC4-5D6E-409C-BE32-E72D297353CC}">
              <c16:uniqueId val="{00000002-8CED-408E-ACCE-5B3480F1B138}"/>
            </c:ext>
          </c:extLst>
        </c:ser>
        <c:ser>
          <c:idx val="3"/>
          <c:order val="3"/>
          <c:tx>
            <c:strRef>
              <c:f>'FINANCIAL RATIOS'!$B$62</c:f>
              <c:strCache>
                <c:ptCount val="1"/>
                <c:pt idx="0">
                  <c:v>CELH</c:v>
                </c:pt>
              </c:strCache>
            </c:strRef>
          </c:tx>
          <c:spPr>
            <a:solidFill>
              <a:schemeClr val="accent4"/>
            </a:solidFill>
            <a:ln>
              <a:noFill/>
            </a:ln>
            <a:effectLst/>
          </c:spPr>
          <c:invertIfNegative val="0"/>
          <c:cat>
            <c:numRef>
              <c:f>'FINANCIAL RATIOS'!$C$58:$G$58</c:f>
              <c:numCache>
                <c:formatCode>General</c:formatCode>
                <c:ptCount val="5"/>
                <c:pt idx="0">
                  <c:v>2021</c:v>
                </c:pt>
                <c:pt idx="1">
                  <c:v>2022</c:v>
                </c:pt>
                <c:pt idx="2">
                  <c:v>2023</c:v>
                </c:pt>
                <c:pt idx="3">
                  <c:v>2024</c:v>
                </c:pt>
                <c:pt idx="4">
                  <c:v>2025</c:v>
                </c:pt>
              </c:numCache>
            </c:numRef>
          </c:cat>
          <c:val>
            <c:numRef>
              <c:f>'FINANCIAL RATIOS'!$C$62:$G$62</c:f>
              <c:numCache>
                <c:formatCode>0.00%</c:formatCode>
                <c:ptCount val="5"/>
                <c:pt idx="0">
                  <c:v>0</c:v>
                </c:pt>
                <c:pt idx="1">
                  <c:v>0</c:v>
                </c:pt>
                <c:pt idx="2">
                  <c:v>0</c:v>
                </c:pt>
                <c:pt idx="3">
                  <c:v>0</c:v>
                </c:pt>
                <c:pt idx="4">
                  <c:v>0.13085460818291042</c:v>
                </c:pt>
              </c:numCache>
            </c:numRef>
          </c:val>
          <c:extLst>
            <c:ext xmlns:c16="http://schemas.microsoft.com/office/drawing/2014/chart" uri="{C3380CC4-5D6E-409C-BE32-E72D297353CC}">
              <c16:uniqueId val="{00000003-8CED-408E-ACCE-5B3480F1B138}"/>
            </c:ext>
          </c:extLst>
        </c:ser>
        <c:ser>
          <c:idx val="4"/>
          <c:order val="4"/>
          <c:tx>
            <c:strRef>
              <c:f>'FINANCIAL RATIOS'!$B$63</c:f>
              <c:strCache>
                <c:ptCount val="1"/>
                <c:pt idx="0">
                  <c:v>KDP</c:v>
                </c:pt>
              </c:strCache>
            </c:strRef>
          </c:tx>
          <c:spPr>
            <a:solidFill>
              <a:schemeClr val="accent5"/>
            </a:solidFill>
            <a:ln>
              <a:noFill/>
            </a:ln>
            <a:effectLst/>
          </c:spPr>
          <c:invertIfNegative val="0"/>
          <c:cat>
            <c:numRef>
              <c:f>'FINANCIAL RATIOS'!$C$58:$G$58</c:f>
              <c:numCache>
                <c:formatCode>General</c:formatCode>
                <c:ptCount val="5"/>
                <c:pt idx="0">
                  <c:v>2021</c:v>
                </c:pt>
                <c:pt idx="1">
                  <c:v>2022</c:v>
                </c:pt>
                <c:pt idx="2">
                  <c:v>2023</c:v>
                </c:pt>
                <c:pt idx="3">
                  <c:v>2024</c:v>
                </c:pt>
                <c:pt idx="4">
                  <c:v>2025</c:v>
                </c:pt>
              </c:numCache>
            </c:numRef>
          </c:cat>
          <c:val>
            <c:numRef>
              <c:f>'FINANCIAL RATIOS'!$C$63:$G$63</c:f>
              <c:numCache>
                <c:formatCode>0.00%</c:formatCode>
                <c:ptCount val="5"/>
                <c:pt idx="0">
                  <c:v>0.23761808767144946</c:v>
                </c:pt>
                <c:pt idx="1">
                  <c:v>0.23571965970252909</c:v>
                </c:pt>
                <c:pt idx="2">
                  <c:v>0.258143103779014</c:v>
                </c:pt>
                <c:pt idx="3">
                  <c:v>0.31087404080104808</c:v>
                </c:pt>
                <c:pt idx="4">
                  <c:v>0.31410591608215077</c:v>
                </c:pt>
              </c:numCache>
            </c:numRef>
          </c:val>
          <c:extLst>
            <c:ext xmlns:c16="http://schemas.microsoft.com/office/drawing/2014/chart" uri="{C3380CC4-5D6E-409C-BE32-E72D297353CC}">
              <c16:uniqueId val="{00000004-8CED-408E-ACCE-5B3480F1B138}"/>
            </c:ext>
          </c:extLst>
        </c:ser>
        <c:dLbls>
          <c:showLegendKey val="0"/>
          <c:showVal val="0"/>
          <c:showCatName val="0"/>
          <c:showSerName val="0"/>
          <c:showPercent val="0"/>
          <c:showBubbleSize val="0"/>
        </c:dLbls>
        <c:gapWidth val="219"/>
        <c:overlap val="-27"/>
        <c:axId val="857330696"/>
        <c:axId val="857332744"/>
      </c:barChart>
      <c:catAx>
        <c:axId val="857330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32744"/>
        <c:crosses val="autoZero"/>
        <c:auto val="1"/>
        <c:lblAlgn val="ctr"/>
        <c:lblOffset val="100"/>
        <c:noMultiLvlLbl val="0"/>
      </c:catAx>
      <c:valAx>
        <c:axId val="857332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30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Debt-Equity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RATIOS'!$B$67</c:f>
              <c:strCache>
                <c:ptCount val="1"/>
                <c:pt idx="0">
                  <c:v>Monster</c:v>
                </c:pt>
              </c:strCache>
            </c:strRef>
          </c:tx>
          <c:spPr>
            <a:solidFill>
              <a:schemeClr val="accent1"/>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RATIOS'!$C$67:$G$67</c:f>
              <c:numCache>
                <c:formatCode>0.00%</c:formatCode>
                <c:ptCount val="5"/>
                <c:pt idx="0">
                  <c:v>0</c:v>
                </c:pt>
                <c:pt idx="1">
                  <c:v>0</c:v>
                </c:pt>
                <c:pt idx="2">
                  <c:v>0</c:v>
                </c:pt>
                <c:pt idx="3">
                  <c:v>6.2767489162796897E-2</c:v>
                </c:pt>
                <c:pt idx="4">
                  <c:v>0</c:v>
                </c:pt>
              </c:numCache>
            </c:numRef>
          </c:val>
          <c:extLst>
            <c:ext xmlns:c16="http://schemas.microsoft.com/office/drawing/2014/chart" uri="{C3380CC4-5D6E-409C-BE32-E72D297353CC}">
              <c16:uniqueId val="{00000000-C8B6-43C8-998A-BA1B4F27A99A}"/>
            </c:ext>
          </c:extLst>
        </c:ser>
        <c:ser>
          <c:idx val="1"/>
          <c:order val="1"/>
          <c:tx>
            <c:strRef>
              <c:f>'FINANCIAL RATIOS'!$B$68</c:f>
              <c:strCache>
                <c:ptCount val="1"/>
                <c:pt idx="0">
                  <c:v>PepsiCo</c:v>
                </c:pt>
              </c:strCache>
            </c:strRef>
          </c:tx>
          <c:spPr>
            <a:solidFill>
              <a:schemeClr val="accent2"/>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RATIOS'!$C$68:$G$68</c:f>
              <c:numCache>
                <c:formatCode>0.00%</c:formatCode>
                <c:ptCount val="5"/>
                <c:pt idx="0">
                  <c:v>2.4973066683177514</c:v>
                </c:pt>
                <c:pt idx="1">
                  <c:v>2.2619695478492443</c:v>
                </c:pt>
                <c:pt idx="2">
                  <c:v>2.3665289477920268</c:v>
                </c:pt>
                <c:pt idx="3">
                  <c:v>2.438280777062352</c:v>
                </c:pt>
                <c:pt idx="4">
                  <c:v>2.3936341071689298</c:v>
                </c:pt>
              </c:numCache>
            </c:numRef>
          </c:val>
          <c:extLst>
            <c:ext xmlns:c16="http://schemas.microsoft.com/office/drawing/2014/chart" uri="{C3380CC4-5D6E-409C-BE32-E72D297353CC}">
              <c16:uniqueId val="{00000001-C8B6-43C8-998A-BA1B4F27A99A}"/>
            </c:ext>
          </c:extLst>
        </c:ser>
        <c:ser>
          <c:idx val="2"/>
          <c:order val="2"/>
          <c:tx>
            <c:strRef>
              <c:f>'FINANCIAL RATIOS'!$B$69</c:f>
              <c:strCache>
                <c:ptCount val="1"/>
                <c:pt idx="0">
                  <c:v>Coca-Cola</c:v>
                </c:pt>
              </c:strCache>
            </c:strRef>
          </c:tx>
          <c:spPr>
            <a:solidFill>
              <a:schemeClr val="accent3"/>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RATIOS'!$C$69:$G$69</c:f>
              <c:numCache>
                <c:formatCode>0.00%</c:formatCode>
                <c:ptCount val="5"/>
                <c:pt idx="0">
                  <c:v>1.7200724054706356</c:v>
                </c:pt>
                <c:pt idx="1">
                  <c:v>1.5158754743281964</c:v>
                </c:pt>
                <c:pt idx="2">
                  <c:v>1.5307132459970887</c:v>
                </c:pt>
                <c:pt idx="3">
                  <c:v>1.6882299408463521</c:v>
                </c:pt>
                <c:pt idx="4">
                  <c:v>1.3272647702407001</c:v>
                </c:pt>
              </c:numCache>
            </c:numRef>
          </c:val>
          <c:extLst>
            <c:ext xmlns:c16="http://schemas.microsoft.com/office/drawing/2014/chart" uri="{C3380CC4-5D6E-409C-BE32-E72D297353CC}">
              <c16:uniqueId val="{00000002-C8B6-43C8-998A-BA1B4F27A99A}"/>
            </c:ext>
          </c:extLst>
        </c:ser>
        <c:ser>
          <c:idx val="3"/>
          <c:order val="3"/>
          <c:tx>
            <c:strRef>
              <c:f>'FINANCIAL RATIOS'!$B$70</c:f>
              <c:strCache>
                <c:ptCount val="1"/>
                <c:pt idx="0">
                  <c:v>CELH</c:v>
                </c:pt>
              </c:strCache>
            </c:strRef>
          </c:tx>
          <c:spPr>
            <a:solidFill>
              <a:schemeClr val="accent4"/>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RATIOS'!$C$70:$G$70</c:f>
              <c:numCache>
                <c:formatCode>0.00%</c:formatCode>
                <c:ptCount val="5"/>
                <c:pt idx="0">
                  <c:v>0</c:v>
                </c:pt>
                <c:pt idx="1">
                  <c:v>0</c:v>
                </c:pt>
                <c:pt idx="2">
                  <c:v>0</c:v>
                </c:pt>
                <c:pt idx="3">
                  <c:v>0</c:v>
                </c:pt>
                <c:pt idx="4">
                  <c:v>0.22775427834375112</c:v>
                </c:pt>
              </c:numCache>
            </c:numRef>
          </c:val>
          <c:extLst>
            <c:ext xmlns:c16="http://schemas.microsoft.com/office/drawing/2014/chart" uri="{C3380CC4-5D6E-409C-BE32-E72D297353CC}">
              <c16:uniqueId val="{00000003-C8B6-43C8-998A-BA1B4F27A99A}"/>
            </c:ext>
          </c:extLst>
        </c:ser>
        <c:ser>
          <c:idx val="4"/>
          <c:order val="4"/>
          <c:tx>
            <c:strRef>
              <c:f>'FINANCIAL RATIOS'!$B$71</c:f>
              <c:strCache>
                <c:ptCount val="1"/>
                <c:pt idx="0">
                  <c:v>KDP</c:v>
                </c:pt>
              </c:strCache>
            </c:strRef>
          </c:tx>
          <c:spPr>
            <a:solidFill>
              <a:schemeClr val="accent5"/>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RATIOS'!$C$71:$G$71</c:f>
              <c:numCache>
                <c:formatCode>0.00%</c:formatCode>
                <c:ptCount val="5"/>
                <c:pt idx="0">
                  <c:v>0.48145923434246357</c:v>
                </c:pt>
                <c:pt idx="1">
                  <c:v>0.48630900262676113</c:v>
                </c:pt>
                <c:pt idx="2">
                  <c:v>0.52410811652905442</c:v>
                </c:pt>
                <c:pt idx="3">
                  <c:v>0.68514622777709033</c:v>
                </c:pt>
                <c:pt idx="4">
                  <c:v>0.68270888854052358</c:v>
                </c:pt>
              </c:numCache>
            </c:numRef>
          </c:val>
          <c:extLst>
            <c:ext xmlns:c16="http://schemas.microsoft.com/office/drawing/2014/chart" uri="{C3380CC4-5D6E-409C-BE32-E72D297353CC}">
              <c16:uniqueId val="{00000004-C8B6-43C8-998A-BA1B4F27A99A}"/>
            </c:ext>
          </c:extLst>
        </c:ser>
        <c:dLbls>
          <c:showLegendKey val="0"/>
          <c:showVal val="0"/>
          <c:showCatName val="0"/>
          <c:showSerName val="0"/>
          <c:showPercent val="0"/>
          <c:showBubbleSize val="0"/>
        </c:dLbls>
        <c:gapWidth val="219"/>
        <c:overlap val="-27"/>
        <c:axId val="2127754247"/>
        <c:axId val="2127756295"/>
      </c:barChart>
      <c:catAx>
        <c:axId val="2127754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756295"/>
        <c:crosses val="autoZero"/>
        <c:auto val="1"/>
        <c:lblAlgn val="ctr"/>
        <c:lblOffset val="100"/>
        <c:noMultiLvlLbl val="0"/>
      </c:catAx>
      <c:valAx>
        <c:axId val="212775629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754247"/>
        <c:crosses val="autoZero"/>
        <c:crossBetween val="between"/>
        <c:majorUnit val="0.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Coverage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RATIOS'!$B$83</c:f>
              <c:strCache>
                <c:ptCount val="1"/>
                <c:pt idx="0">
                  <c:v>Monster</c:v>
                </c:pt>
              </c:strCache>
            </c:strRef>
          </c:tx>
          <c:spPr>
            <a:solidFill>
              <a:schemeClr val="accent1"/>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RATIOS'!$C$83:$G$83</c:f>
              <c:numCache>
                <c:formatCode>0.00</c:formatCode>
                <c:ptCount val="5"/>
                <c:pt idx="0">
                  <c:v>-456.12904858299589</c:v>
                </c:pt>
                <c:pt idx="1">
                  <c:v>129.02422199576702</c:v>
                </c:pt>
                <c:pt idx="2">
                  <c:v>-17.565410372892543</c:v>
                </c:pt>
                <c:pt idx="3">
                  <c:v>-33.985092537817962</c:v>
                </c:pt>
                <c:pt idx="4">
                  <c:v>-40.107558369608242</c:v>
                </c:pt>
              </c:numCache>
            </c:numRef>
          </c:val>
          <c:extLst>
            <c:ext xmlns:c16="http://schemas.microsoft.com/office/drawing/2014/chart" uri="{C3380CC4-5D6E-409C-BE32-E72D297353CC}">
              <c16:uniqueId val="{00000000-7817-4F26-B958-3D67D887CC59}"/>
            </c:ext>
          </c:extLst>
        </c:ser>
        <c:ser>
          <c:idx val="1"/>
          <c:order val="1"/>
          <c:tx>
            <c:strRef>
              <c:f>'FINANCIAL RATIOS'!$B$84</c:f>
              <c:strCache>
                <c:ptCount val="1"/>
                <c:pt idx="0">
                  <c:v>PepsiCo</c:v>
                </c:pt>
              </c:strCache>
            </c:strRef>
          </c:tx>
          <c:spPr>
            <a:solidFill>
              <a:schemeClr val="accent2"/>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RATIOS'!$C$84:$G$84</c:f>
              <c:numCache>
                <c:formatCode>0.00</c:formatCode>
                <c:ptCount val="5"/>
                <c:pt idx="0">
                  <c:v>7.4460547504025767</c:v>
                </c:pt>
                <c:pt idx="1">
                  <c:v>15.20234291799787</c:v>
                </c:pt>
                <c:pt idx="2">
                  <c:v>18.234432234432234</c:v>
                </c:pt>
                <c:pt idx="3">
                  <c:v>17.461371055495103</c:v>
                </c:pt>
                <c:pt idx="4">
                  <c:v>13.335414808206957</c:v>
                </c:pt>
              </c:numCache>
            </c:numRef>
          </c:val>
          <c:extLst>
            <c:ext xmlns:c16="http://schemas.microsoft.com/office/drawing/2014/chart" uri="{C3380CC4-5D6E-409C-BE32-E72D297353CC}">
              <c16:uniqueId val="{00000001-7817-4F26-B958-3D67D887CC59}"/>
            </c:ext>
          </c:extLst>
        </c:ser>
        <c:ser>
          <c:idx val="2"/>
          <c:order val="2"/>
          <c:tx>
            <c:strRef>
              <c:f>'FINANCIAL RATIOS'!$B$85</c:f>
              <c:strCache>
                <c:ptCount val="1"/>
                <c:pt idx="0">
                  <c:v>Coca-Cola</c:v>
                </c:pt>
              </c:strCache>
            </c:strRef>
          </c:tx>
          <c:spPr>
            <a:solidFill>
              <a:schemeClr val="accent3"/>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RATIOS'!$C$85:$G$85</c:f>
              <c:numCache>
                <c:formatCode>0.00</c:formatCode>
                <c:ptCount val="5"/>
                <c:pt idx="0">
                  <c:v>7.1120851596743897</c:v>
                </c:pt>
                <c:pt idx="1">
                  <c:v>13.587301587301587</c:v>
                </c:pt>
                <c:pt idx="2">
                  <c:v>8.1460379829731497</c:v>
                </c:pt>
                <c:pt idx="3">
                  <c:v>6.7946859903381647</c:v>
                </c:pt>
                <c:pt idx="4">
                  <c:v>9.1983071342200731</c:v>
                </c:pt>
              </c:numCache>
            </c:numRef>
          </c:val>
          <c:extLst>
            <c:ext xmlns:c16="http://schemas.microsoft.com/office/drawing/2014/chart" uri="{C3380CC4-5D6E-409C-BE32-E72D297353CC}">
              <c16:uniqueId val="{00000002-7817-4F26-B958-3D67D887CC59}"/>
            </c:ext>
          </c:extLst>
        </c:ser>
        <c:ser>
          <c:idx val="3"/>
          <c:order val="3"/>
          <c:tx>
            <c:strRef>
              <c:f>'FINANCIAL RATIOS'!$B$86</c:f>
              <c:strCache>
                <c:ptCount val="1"/>
                <c:pt idx="0">
                  <c:v>CELH</c:v>
                </c:pt>
              </c:strCache>
            </c:strRef>
          </c:tx>
          <c:spPr>
            <a:solidFill>
              <a:schemeClr val="accent4"/>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RATIOS'!$C$86:$G$86</c:f>
              <c:numCache>
                <c:formatCode>#,##0.00</c:formatCode>
                <c:ptCount val="5"/>
                <c:pt idx="0">
                  <c:v>-353.25</c:v>
                </c:pt>
                <c:pt idx="1">
                  <c:v>29.456538170823887</c:v>
                </c:pt>
                <c:pt idx="2">
                  <c:v>0</c:v>
                </c:pt>
                <c:pt idx="3">
                  <c:v>0</c:v>
                </c:pt>
                <c:pt idx="4">
                  <c:v>3.4814913122486066</c:v>
                </c:pt>
              </c:numCache>
            </c:numRef>
          </c:val>
          <c:extLst>
            <c:ext xmlns:c16="http://schemas.microsoft.com/office/drawing/2014/chart" uri="{C3380CC4-5D6E-409C-BE32-E72D297353CC}">
              <c16:uniqueId val="{00000003-7817-4F26-B958-3D67D887CC59}"/>
            </c:ext>
          </c:extLst>
        </c:ser>
        <c:ser>
          <c:idx val="4"/>
          <c:order val="4"/>
          <c:tx>
            <c:strRef>
              <c:f>'FINANCIAL RATIOS'!$B$87</c:f>
              <c:strCache>
                <c:ptCount val="1"/>
                <c:pt idx="0">
                  <c:v>KDP</c:v>
                </c:pt>
              </c:strCache>
            </c:strRef>
          </c:tx>
          <c:spPr>
            <a:solidFill>
              <a:schemeClr val="accent5"/>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RATIOS'!$C$87:$G$87</c:f>
              <c:numCache>
                <c:formatCode>0.00</c:formatCode>
                <c:ptCount val="5"/>
                <c:pt idx="0">
                  <c:v>6.4119999999999999</c:v>
                </c:pt>
                <c:pt idx="1">
                  <c:v>4.3924963924963922</c:v>
                </c:pt>
                <c:pt idx="2">
                  <c:v>6.850806451612903</c:v>
                </c:pt>
                <c:pt idx="3">
                  <c:v>4.8761904761904766</c:v>
                </c:pt>
                <c:pt idx="4">
                  <c:v>5.2002652519893902</c:v>
                </c:pt>
              </c:numCache>
            </c:numRef>
          </c:val>
          <c:extLst>
            <c:ext xmlns:c16="http://schemas.microsoft.com/office/drawing/2014/chart" uri="{C3380CC4-5D6E-409C-BE32-E72D297353CC}">
              <c16:uniqueId val="{00000004-7817-4F26-B958-3D67D887CC59}"/>
            </c:ext>
          </c:extLst>
        </c:ser>
        <c:dLbls>
          <c:showLegendKey val="0"/>
          <c:showVal val="0"/>
          <c:showCatName val="0"/>
          <c:showSerName val="0"/>
          <c:showPercent val="0"/>
          <c:showBubbleSize val="0"/>
        </c:dLbls>
        <c:gapWidth val="219"/>
        <c:overlap val="-27"/>
        <c:axId val="1871667208"/>
        <c:axId val="1871669256"/>
      </c:barChart>
      <c:catAx>
        <c:axId val="1871667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669256"/>
        <c:crosses val="autoZero"/>
        <c:auto val="1"/>
        <c:lblAlgn val="ctr"/>
        <c:lblOffset val="100"/>
        <c:noMultiLvlLbl val="0"/>
      </c:catAx>
      <c:valAx>
        <c:axId val="1871669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667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Interest Earn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RATIOS'!$B$75</c:f>
              <c:strCache>
                <c:ptCount val="1"/>
                <c:pt idx="0">
                  <c:v>Monster</c:v>
                </c:pt>
              </c:strCache>
            </c:strRef>
          </c:tx>
          <c:spPr>
            <a:solidFill>
              <a:schemeClr val="accent1"/>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RATIOS'!$C$75:$G$75</c:f>
              <c:numCache>
                <c:formatCode>0.00</c:formatCode>
                <c:ptCount val="5"/>
                <c:pt idx="0">
                  <c:v>-454.82464574898785</c:v>
                </c:pt>
                <c:pt idx="1">
                  <c:v>124.223641922082</c:v>
                </c:pt>
                <c:pt idx="2">
                  <c:v>-16.966958228738697</c:v>
                </c:pt>
                <c:pt idx="3">
                  <c:v>-32.625606355108594</c:v>
                </c:pt>
                <c:pt idx="4">
                  <c:v>-38.296066481994472</c:v>
                </c:pt>
              </c:numCache>
            </c:numRef>
          </c:val>
          <c:extLst>
            <c:ext xmlns:c16="http://schemas.microsoft.com/office/drawing/2014/chart" uri="{C3380CC4-5D6E-409C-BE32-E72D297353CC}">
              <c16:uniqueId val="{00000000-1A0E-44C8-8739-B784A09C56FC}"/>
            </c:ext>
          </c:extLst>
        </c:ser>
        <c:ser>
          <c:idx val="1"/>
          <c:order val="1"/>
          <c:tx>
            <c:strRef>
              <c:f>'FINANCIAL RATIOS'!$B$76</c:f>
              <c:strCache>
                <c:ptCount val="1"/>
                <c:pt idx="0">
                  <c:v>PepsiCo</c:v>
                </c:pt>
              </c:strCache>
            </c:strRef>
          </c:tx>
          <c:spPr>
            <a:solidFill>
              <a:schemeClr val="accent2"/>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RATIOS'!$C$76:$G$76</c:f>
              <c:numCache>
                <c:formatCode>0.00</c:formatCode>
                <c:ptCount val="5"/>
                <c:pt idx="0">
                  <c:v>5.9914117015566291</c:v>
                </c:pt>
                <c:pt idx="1">
                  <c:v>12.259850905218318</c:v>
                </c:pt>
                <c:pt idx="2">
                  <c:v>14.634920634920634</c:v>
                </c:pt>
                <c:pt idx="3">
                  <c:v>14.022850924918389</c:v>
                </c:pt>
                <c:pt idx="4">
                  <c:v>10.256913470115968</c:v>
                </c:pt>
              </c:numCache>
            </c:numRef>
          </c:val>
          <c:extLst>
            <c:ext xmlns:c16="http://schemas.microsoft.com/office/drawing/2014/chart" uri="{C3380CC4-5D6E-409C-BE32-E72D297353CC}">
              <c16:uniqueId val="{00000001-1A0E-44C8-8739-B784A09C56FC}"/>
            </c:ext>
          </c:extLst>
        </c:ser>
        <c:ser>
          <c:idx val="2"/>
          <c:order val="2"/>
          <c:tx>
            <c:strRef>
              <c:f>'FINANCIAL RATIOS'!$B$77</c:f>
              <c:strCache>
                <c:ptCount val="1"/>
                <c:pt idx="0">
                  <c:v>Coca-Cola</c:v>
                </c:pt>
              </c:strCache>
            </c:strRef>
          </c:tx>
          <c:spPr>
            <a:solidFill>
              <a:schemeClr val="accent3"/>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RATIOS'!$C$77:$G$77</c:f>
              <c:numCache>
                <c:formatCode>0.00</c:formatCode>
                <c:ptCount val="5"/>
                <c:pt idx="0">
                  <c:v>6.4546023794614902</c:v>
                </c:pt>
                <c:pt idx="1">
                  <c:v>12.368480725623582</c:v>
                </c:pt>
                <c:pt idx="2">
                  <c:v>7.4073346430910281</c:v>
                </c:pt>
                <c:pt idx="3">
                  <c:v>6.0338164251207731</c:v>
                </c:pt>
                <c:pt idx="4">
                  <c:v>8.3204353083434093</c:v>
                </c:pt>
              </c:numCache>
            </c:numRef>
          </c:val>
          <c:extLst>
            <c:ext xmlns:c16="http://schemas.microsoft.com/office/drawing/2014/chart" uri="{C3380CC4-5D6E-409C-BE32-E72D297353CC}">
              <c16:uniqueId val="{00000002-1A0E-44C8-8739-B784A09C56FC}"/>
            </c:ext>
          </c:extLst>
        </c:ser>
        <c:ser>
          <c:idx val="3"/>
          <c:order val="3"/>
          <c:tx>
            <c:strRef>
              <c:f>'FINANCIAL RATIOS'!$B$78</c:f>
              <c:strCache>
                <c:ptCount val="1"/>
                <c:pt idx="0">
                  <c:v>CELH</c:v>
                </c:pt>
              </c:strCache>
            </c:strRef>
          </c:tx>
          <c:spPr>
            <a:solidFill>
              <a:schemeClr val="accent4"/>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RATIOS'!$C$78:$G$78</c:f>
              <c:numCache>
                <c:formatCode>#,##0.00</c:formatCode>
                <c:ptCount val="5"/>
                <c:pt idx="0">
                  <c:v>-511.25</c:v>
                </c:pt>
                <c:pt idx="1">
                  <c:v>29.81878306878307</c:v>
                </c:pt>
                <c:pt idx="2">
                  <c:v>0</c:v>
                </c:pt>
                <c:pt idx="3">
                  <c:v>0</c:v>
                </c:pt>
                <c:pt idx="4">
                  <c:v>2.8801682422361519</c:v>
                </c:pt>
              </c:numCache>
            </c:numRef>
          </c:val>
          <c:extLst>
            <c:ext xmlns:c16="http://schemas.microsoft.com/office/drawing/2014/chart" uri="{C3380CC4-5D6E-409C-BE32-E72D297353CC}">
              <c16:uniqueId val="{00000003-1A0E-44C8-8739-B784A09C56FC}"/>
            </c:ext>
          </c:extLst>
        </c:ser>
        <c:ser>
          <c:idx val="4"/>
          <c:order val="4"/>
          <c:tx>
            <c:strRef>
              <c:f>'FINANCIAL RATIOS'!$B$79</c:f>
              <c:strCache>
                <c:ptCount val="1"/>
                <c:pt idx="0">
                  <c:v>KDP</c:v>
                </c:pt>
              </c:strCache>
            </c:strRef>
          </c:tx>
          <c:spPr>
            <a:solidFill>
              <a:schemeClr val="accent5"/>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RATIOS'!$C$79:$G$79</c:f>
              <c:numCache>
                <c:formatCode>0.00</c:formatCode>
                <c:ptCount val="5"/>
                <c:pt idx="0">
                  <c:v>6.0579999999999998</c:v>
                </c:pt>
                <c:pt idx="1">
                  <c:v>4.1471861471861473</c:v>
                </c:pt>
                <c:pt idx="2">
                  <c:v>6.506048387096774</c:v>
                </c:pt>
                <c:pt idx="3">
                  <c:v>4.6204081632653065</c:v>
                </c:pt>
                <c:pt idx="4">
                  <c:v>4.9230769230769234</c:v>
                </c:pt>
              </c:numCache>
            </c:numRef>
          </c:val>
          <c:extLst>
            <c:ext xmlns:c16="http://schemas.microsoft.com/office/drawing/2014/chart" uri="{C3380CC4-5D6E-409C-BE32-E72D297353CC}">
              <c16:uniqueId val="{00000004-1A0E-44C8-8739-B784A09C56FC}"/>
            </c:ext>
          </c:extLst>
        </c:ser>
        <c:dLbls>
          <c:showLegendKey val="0"/>
          <c:showVal val="0"/>
          <c:showCatName val="0"/>
          <c:showSerName val="0"/>
          <c:showPercent val="0"/>
          <c:showBubbleSize val="0"/>
        </c:dLbls>
        <c:gapWidth val="219"/>
        <c:overlap val="-27"/>
        <c:axId val="1490692616"/>
        <c:axId val="1490694664"/>
      </c:barChart>
      <c:catAx>
        <c:axId val="1490692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694664"/>
        <c:crosses val="autoZero"/>
        <c:auto val="1"/>
        <c:lblAlgn val="ctr"/>
        <c:lblOffset val="100"/>
        <c:noMultiLvlLbl val="0"/>
      </c:catAx>
      <c:valAx>
        <c:axId val="1490694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692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Asset Turnover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RATIOS'!$B$94</c:f>
              <c:strCache>
                <c:ptCount val="1"/>
                <c:pt idx="0">
                  <c:v>Monster</c:v>
                </c:pt>
              </c:strCache>
            </c:strRef>
          </c:tx>
          <c:spPr>
            <a:solidFill>
              <a:schemeClr val="accent1"/>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RATIOS'!$C$94:$G$94</c:f>
              <c:numCache>
                <c:formatCode>0.00</c:formatCode>
                <c:ptCount val="5"/>
                <c:pt idx="0">
                  <c:v>0.70999428043107926</c:v>
                </c:pt>
                <c:pt idx="1">
                  <c:v>0.76099964970900535</c:v>
                </c:pt>
                <c:pt idx="2">
                  <c:v>0.73710945992792865</c:v>
                </c:pt>
                <c:pt idx="3">
                  <c:v>0.97067270503034742</c:v>
                </c:pt>
                <c:pt idx="4">
                  <c:v>0.83035225441725835</c:v>
                </c:pt>
              </c:numCache>
            </c:numRef>
          </c:val>
          <c:extLst>
            <c:ext xmlns:c16="http://schemas.microsoft.com/office/drawing/2014/chart" uri="{C3380CC4-5D6E-409C-BE32-E72D297353CC}">
              <c16:uniqueId val="{00000000-CEDB-4F72-8E0D-20D15CDDBBF6}"/>
            </c:ext>
          </c:extLst>
        </c:ser>
        <c:ser>
          <c:idx val="1"/>
          <c:order val="1"/>
          <c:tx>
            <c:strRef>
              <c:f>'FINANCIAL RATIOS'!$B$95</c:f>
              <c:strCache>
                <c:ptCount val="1"/>
                <c:pt idx="0">
                  <c:v>PepsiCo</c:v>
                </c:pt>
              </c:strCache>
            </c:strRef>
          </c:tx>
          <c:spPr>
            <a:solidFill>
              <a:schemeClr val="accent2"/>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RATIOS'!$C$95:$G$95</c:f>
              <c:numCache>
                <c:formatCode>0.00</c:formatCode>
                <c:ptCount val="5"/>
                <c:pt idx="0">
                  <c:v>0.86032237461705841</c:v>
                </c:pt>
                <c:pt idx="1">
                  <c:v>0.93703699686540776</c:v>
                </c:pt>
                <c:pt idx="2">
                  <c:v>0.91020448778546192</c:v>
                </c:pt>
                <c:pt idx="3">
                  <c:v>0.92346205274111015</c:v>
                </c:pt>
                <c:pt idx="4">
                  <c:v>0.87454259350645724</c:v>
                </c:pt>
              </c:numCache>
            </c:numRef>
          </c:val>
          <c:extLst>
            <c:ext xmlns:c16="http://schemas.microsoft.com/office/drawing/2014/chart" uri="{C3380CC4-5D6E-409C-BE32-E72D297353CC}">
              <c16:uniqueId val="{00000001-CEDB-4F72-8E0D-20D15CDDBBF6}"/>
            </c:ext>
          </c:extLst>
        </c:ser>
        <c:ser>
          <c:idx val="2"/>
          <c:order val="2"/>
          <c:tx>
            <c:strRef>
              <c:f>'FINANCIAL RATIOS'!$B$96</c:f>
              <c:strCache>
                <c:ptCount val="1"/>
                <c:pt idx="0">
                  <c:v>Coca-Cola</c:v>
                </c:pt>
              </c:strCache>
            </c:strRef>
          </c:tx>
          <c:spPr>
            <a:solidFill>
              <a:schemeClr val="accent3"/>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RATIOS'!$C$96:$G$96</c:f>
              <c:numCache>
                <c:formatCode>0.00</c:formatCode>
                <c:ptCount val="5"/>
                <c:pt idx="0">
                  <c:v>0.40968056468194247</c:v>
                </c:pt>
                <c:pt idx="1">
                  <c:v>0.46359000894753294</c:v>
                </c:pt>
                <c:pt idx="2">
                  <c:v>0.46829677696693039</c:v>
                </c:pt>
                <c:pt idx="3">
                  <c:v>0.46804045788620474</c:v>
                </c:pt>
                <c:pt idx="4">
                  <c:v>0.45738246069302396</c:v>
                </c:pt>
              </c:numCache>
            </c:numRef>
          </c:val>
          <c:extLst>
            <c:ext xmlns:c16="http://schemas.microsoft.com/office/drawing/2014/chart" uri="{C3380CC4-5D6E-409C-BE32-E72D297353CC}">
              <c16:uniqueId val="{00000002-CEDB-4F72-8E0D-20D15CDDBBF6}"/>
            </c:ext>
          </c:extLst>
        </c:ser>
        <c:ser>
          <c:idx val="3"/>
          <c:order val="3"/>
          <c:tx>
            <c:strRef>
              <c:f>'FINANCIAL RATIOS'!$B$97</c:f>
              <c:strCache>
                <c:ptCount val="1"/>
                <c:pt idx="0">
                  <c:v>CELH</c:v>
                </c:pt>
              </c:strCache>
            </c:strRef>
          </c:tx>
          <c:spPr>
            <a:solidFill>
              <a:schemeClr val="accent4"/>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RATIOS'!$C$97:$G$97</c:f>
              <c:numCache>
                <c:formatCode>0.00</c:formatCode>
                <c:ptCount val="5"/>
                <c:pt idx="0">
                  <c:v>1.0008088708290608</c:v>
                </c:pt>
                <c:pt idx="1">
                  <c:v>0.5348339578207123</c:v>
                </c:pt>
                <c:pt idx="2">
                  <c:v>0.85786086399600103</c:v>
                </c:pt>
                <c:pt idx="3">
                  <c:v>0.76724465314868406</c:v>
                </c:pt>
                <c:pt idx="4">
                  <c:v>0.49129984426581574</c:v>
                </c:pt>
              </c:numCache>
            </c:numRef>
          </c:val>
          <c:extLst>
            <c:ext xmlns:c16="http://schemas.microsoft.com/office/drawing/2014/chart" uri="{C3380CC4-5D6E-409C-BE32-E72D297353CC}">
              <c16:uniqueId val="{00000003-CEDB-4F72-8E0D-20D15CDDBBF6}"/>
            </c:ext>
          </c:extLst>
        </c:ser>
        <c:ser>
          <c:idx val="4"/>
          <c:order val="4"/>
          <c:tx>
            <c:strRef>
              <c:f>'FINANCIAL RATIOS'!$B$98</c:f>
              <c:strCache>
                <c:ptCount val="1"/>
                <c:pt idx="0">
                  <c:v>KDP</c:v>
                </c:pt>
              </c:strCache>
            </c:strRef>
          </c:tx>
          <c:spPr>
            <a:solidFill>
              <a:schemeClr val="accent5"/>
            </a:solidFill>
            <a:ln>
              <a:noFill/>
            </a:ln>
            <a:effectLst/>
          </c:spPr>
          <c:invertIfNegative val="0"/>
          <c:cat>
            <c:numRef>
              <c:f>'FINANCIAL RATIOS'!$C$66:$G$66</c:f>
              <c:numCache>
                <c:formatCode>General</c:formatCode>
                <c:ptCount val="5"/>
                <c:pt idx="0">
                  <c:v>2021</c:v>
                </c:pt>
                <c:pt idx="1">
                  <c:v>2022</c:v>
                </c:pt>
                <c:pt idx="2">
                  <c:v>2023</c:v>
                </c:pt>
                <c:pt idx="3">
                  <c:v>2024</c:v>
                </c:pt>
                <c:pt idx="4">
                  <c:v>2025</c:v>
                </c:pt>
              </c:numCache>
            </c:numRef>
          </c:cat>
          <c:val>
            <c:numRef>
              <c:f>'FINANCIAL RATIOS'!$C$98:$G$98</c:f>
              <c:numCache>
                <c:formatCode>0.00</c:formatCode>
                <c:ptCount val="5"/>
                <c:pt idx="0">
                  <c:v>0.25066208150519781</c:v>
                </c:pt>
                <c:pt idx="1">
                  <c:v>0.27117695854312557</c:v>
                </c:pt>
                <c:pt idx="2">
                  <c:v>0.28417417993477845</c:v>
                </c:pt>
                <c:pt idx="3">
                  <c:v>0.28731049971925882</c:v>
                </c:pt>
                <c:pt idx="4">
                  <c:v>0.29937431255522096</c:v>
                </c:pt>
              </c:numCache>
            </c:numRef>
          </c:val>
          <c:extLst>
            <c:ext xmlns:c16="http://schemas.microsoft.com/office/drawing/2014/chart" uri="{C3380CC4-5D6E-409C-BE32-E72D297353CC}">
              <c16:uniqueId val="{00000004-CEDB-4F72-8E0D-20D15CDDBBF6}"/>
            </c:ext>
          </c:extLst>
        </c:ser>
        <c:dLbls>
          <c:showLegendKey val="0"/>
          <c:showVal val="0"/>
          <c:showCatName val="0"/>
          <c:showSerName val="0"/>
          <c:showPercent val="0"/>
          <c:showBubbleSize val="0"/>
        </c:dLbls>
        <c:gapWidth val="219"/>
        <c:overlap val="-27"/>
        <c:axId val="1494030344"/>
        <c:axId val="1494058504"/>
      </c:barChart>
      <c:catAx>
        <c:axId val="1494030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058504"/>
        <c:crosses val="autoZero"/>
        <c:auto val="1"/>
        <c:lblAlgn val="ctr"/>
        <c:lblOffset val="100"/>
        <c:noMultiLvlLbl val="0"/>
      </c:catAx>
      <c:valAx>
        <c:axId val="1494058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030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 Turnover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RATIOS'!$B$101</c:f>
              <c:strCache>
                <c:ptCount val="1"/>
                <c:pt idx="0">
                  <c:v>Monster</c:v>
                </c:pt>
              </c:strCache>
            </c:strRef>
          </c:tx>
          <c:spPr>
            <a:solidFill>
              <a:schemeClr val="accent1"/>
            </a:solidFill>
            <a:ln>
              <a:noFill/>
            </a:ln>
            <a:effectLst/>
          </c:spPr>
          <c:invertIfNegative val="0"/>
          <c:cat>
            <c:numRef>
              <c:f>'FINANCIAL RATIOS'!$C$100:$G$100</c:f>
              <c:numCache>
                <c:formatCode>General</c:formatCode>
                <c:ptCount val="5"/>
                <c:pt idx="0">
                  <c:v>2021</c:v>
                </c:pt>
                <c:pt idx="1">
                  <c:v>2022</c:v>
                </c:pt>
                <c:pt idx="2">
                  <c:v>2023</c:v>
                </c:pt>
                <c:pt idx="3">
                  <c:v>2024</c:v>
                </c:pt>
                <c:pt idx="4">
                  <c:v>2025</c:v>
                </c:pt>
              </c:numCache>
            </c:numRef>
          </c:cat>
          <c:val>
            <c:numRef>
              <c:f>'FINANCIAL RATIOS'!$C$101:$G$101</c:f>
              <c:numCache>
                <c:formatCode>0.00</c:formatCode>
                <c:ptCount val="5"/>
                <c:pt idx="0">
                  <c:v>4.1001269050504163</c:v>
                </c:pt>
                <c:pt idx="1">
                  <c:v>3.352264942055148</c:v>
                </c:pt>
                <c:pt idx="2">
                  <c:v>3.4443075294984795</c:v>
                </c:pt>
                <c:pt idx="3">
                  <c:v>4.6720910261332484</c:v>
                </c:pt>
                <c:pt idx="4">
                  <c:v>4.5798432511320959</c:v>
                </c:pt>
              </c:numCache>
            </c:numRef>
          </c:val>
          <c:extLst>
            <c:ext xmlns:c16="http://schemas.microsoft.com/office/drawing/2014/chart" uri="{C3380CC4-5D6E-409C-BE32-E72D297353CC}">
              <c16:uniqueId val="{00000000-6103-41BB-B6EF-C3E0E307CE6A}"/>
            </c:ext>
          </c:extLst>
        </c:ser>
        <c:ser>
          <c:idx val="1"/>
          <c:order val="1"/>
          <c:tx>
            <c:strRef>
              <c:f>'FINANCIAL RATIOS'!$B$102</c:f>
              <c:strCache>
                <c:ptCount val="1"/>
                <c:pt idx="0">
                  <c:v>PepsiCo</c:v>
                </c:pt>
              </c:strCache>
            </c:strRef>
          </c:tx>
          <c:spPr>
            <a:solidFill>
              <a:schemeClr val="accent2"/>
            </a:solidFill>
            <a:ln>
              <a:noFill/>
            </a:ln>
            <a:effectLst/>
          </c:spPr>
          <c:invertIfNegative val="0"/>
          <c:cat>
            <c:numRef>
              <c:f>'FINANCIAL RATIOS'!$C$100:$G$100</c:f>
              <c:numCache>
                <c:formatCode>General</c:formatCode>
                <c:ptCount val="5"/>
                <c:pt idx="0">
                  <c:v>2021</c:v>
                </c:pt>
                <c:pt idx="1">
                  <c:v>2022</c:v>
                </c:pt>
                <c:pt idx="2">
                  <c:v>2023</c:v>
                </c:pt>
                <c:pt idx="3">
                  <c:v>2024</c:v>
                </c:pt>
                <c:pt idx="4">
                  <c:v>2025</c:v>
                </c:pt>
              </c:numCache>
            </c:numRef>
          </c:cat>
          <c:val>
            <c:numRef>
              <c:f>'FINANCIAL RATIOS'!$C$102:$G$102</c:f>
              <c:numCache>
                <c:formatCode>0.00</c:formatCode>
                <c:ptCount val="5"/>
                <c:pt idx="0">
                  <c:v>8.5288704853922237</c:v>
                </c:pt>
                <c:pt idx="1">
                  <c:v>7.7702029873611647</c:v>
                </c:pt>
                <c:pt idx="2">
                  <c:v>7.8517060367454068</c:v>
                </c:pt>
                <c:pt idx="3">
                  <c:v>7.8673200150772713</c:v>
                </c:pt>
                <c:pt idx="4">
                  <c:v>7.3680068434559454</c:v>
                </c:pt>
              </c:numCache>
            </c:numRef>
          </c:val>
          <c:extLst>
            <c:ext xmlns:c16="http://schemas.microsoft.com/office/drawing/2014/chart" uri="{C3380CC4-5D6E-409C-BE32-E72D297353CC}">
              <c16:uniqueId val="{00000001-6103-41BB-B6EF-C3E0E307CE6A}"/>
            </c:ext>
          </c:extLst>
        </c:ser>
        <c:ser>
          <c:idx val="2"/>
          <c:order val="2"/>
          <c:tx>
            <c:strRef>
              <c:f>'FINANCIAL RATIOS'!$B$103</c:f>
              <c:strCache>
                <c:ptCount val="1"/>
                <c:pt idx="0">
                  <c:v>Coca-Cola</c:v>
                </c:pt>
              </c:strCache>
            </c:strRef>
          </c:tx>
          <c:spPr>
            <a:solidFill>
              <a:schemeClr val="accent3"/>
            </a:solidFill>
            <a:ln>
              <a:noFill/>
            </a:ln>
            <a:effectLst/>
          </c:spPr>
          <c:invertIfNegative val="0"/>
          <c:cat>
            <c:numRef>
              <c:f>'FINANCIAL RATIOS'!$C$100:$G$100</c:f>
              <c:numCache>
                <c:formatCode>General</c:formatCode>
                <c:ptCount val="5"/>
                <c:pt idx="0">
                  <c:v>2021</c:v>
                </c:pt>
                <c:pt idx="1">
                  <c:v>2022</c:v>
                </c:pt>
                <c:pt idx="2">
                  <c:v>2023</c:v>
                </c:pt>
                <c:pt idx="3">
                  <c:v>2024</c:v>
                </c:pt>
                <c:pt idx="4">
                  <c:v>2025</c:v>
                </c:pt>
              </c:numCache>
            </c:numRef>
          </c:cat>
          <c:val>
            <c:numRef>
              <c:f>'FINANCIAL RATIOS'!$C$103:$G$103</c:f>
              <c:numCache>
                <c:formatCode>0.00</c:formatCode>
                <c:ptCount val="5"/>
                <c:pt idx="0">
                  <c:v>4.4982425307557117</c:v>
                </c:pt>
                <c:pt idx="1">
                  <c:v>4.2523033309709426</c:v>
                </c:pt>
                <c:pt idx="2">
                  <c:v>4.1862567811934897</c:v>
                </c:pt>
                <c:pt idx="3">
                  <c:v>3.8756345177664975</c:v>
                </c:pt>
                <c:pt idx="4">
                  <c:v>4.157514124293785</c:v>
                </c:pt>
              </c:numCache>
            </c:numRef>
          </c:val>
          <c:extLst>
            <c:ext xmlns:c16="http://schemas.microsoft.com/office/drawing/2014/chart" uri="{C3380CC4-5D6E-409C-BE32-E72D297353CC}">
              <c16:uniqueId val="{00000002-6103-41BB-B6EF-C3E0E307CE6A}"/>
            </c:ext>
          </c:extLst>
        </c:ser>
        <c:ser>
          <c:idx val="3"/>
          <c:order val="3"/>
          <c:tx>
            <c:strRef>
              <c:f>'FINANCIAL RATIOS'!$B$104</c:f>
              <c:strCache>
                <c:ptCount val="1"/>
                <c:pt idx="0">
                  <c:v>CELH</c:v>
                </c:pt>
              </c:strCache>
            </c:strRef>
          </c:tx>
          <c:spPr>
            <a:solidFill>
              <a:schemeClr val="accent4"/>
            </a:solidFill>
            <a:ln>
              <a:noFill/>
            </a:ln>
            <a:effectLst/>
          </c:spPr>
          <c:invertIfNegative val="0"/>
          <c:cat>
            <c:numRef>
              <c:f>'FINANCIAL RATIOS'!$C$100:$G$100</c:f>
              <c:numCache>
                <c:formatCode>General</c:formatCode>
                <c:ptCount val="5"/>
                <c:pt idx="0">
                  <c:v>2021</c:v>
                </c:pt>
                <c:pt idx="1">
                  <c:v>2022</c:v>
                </c:pt>
                <c:pt idx="2">
                  <c:v>2023</c:v>
                </c:pt>
                <c:pt idx="3">
                  <c:v>2024</c:v>
                </c:pt>
                <c:pt idx="4">
                  <c:v>2025</c:v>
                </c:pt>
              </c:numCache>
            </c:numRef>
          </c:cat>
          <c:val>
            <c:numRef>
              <c:f>'FINANCIAL RATIOS'!$C$104:$G$104</c:f>
              <c:numCache>
                <c:formatCode>0.00</c:formatCode>
                <c:ptCount val="5"/>
                <c:pt idx="0">
                  <c:v>0.97323006767003795</c:v>
                </c:pt>
                <c:pt idx="1">
                  <c:v>2.2086514435422906</c:v>
                </c:pt>
                <c:pt idx="2">
                  <c:v>2.9871333551412058</c:v>
                </c:pt>
                <c:pt idx="3">
                  <c:v>5.1494148591468765</c:v>
                </c:pt>
                <c:pt idx="4">
                  <c:v>3.6954201683160695</c:v>
                </c:pt>
              </c:numCache>
            </c:numRef>
          </c:val>
          <c:extLst>
            <c:ext xmlns:c16="http://schemas.microsoft.com/office/drawing/2014/chart" uri="{C3380CC4-5D6E-409C-BE32-E72D297353CC}">
              <c16:uniqueId val="{00000003-6103-41BB-B6EF-C3E0E307CE6A}"/>
            </c:ext>
          </c:extLst>
        </c:ser>
        <c:ser>
          <c:idx val="4"/>
          <c:order val="4"/>
          <c:tx>
            <c:strRef>
              <c:f>'FINANCIAL RATIOS'!$B$105</c:f>
              <c:strCache>
                <c:ptCount val="1"/>
                <c:pt idx="0">
                  <c:v>KDP</c:v>
                </c:pt>
              </c:strCache>
            </c:strRef>
          </c:tx>
          <c:spPr>
            <a:solidFill>
              <a:schemeClr val="accent5"/>
            </a:solidFill>
            <a:ln>
              <a:noFill/>
            </a:ln>
            <a:effectLst/>
          </c:spPr>
          <c:invertIfNegative val="0"/>
          <c:cat>
            <c:numRef>
              <c:f>'FINANCIAL RATIOS'!$C$100:$G$100</c:f>
              <c:numCache>
                <c:formatCode>General</c:formatCode>
                <c:ptCount val="5"/>
                <c:pt idx="0">
                  <c:v>2021</c:v>
                </c:pt>
                <c:pt idx="1">
                  <c:v>2022</c:v>
                </c:pt>
                <c:pt idx="2">
                  <c:v>2023</c:v>
                </c:pt>
                <c:pt idx="3">
                  <c:v>2024</c:v>
                </c:pt>
                <c:pt idx="4">
                  <c:v>2025</c:v>
                </c:pt>
              </c:numCache>
            </c:numRef>
          </c:cat>
          <c:val>
            <c:numRef>
              <c:f>'FINANCIAL RATIOS'!$C$105:$G$105</c:f>
              <c:numCache>
                <c:formatCode>0.00</c:formatCode>
                <c:ptCount val="5"/>
                <c:pt idx="0">
                  <c:v>5.9068322981366457</c:v>
                </c:pt>
                <c:pt idx="1">
                  <c:v>4.7997148966500358</c:v>
                </c:pt>
                <c:pt idx="2">
                  <c:v>5.3743016759776534</c:v>
                </c:pt>
                <c:pt idx="3">
                  <c:v>5.2517321016166285</c:v>
                </c:pt>
                <c:pt idx="4">
                  <c:v>4.3877668782458166</c:v>
                </c:pt>
              </c:numCache>
            </c:numRef>
          </c:val>
          <c:extLst>
            <c:ext xmlns:c16="http://schemas.microsoft.com/office/drawing/2014/chart" uri="{C3380CC4-5D6E-409C-BE32-E72D297353CC}">
              <c16:uniqueId val="{00000004-6103-41BB-B6EF-C3E0E307CE6A}"/>
            </c:ext>
          </c:extLst>
        </c:ser>
        <c:dLbls>
          <c:showLegendKey val="0"/>
          <c:showVal val="0"/>
          <c:showCatName val="0"/>
          <c:showSerName val="0"/>
          <c:showPercent val="0"/>
          <c:showBubbleSize val="0"/>
        </c:dLbls>
        <c:gapWidth val="219"/>
        <c:overlap val="-27"/>
        <c:axId val="1818863112"/>
        <c:axId val="1818865160"/>
      </c:barChart>
      <c:catAx>
        <c:axId val="1818863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65160"/>
        <c:crosses val="autoZero"/>
        <c:auto val="1"/>
        <c:lblAlgn val="ctr"/>
        <c:lblOffset val="100"/>
        <c:noMultiLvlLbl val="0"/>
      </c:catAx>
      <c:valAx>
        <c:axId val="18188651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63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Days Sales in Inventory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RATIOS'!$B$108</c:f>
              <c:strCache>
                <c:ptCount val="1"/>
                <c:pt idx="0">
                  <c:v>Monster</c:v>
                </c:pt>
              </c:strCache>
            </c:strRef>
          </c:tx>
          <c:spPr>
            <a:solidFill>
              <a:schemeClr val="accent1"/>
            </a:solidFill>
            <a:ln>
              <a:noFill/>
            </a:ln>
            <a:effectLst/>
          </c:spPr>
          <c:invertIfNegative val="0"/>
          <c:cat>
            <c:numRef>
              <c:f>'FINANCIAL RATIOS'!$C$107:$G$107</c:f>
              <c:numCache>
                <c:formatCode>General</c:formatCode>
                <c:ptCount val="5"/>
                <c:pt idx="0">
                  <c:v>2021</c:v>
                </c:pt>
                <c:pt idx="1">
                  <c:v>2022</c:v>
                </c:pt>
                <c:pt idx="2">
                  <c:v>2023</c:v>
                </c:pt>
                <c:pt idx="3">
                  <c:v>2024</c:v>
                </c:pt>
                <c:pt idx="4">
                  <c:v>2025</c:v>
                </c:pt>
              </c:numCache>
            </c:numRef>
          </c:cat>
          <c:val>
            <c:numRef>
              <c:f>'FINANCIAL RATIOS'!$C$108:$G$108</c:f>
              <c:numCache>
                <c:formatCode>0.00</c:formatCode>
                <c:ptCount val="5"/>
                <c:pt idx="0">
                  <c:v>89.021634806084577</c:v>
                </c:pt>
                <c:pt idx="1">
                  <c:v>108.88160879558409</c:v>
                </c:pt>
                <c:pt idx="2">
                  <c:v>105.97195426772682</c:v>
                </c:pt>
                <c:pt idx="3">
                  <c:v>78.123477894240452</c:v>
                </c:pt>
                <c:pt idx="4">
                  <c:v>79.69705074726636</c:v>
                </c:pt>
              </c:numCache>
            </c:numRef>
          </c:val>
          <c:extLst>
            <c:ext xmlns:c16="http://schemas.microsoft.com/office/drawing/2014/chart" uri="{C3380CC4-5D6E-409C-BE32-E72D297353CC}">
              <c16:uniqueId val="{00000000-0942-4BAE-8716-CD8468BC2B3F}"/>
            </c:ext>
          </c:extLst>
        </c:ser>
        <c:ser>
          <c:idx val="1"/>
          <c:order val="1"/>
          <c:tx>
            <c:strRef>
              <c:f>'FINANCIAL RATIOS'!$B$109</c:f>
              <c:strCache>
                <c:ptCount val="1"/>
                <c:pt idx="0">
                  <c:v>PepsiCo</c:v>
                </c:pt>
              </c:strCache>
            </c:strRef>
          </c:tx>
          <c:spPr>
            <a:solidFill>
              <a:schemeClr val="accent2"/>
            </a:solidFill>
            <a:ln>
              <a:noFill/>
            </a:ln>
            <a:effectLst/>
          </c:spPr>
          <c:invertIfNegative val="0"/>
          <c:cat>
            <c:numRef>
              <c:f>'FINANCIAL RATIOS'!$C$107:$G$107</c:f>
              <c:numCache>
                <c:formatCode>General</c:formatCode>
                <c:ptCount val="5"/>
                <c:pt idx="0">
                  <c:v>2021</c:v>
                </c:pt>
                <c:pt idx="1">
                  <c:v>2022</c:v>
                </c:pt>
                <c:pt idx="2">
                  <c:v>2023</c:v>
                </c:pt>
                <c:pt idx="3">
                  <c:v>2024</c:v>
                </c:pt>
                <c:pt idx="4">
                  <c:v>2025</c:v>
                </c:pt>
              </c:numCache>
            </c:numRef>
          </c:cat>
          <c:val>
            <c:numRef>
              <c:f>'FINANCIAL RATIOS'!$C$109:$G$109</c:f>
              <c:numCache>
                <c:formatCode>0.00</c:formatCode>
                <c:ptCount val="5"/>
                <c:pt idx="0">
                  <c:v>42.795819285232639</c:v>
                </c:pt>
                <c:pt idx="1">
                  <c:v>46.974319794952677</c:v>
                </c:pt>
                <c:pt idx="2">
                  <c:v>46.486712351663044</c:v>
                </c:pt>
                <c:pt idx="3">
                  <c:v>46.39445189727865</c:v>
                </c:pt>
                <c:pt idx="4">
                  <c:v>49.538499047972877</c:v>
                </c:pt>
              </c:numCache>
            </c:numRef>
          </c:val>
          <c:extLst>
            <c:ext xmlns:c16="http://schemas.microsoft.com/office/drawing/2014/chart" uri="{C3380CC4-5D6E-409C-BE32-E72D297353CC}">
              <c16:uniqueId val="{00000001-0942-4BAE-8716-CD8468BC2B3F}"/>
            </c:ext>
          </c:extLst>
        </c:ser>
        <c:ser>
          <c:idx val="2"/>
          <c:order val="2"/>
          <c:tx>
            <c:strRef>
              <c:f>'FINANCIAL RATIOS'!$B$110</c:f>
              <c:strCache>
                <c:ptCount val="1"/>
                <c:pt idx="0">
                  <c:v>Coca-Cola</c:v>
                </c:pt>
              </c:strCache>
            </c:strRef>
          </c:tx>
          <c:spPr>
            <a:solidFill>
              <a:schemeClr val="accent3"/>
            </a:solidFill>
            <a:ln>
              <a:noFill/>
            </a:ln>
            <a:effectLst/>
          </c:spPr>
          <c:invertIfNegative val="0"/>
          <c:cat>
            <c:numRef>
              <c:f>'FINANCIAL RATIOS'!$C$107:$G$107</c:f>
              <c:numCache>
                <c:formatCode>General</c:formatCode>
                <c:ptCount val="5"/>
                <c:pt idx="0">
                  <c:v>2021</c:v>
                </c:pt>
                <c:pt idx="1">
                  <c:v>2022</c:v>
                </c:pt>
                <c:pt idx="2">
                  <c:v>2023</c:v>
                </c:pt>
                <c:pt idx="3">
                  <c:v>2024</c:v>
                </c:pt>
                <c:pt idx="4">
                  <c:v>2025</c:v>
                </c:pt>
              </c:numCache>
            </c:numRef>
          </c:cat>
          <c:val>
            <c:numRef>
              <c:f>'FINANCIAL RATIOS'!$C$110:$G$110</c:f>
              <c:numCache>
                <c:formatCode>0.00</c:formatCode>
                <c:ptCount val="5"/>
                <c:pt idx="0">
                  <c:v>81.142801328384451</c:v>
                </c:pt>
                <c:pt idx="1">
                  <c:v>85.835833333333326</c:v>
                </c:pt>
                <c:pt idx="2">
                  <c:v>87.190064794816422</c:v>
                </c:pt>
                <c:pt idx="3">
                  <c:v>94.1781270464964</c:v>
                </c:pt>
                <c:pt idx="4">
                  <c:v>87.792846659781489</c:v>
                </c:pt>
              </c:numCache>
            </c:numRef>
          </c:val>
          <c:extLst>
            <c:ext xmlns:c16="http://schemas.microsoft.com/office/drawing/2014/chart" uri="{C3380CC4-5D6E-409C-BE32-E72D297353CC}">
              <c16:uniqueId val="{00000002-0942-4BAE-8716-CD8468BC2B3F}"/>
            </c:ext>
          </c:extLst>
        </c:ser>
        <c:ser>
          <c:idx val="3"/>
          <c:order val="3"/>
          <c:tx>
            <c:strRef>
              <c:f>'FINANCIAL RATIOS'!$B$111</c:f>
              <c:strCache>
                <c:ptCount val="1"/>
                <c:pt idx="0">
                  <c:v>CELH</c:v>
                </c:pt>
              </c:strCache>
            </c:strRef>
          </c:tx>
          <c:spPr>
            <a:solidFill>
              <a:schemeClr val="accent4"/>
            </a:solidFill>
            <a:ln>
              <a:noFill/>
            </a:ln>
            <a:effectLst/>
          </c:spPr>
          <c:invertIfNegative val="0"/>
          <c:cat>
            <c:numRef>
              <c:f>'FINANCIAL RATIOS'!$C$107:$G$107</c:f>
              <c:numCache>
                <c:formatCode>General</c:formatCode>
                <c:ptCount val="5"/>
                <c:pt idx="0">
                  <c:v>2021</c:v>
                </c:pt>
                <c:pt idx="1">
                  <c:v>2022</c:v>
                </c:pt>
                <c:pt idx="2">
                  <c:v>2023</c:v>
                </c:pt>
                <c:pt idx="3">
                  <c:v>2024</c:v>
                </c:pt>
                <c:pt idx="4">
                  <c:v>2025</c:v>
                </c:pt>
              </c:numCache>
            </c:numRef>
          </c:cat>
          <c:val>
            <c:numRef>
              <c:f>'FINANCIAL RATIOS'!$C$111:$G$111</c:f>
              <c:numCache>
                <c:formatCode>0.0</c:formatCode>
                <c:ptCount val="5"/>
                <c:pt idx="0">
                  <c:v>375.03978979382384</c:v>
                </c:pt>
                <c:pt idx="1">
                  <c:v>165.25921329379335</c:v>
                </c:pt>
                <c:pt idx="2">
                  <c:v>122.1907282350794</c:v>
                </c:pt>
                <c:pt idx="3">
                  <c:v>70.88183997287625</c:v>
                </c:pt>
                <c:pt idx="4">
                  <c:v>98.77090652084722</c:v>
                </c:pt>
              </c:numCache>
            </c:numRef>
          </c:val>
          <c:extLst>
            <c:ext xmlns:c16="http://schemas.microsoft.com/office/drawing/2014/chart" uri="{C3380CC4-5D6E-409C-BE32-E72D297353CC}">
              <c16:uniqueId val="{00000003-0942-4BAE-8716-CD8468BC2B3F}"/>
            </c:ext>
          </c:extLst>
        </c:ser>
        <c:ser>
          <c:idx val="4"/>
          <c:order val="4"/>
          <c:tx>
            <c:strRef>
              <c:f>'FINANCIAL RATIOS'!$B$112</c:f>
              <c:strCache>
                <c:ptCount val="1"/>
                <c:pt idx="0">
                  <c:v>KDP</c:v>
                </c:pt>
              </c:strCache>
            </c:strRef>
          </c:tx>
          <c:spPr>
            <a:solidFill>
              <a:schemeClr val="accent5"/>
            </a:solidFill>
            <a:ln>
              <a:noFill/>
            </a:ln>
            <a:effectLst/>
          </c:spPr>
          <c:invertIfNegative val="0"/>
          <c:cat>
            <c:numRef>
              <c:f>'FINANCIAL RATIOS'!$C$107:$G$107</c:f>
              <c:numCache>
                <c:formatCode>General</c:formatCode>
                <c:ptCount val="5"/>
                <c:pt idx="0">
                  <c:v>2021</c:v>
                </c:pt>
                <c:pt idx="1">
                  <c:v>2022</c:v>
                </c:pt>
                <c:pt idx="2">
                  <c:v>2023</c:v>
                </c:pt>
                <c:pt idx="3">
                  <c:v>2024</c:v>
                </c:pt>
                <c:pt idx="4">
                  <c:v>2025</c:v>
                </c:pt>
              </c:numCache>
            </c:numRef>
          </c:cat>
          <c:val>
            <c:numRef>
              <c:f>'FINANCIAL RATIOS'!$C$112:$G$112</c:f>
              <c:numCache>
                <c:formatCode>0.00</c:formatCode>
                <c:ptCount val="5"/>
                <c:pt idx="0">
                  <c:v>61.792849631966355</c:v>
                </c:pt>
                <c:pt idx="1">
                  <c:v>76.046183546183542</c:v>
                </c:pt>
                <c:pt idx="2">
                  <c:v>67.915800415800419</c:v>
                </c:pt>
                <c:pt idx="3">
                  <c:v>69.500879507475815</c:v>
                </c:pt>
                <c:pt idx="4">
                  <c:v>83.185823250920564</c:v>
                </c:pt>
              </c:numCache>
            </c:numRef>
          </c:val>
          <c:extLst>
            <c:ext xmlns:c16="http://schemas.microsoft.com/office/drawing/2014/chart" uri="{C3380CC4-5D6E-409C-BE32-E72D297353CC}">
              <c16:uniqueId val="{00000004-0942-4BAE-8716-CD8468BC2B3F}"/>
            </c:ext>
          </c:extLst>
        </c:ser>
        <c:dLbls>
          <c:showLegendKey val="0"/>
          <c:showVal val="0"/>
          <c:showCatName val="0"/>
          <c:showSerName val="0"/>
          <c:showPercent val="0"/>
          <c:showBubbleSize val="0"/>
        </c:dLbls>
        <c:gapWidth val="219"/>
        <c:overlap val="-27"/>
        <c:axId val="498863624"/>
        <c:axId val="498877960"/>
      </c:barChart>
      <c:catAx>
        <c:axId val="498863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77960"/>
        <c:crosses val="autoZero"/>
        <c:auto val="1"/>
        <c:lblAlgn val="ctr"/>
        <c:lblOffset val="100"/>
        <c:noMultiLvlLbl val="0"/>
      </c:catAx>
      <c:valAx>
        <c:axId val="498877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63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Receivable Turnover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RATIOS'!$B$115</c:f>
              <c:strCache>
                <c:ptCount val="1"/>
                <c:pt idx="0">
                  <c:v>Monster</c:v>
                </c:pt>
              </c:strCache>
            </c:strRef>
          </c:tx>
          <c:spPr>
            <a:solidFill>
              <a:schemeClr val="accent1"/>
            </a:solidFill>
            <a:ln>
              <a:noFill/>
            </a:ln>
            <a:effectLst/>
          </c:spPr>
          <c:invertIfNegative val="0"/>
          <c:cat>
            <c:numRef>
              <c:f>'FINANCIAL RATIOS'!$C$114:$G$114</c:f>
              <c:numCache>
                <c:formatCode>General</c:formatCode>
                <c:ptCount val="5"/>
                <c:pt idx="0">
                  <c:v>2021</c:v>
                </c:pt>
                <c:pt idx="1">
                  <c:v>2022</c:v>
                </c:pt>
                <c:pt idx="2">
                  <c:v>2023</c:v>
                </c:pt>
                <c:pt idx="3">
                  <c:v>2024</c:v>
                </c:pt>
                <c:pt idx="4">
                  <c:v>2025</c:v>
                </c:pt>
              </c:numCache>
            </c:numRef>
          </c:cat>
          <c:val>
            <c:numRef>
              <c:f>'FINANCIAL RATIOS'!$C$115:$G$115</c:f>
              <c:numCache>
                <c:formatCode>0.00</c:formatCode>
                <c:ptCount val="5"/>
                <c:pt idx="0">
                  <c:v>6.1800062008034278</c:v>
                </c:pt>
                <c:pt idx="1">
                  <c:v>6.2104225238461215</c:v>
                </c:pt>
                <c:pt idx="2">
                  <c:v>5.9801024151481954</c:v>
                </c:pt>
                <c:pt idx="3">
                  <c:v>6.1332898401009786</c:v>
                </c:pt>
                <c:pt idx="4">
                  <c:v>5.1260654655664277</c:v>
                </c:pt>
              </c:numCache>
            </c:numRef>
          </c:val>
          <c:extLst>
            <c:ext xmlns:c16="http://schemas.microsoft.com/office/drawing/2014/chart" uri="{C3380CC4-5D6E-409C-BE32-E72D297353CC}">
              <c16:uniqueId val="{00000000-1D05-4495-AF22-91728FFC0C56}"/>
            </c:ext>
          </c:extLst>
        </c:ser>
        <c:ser>
          <c:idx val="1"/>
          <c:order val="1"/>
          <c:tx>
            <c:strRef>
              <c:f>'FINANCIAL RATIOS'!$B$116</c:f>
              <c:strCache>
                <c:ptCount val="1"/>
                <c:pt idx="0">
                  <c:v>PepsiCo</c:v>
                </c:pt>
              </c:strCache>
            </c:strRef>
          </c:tx>
          <c:spPr>
            <a:solidFill>
              <a:schemeClr val="accent2"/>
            </a:solidFill>
            <a:ln>
              <a:noFill/>
            </a:ln>
            <a:effectLst/>
          </c:spPr>
          <c:invertIfNegative val="0"/>
          <c:cat>
            <c:numRef>
              <c:f>'FINANCIAL RATIOS'!$C$114:$G$114</c:f>
              <c:numCache>
                <c:formatCode>General</c:formatCode>
                <c:ptCount val="5"/>
                <c:pt idx="0">
                  <c:v>2021</c:v>
                </c:pt>
                <c:pt idx="1">
                  <c:v>2022</c:v>
                </c:pt>
                <c:pt idx="2">
                  <c:v>2023</c:v>
                </c:pt>
                <c:pt idx="3">
                  <c:v>2024</c:v>
                </c:pt>
                <c:pt idx="4">
                  <c:v>2025</c:v>
                </c:pt>
              </c:numCache>
            </c:numRef>
          </c:cat>
          <c:val>
            <c:numRef>
              <c:f>'FINANCIAL RATIOS'!$C$116:$G$116</c:f>
              <c:numCache>
                <c:formatCode>0.00</c:formatCode>
                <c:ptCount val="5"/>
                <c:pt idx="0">
                  <c:v>9.1559907834101377</c:v>
                </c:pt>
                <c:pt idx="1">
                  <c:v>8.5006395749286625</c:v>
                </c:pt>
                <c:pt idx="2">
                  <c:v>8.4577901063337961</c:v>
                </c:pt>
                <c:pt idx="3">
                  <c:v>8.88938352850092</c:v>
                </c:pt>
                <c:pt idx="4">
                  <c:v>8.1631322788110552</c:v>
                </c:pt>
              </c:numCache>
            </c:numRef>
          </c:val>
          <c:extLst>
            <c:ext xmlns:c16="http://schemas.microsoft.com/office/drawing/2014/chart" uri="{C3380CC4-5D6E-409C-BE32-E72D297353CC}">
              <c16:uniqueId val="{00000001-1D05-4495-AF22-91728FFC0C56}"/>
            </c:ext>
          </c:extLst>
        </c:ser>
        <c:ser>
          <c:idx val="2"/>
          <c:order val="2"/>
          <c:tx>
            <c:strRef>
              <c:f>'FINANCIAL RATIOS'!$B$117</c:f>
              <c:strCache>
                <c:ptCount val="1"/>
                <c:pt idx="0">
                  <c:v>Coca-Cola</c:v>
                </c:pt>
              </c:strCache>
            </c:strRef>
          </c:tx>
          <c:spPr>
            <a:solidFill>
              <a:schemeClr val="accent3"/>
            </a:solidFill>
            <a:ln>
              <a:noFill/>
            </a:ln>
            <a:effectLst/>
          </c:spPr>
          <c:invertIfNegative val="0"/>
          <c:cat>
            <c:numRef>
              <c:f>'FINANCIAL RATIOS'!$C$114:$G$114</c:f>
              <c:numCache>
                <c:formatCode>General</c:formatCode>
                <c:ptCount val="5"/>
                <c:pt idx="0">
                  <c:v>2021</c:v>
                </c:pt>
                <c:pt idx="1">
                  <c:v>2022</c:v>
                </c:pt>
                <c:pt idx="2">
                  <c:v>2023</c:v>
                </c:pt>
                <c:pt idx="3">
                  <c:v>2024</c:v>
                </c:pt>
                <c:pt idx="4">
                  <c:v>2025</c:v>
                </c:pt>
              </c:numCache>
            </c:numRef>
          </c:cat>
          <c:val>
            <c:numRef>
              <c:f>'FINANCIAL RATIOS'!$C$117:$G$117</c:f>
              <c:numCache>
                <c:formatCode>0.00</c:formatCode>
                <c:ptCount val="5"/>
                <c:pt idx="0">
                  <c:v>11.006548974943053</c:v>
                </c:pt>
                <c:pt idx="1">
                  <c:v>12.332664181244622</c:v>
                </c:pt>
                <c:pt idx="2">
                  <c:v>13.417595307917889</c:v>
                </c:pt>
                <c:pt idx="3">
                  <c:v>13.186046511627907</c:v>
                </c:pt>
                <c:pt idx="4">
                  <c:v>15.780447662936142</c:v>
                </c:pt>
              </c:numCache>
            </c:numRef>
          </c:val>
          <c:extLst>
            <c:ext xmlns:c16="http://schemas.microsoft.com/office/drawing/2014/chart" uri="{C3380CC4-5D6E-409C-BE32-E72D297353CC}">
              <c16:uniqueId val="{00000002-1D05-4495-AF22-91728FFC0C56}"/>
            </c:ext>
          </c:extLst>
        </c:ser>
        <c:ser>
          <c:idx val="3"/>
          <c:order val="3"/>
          <c:tx>
            <c:strRef>
              <c:f>'FINANCIAL RATIOS'!$B$118</c:f>
              <c:strCache>
                <c:ptCount val="1"/>
                <c:pt idx="0">
                  <c:v>CELH</c:v>
                </c:pt>
              </c:strCache>
            </c:strRef>
          </c:tx>
          <c:spPr>
            <a:solidFill>
              <a:schemeClr val="accent4"/>
            </a:solidFill>
            <a:ln>
              <a:noFill/>
            </a:ln>
            <a:effectLst/>
          </c:spPr>
          <c:invertIfNegative val="0"/>
          <c:cat>
            <c:numRef>
              <c:f>'FINANCIAL RATIOS'!$C$114:$G$114</c:f>
              <c:numCache>
                <c:formatCode>General</c:formatCode>
                <c:ptCount val="5"/>
                <c:pt idx="0">
                  <c:v>2021</c:v>
                </c:pt>
                <c:pt idx="1">
                  <c:v>2022</c:v>
                </c:pt>
                <c:pt idx="2">
                  <c:v>2023</c:v>
                </c:pt>
                <c:pt idx="3">
                  <c:v>2024</c:v>
                </c:pt>
                <c:pt idx="4">
                  <c:v>2025</c:v>
                </c:pt>
              </c:numCache>
            </c:numRef>
          </c:cat>
          <c:val>
            <c:numRef>
              <c:f>'FINANCIAL RATIOS'!$C$118:$G$118</c:f>
              <c:numCache>
                <c:formatCode>0.00</c:formatCode>
                <c:ptCount val="5"/>
                <c:pt idx="0">
                  <c:v>8.1121292687333835</c:v>
                </c:pt>
                <c:pt idx="1">
                  <c:v>10.323703621803478</c:v>
                </c:pt>
                <c:pt idx="2">
                  <c:v>7.1747004676025981</c:v>
                </c:pt>
                <c:pt idx="3">
                  <c:v>5.0145001516597496</c:v>
                </c:pt>
                <c:pt idx="4">
                  <c:v>3.3292817065277385</c:v>
                </c:pt>
              </c:numCache>
            </c:numRef>
          </c:val>
          <c:extLst>
            <c:ext xmlns:c16="http://schemas.microsoft.com/office/drawing/2014/chart" uri="{C3380CC4-5D6E-409C-BE32-E72D297353CC}">
              <c16:uniqueId val="{00000003-1D05-4495-AF22-91728FFC0C56}"/>
            </c:ext>
          </c:extLst>
        </c:ser>
        <c:ser>
          <c:idx val="4"/>
          <c:order val="4"/>
          <c:tx>
            <c:strRef>
              <c:f>'FINANCIAL RATIOS'!$B$119</c:f>
              <c:strCache>
                <c:ptCount val="1"/>
                <c:pt idx="0">
                  <c:v>KDP</c:v>
                </c:pt>
              </c:strCache>
            </c:strRef>
          </c:tx>
          <c:spPr>
            <a:solidFill>
              <a:schemeClr val="accent5"/>
            </a:solidFill>
            <a:ln>
              <a:noFill/>
            </a:ln>
            <a:effectLst/>
          </c:spPr>
          <c:invertIfNegative val="0"/>
          <c:cat>
            <c:numRef>
              <c:f>'FINANCIAL RATIOS'!$C$114:$G$114</c:f>
              <c:numCache>
                <c:formatCode>General</c:formatCode>
                <c:ptCount val="5"/>
                <c:pt idx="0">
                  <c:v>2021</c:v>
                </c:pt>
                <c:pt idx="1">
                  <c:v>2022</c:v>
                </c:pt>
                <c:pt idx="2">
                  <c:v>2023</c:v>
                </c:pt>
                <c:pt idx="3">
                  <c:v>2024</c:v>
                </c:pt>
                <c:pt idx="4">
                  <c:v>2025</c:v>
                </c:pt>
              </c:numCache>
            </c:numRef>
          </c:cat>
          <c:val>
            <c:numRef>
              <c:f>'FINANCIAL RATIOS'!$C$119:$G$119</c:f>
              <c:numCache>
                <c:formatCode>0.00</c:formatCode>
                <c:ptCount val="5"/>
                <c:pt idx="0">
                  <c:v>11.047909407665506</c:v>
                </c:pt>
                <c:pt idx="1">
                  <c:v>9.4723719676549862</c:v>
                </c:pt>
                <c:pt idx="2">
                  <c:v>10.828947368421053</c:v>
                </c:pt>
                <c:pt idx="3">
                  <c:v>10.220372836218376</c:v>
                </c:pt>
                <c:pt idx="4">
                  <c:v>9.9359664871334523</c:v>
                </c:pt>
              </c:numCache>
            </c:numRef>
          </c:val>
          <c:extLst>
            <c:ext xmlns:c16="http://schemas.microsoft.com/office/drawing/2014/chart" uri="{C3380CC4-5D6E-409C-BE32-E72D297353CC}">
              <c16:uniqueId val="{00000004-1D05-4495-AF22-91728FFC0C56}"/>
            </c:ext>
          </c:extLst>
        </c:ser>
        <c:dLbls>
          <c:showLegendKey val="0"/>
          <c:showVal val="0"/>
          <c:showCatName val="0"/>
          <c:showSerName val="0"/>
          <c:showPercent val="0"/>
          <c:showBubbleSize val="0"/>
        </c:dLbls>
        <c:gapWidth val="219"/>
        <c:overlap val="-27"/>
        <c:axId val="677312519"/>
        <c:axId val="898301959"/>
      </c:barChart>
      <c:catAx>
        <c:axId val="677312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01959"/>
        <c:crosses val="autoZero"/>
        <c:auto val="1"/>
        <c:lblAlgn val="ctr"/>
        <c:lblOffset val="100"/>
        <c:noMultiLvlLbl val="0"/>
      </c:catAx>
      <c:valAx>
        <c:axId val="898301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12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Days Sales in Receivable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RATIOS'!$B$122</c:f>
              <c:strCache>
                <c:ptCount val="1"/>
                <c:pt idx="0">
                  <c:v>Monster</c:v>
                </c:pt>
              </c:strCache>
            </c:strRef>
          </c:tx>
          <c:spPr>
            <a:solidFill>
              <a:schemeClr val="accent1"/>
            </a:solidFill>
            <a:ln>
              <a:noFill/>
            </a:ln>
            <a:effectLst/>
          </c:spPr>
          <c:invertIfNegative val="0"/>
          <c:cat>
            <c:numRef>
              <c:f>'FINANCIAL RATIOS'!$C$121:$G$121</c:f>
              <c:numCache>
                <c:formatCode>General</c:formatCode>
                <c:ptCount val="5"/>
                <c:pt idx="0">
                  <c:v>2021</c:v>
                </c:pt>
                <c:pt idx="1">
                  <c:v>2022</c:v>
                </c:pt>
                <c:pt idx="2">
                  <c:v>2023</c:v>
                </c:pt>
                <c:pt idx="3">
                  <c:v>2024</c:v>
                </c:pt>
                <c:pt idx="4">
                  <c:v>2025</c:v>
                </c:pt>
              </c:numCache>
            </c:numRef>
          </c:cat>
          <c:val>
            <c:numRef>
              <c:f>'FINANCIAL RATIOS'!$C$122:$G$122</c:f>
              <c:numCache>
                <c:formatCode>0.00</c:formatCode>
                <c:ptCount val="5"/>
                <c:pt idx="0">
                  <c:v>59.061429412894185</c:v>
                </c:pt>
                <c:pt idx="1">
                  <c:v>58.772168656562691</c:v>
                </c:pt>
                <c:pt idx="2">
                  <c:v>61.035743982480739</c:v>
                </c:pt>
                <c:pt idx="3">
                  <c:v>59.51129157691831</c:v>
                </c:pt>
                <c:pt idx="4">
                  <c:v>71.204709040848684</c:v>
                </c:pt>
              </c:numCache>
            </c:numRef>
          </c:val>
          <c:extLst>
            <c:ext xmlns:c16="http://schemas.microsoft.com/office/drawing/2014/chart" uri="{C3380CC4-5D6E-409C-BE32-E72D297353CC}">
              <c16:uniqueId val="{00000000-78F8-4C56-A375-D4D52B6341A5}"/>
            </c:ext>
          </c:extLst>
        </c:ser>
        <c:ser>
          <c:idx val="1"/>
          <c:order val="1"/>
          <c:tx>
            <c:strRef>
              <c:f>'FINANCIAL RATIOS'!$B$123</c:f>
              <c:strCache>
                <c:ptCount val="1"/>
                <c:pt idx="0">
                  <c:v>PepsiCo</c:v>
                </c:pt>
              </c:strCache>
            </c:strRef>
          </c:tx>
          <c:spPr>
            <a:solidFill>
              <a:schemeClr val="accent2"/>
            </a:solidFill>
            <a:ln>
              <a:noFill/>
            </a:ln>
            <a:effectLst/>
          </c:spPr>
          <c:invertIfNegative val="0"/>
          <c:cat>
            <c:numRef>
              <c:f>'FINANCIAL RATIOS'!$C$121:$G$121</c:f>
              <c:numCache>
                <c:formatCode>General</c:formatCode>
                <c:ptCount val="5"/>
                <c:pt idx="0">
                  <c:v>2021</c:v>
                </c:pt>
                <c:pt idx="1">
                  <c:v>2022</c:v>
                </c:pt>
                <c:pt idx="2">
                  <c:v>2023</c:v>
                </c:pt>
                <c:pt idx="3">
                  <c:v>2024</c:v>
                </c:pt>
                <c:pt idx="4">
                  <c:v>2025</c:v>
                </c:pt>
              </c:numCache>
            </c:numRef>
          </c:cat>
          <c:val>
            <c:numRef>
              <c:f>'FINANCIAL RATIOS'!$C$123:$G$123</c:f>
              <c:numCache>
                <c:formatCode>0.00</c:formatCode>
                <c:ptCount val="5"/>
                <c:pt idx="0">
                  <c:v>39.864609809497445</c:v>
                </c:pt>
                <c:pt idx="1">
                  <c:v>42.937945643115107</c:v>
                </c:pt>
                <c:pt idx="2">
                  <c:v>43.155480972111377</c:v>
                </c:pt>
                <c:pt idx="3">
                  <c:v>41.060215124001132</c:v>
                </c:pt>
                <c:pt idx="4">
                  <c:v>44.713228639872241</c:v>
                </c:pt>
              </c:numCache>
            </c:numRef>
          </c:val>
          <c:extLst>
            <c:ext xmlns:c16="http://schemas.microsoft.com/office/drawing/2014/chart" uri="{C3380CC4-5D6E-409C-BE32-E72D297353CC}">
              <c16:uniqueId val="{00000001-78F8-4C56-A375-D4D52B6341A5}"/>
            </c:ext>
          </c:extLst>
        </c:ser>
        <c:ser>
          <c:idx val="2"/>
          <c:order val="2"/>
          <c:tx>
            <c:strRef>
              <c:f>'FINANCIAL RATIOS'!$B$124</c:f>
              <c:strCache>
                <c:ptCount val="1"/>
                <c:pt idx="0">
                  <c:v>Coca-Cola</c:v>
                </c:pt>
              </c:strCache>
            </c:strRef>
          </c:tx>
          <c:spPr>
            <a:solidFill>
              <a:schemeClr val="accent3"/>
            </a:solidFill>
            <a:ln>
              <a:noFill/>
            </a:ln>
            <a:effectLst/>
          </c:spPr>
          <c:invertIfNegative val="0"/>
          <c:cat>
            <c:numRef>
              <c:f>'FINANCIAL RATIOS'!$C$121:$G$121</c:f>
              <c:numCache>
                <c:formatCode>General</c:formatCode>
                <c:ptCount val="5"/>
                <c:pt idx="0">
                  <c:v>2021</c:v>
                </c:pt>
                <c:pt idx="1">
                  <c:v>2022</c:v>
                </c:pt>
                <c:pt idx="2">
                  <c:v>2023</c:v>
                </c:pt>
                <c:pt idx="3">
                  <c:v>2024</c:v>
                </c:pt>
                <c:pt idx="4">
                  <c:v>2025</c:v>
                </c:pt>
              </c:numCache>
            </c:numRef>
          </c:cat>
          <c:val>
            <c:numRef>
              <c:f>'FINANCIAL RATIOS'!$C$124:$G$124</c:f>
              <c:numCache>
                <c:formatCode>0.00</c:formatCode>
                <c:ptCount val="5"/>
                <c:pt idx="0">
                  <c:v>33.16207476393739</c:v>
                </c:pt>
                <c:pt idx="1">
                  <c:v>29.596200353455494</c:v>
                </c:pt>
                <c:pt idx="2">
                  <c:v>27.203086068977576</c:v>
                </c:pt>
                <c:pt idx="3">
                  <c:v>27.680776014109348</c:v>
                </c:pt>
                <c:pt idx="4">
                  <c:v>23.129888821676644</c:v>
                </c:pt>
              </c:numCache>
            </c:numRef>
          </c:val>
          <c:extLst>
            <c:ext xmlns:c16="http://schemas.microsoft.com/office/drawing/2014/chart" uri="{C3380CC4-5D6E-409C-BE32-E72D297353CC}">
              <c16:uniqueId val="{00000002-78F8-4C56-A375-D4D52B6341A5}"/>
            </c:ext>
          </c:extLst>
        </c:ser>
        <c:ser>
          <c:idx val="3"/>
          <c:order val="3"/>
          <c:tx>
            <c:strRef>
              <c:f>'FINANCIAL RATIOS'!$B$125</c:f>
              <c:strCache>
                <c:ptCount val="1"/>
                <c:pt idx="0">
                  <c:v>CELH</c:v>
                </c:pt>
              </c:strCache>
            </c:strRef>
          </c:tx>
          <c:spPr>
            <a:solidFill>
              <a:schemeClr val="accent4"/>
            </a:solidFill>
            <a:ln>
              <a:noFill/>
            </a:ln>
            <a:effectLst/>
          </c:spPr>
          <c:invertIfNegative val="0"/>
          <c:cat>
            <c:numRef>
              <c:f>'FINANCIAL RATIOS'!$C$121:$G$121</c:f>
              <c:numCache>
                <c:formatCode>General</c:formatCode>
                <c:ptCount val="5"/>
                <c:pt idx="0">
                  <c:v>2021</c:v>
                </c:pt>
                <c:pt idx="1">
                  <c:v>2022</c:v>
                </c:pt>
                <c:pt idx="2">
                  <c:v>2023</c:v>
                </c:pt>
                <c:pt idx="3">
                  <c:v>2024</c:v>
                </c:pt>
                <c:pt idx="4">
                  <c:v>2025</c:v>
                </c:pt>
              </c:numCache>
            </c:numRef>
          </c:cat>
          <c:val>
            <c:numRef>
              <c:f>'FINANCIAL RATIOS'!$C$125:$G$125</c:f>
              <c:numCache>
                <c:formatCode>0.00</c:formatCode>
                <c:ptCount val="5"/>
                <c:pt idx="0">
                  <c:v>44.994352026270235</c:v>
                </c:pt>
                <c:pt idx="1">
                  <c:v>35.355528729934335</c:v>
                </c:pt>
                <c:pt idx="2">
                  <c:v>50.873203926513675</c:v>
                </c:pt>
                <c:pt idx="3">
                  <c:v>72.788909953305847</c:v>
                </c:pt>
                <c:pt idx="4">
                  <c:v>109.63325791396467</c:v>
                </c:pt>
              </c:numCache>
            </c:numRef>
          </c:val>
          <c:extLst>
            <c:ext xmlns:c16="http://schemas.microsoft.com/office/drawing/2014/chart" uri="{C3380CC4-5D6E-409C-BE32-E72D297353CC}">
              <c16:uniqueId val="{00000003-78F8-4C56-A375-D4D52B6341A5}"/>
            </c:ext>
          </c:extLst>
        </c:ser>
        <c:ser>
          <c:idx val="4"/>
          <c:order val="4"/>
          <c:tx>
            <c:strRef>
              <c:f>'FINANCIAL RATIOS'!$B$126</c:f>
              <c:strCache>
                <c:ptCount val="1"/>
                <c:pt idx="0">
                  <c:v>KDP</c:v>
                </c:pt>
              </c:strCache>
            </c:strRef>
          </c:tx>
          <c:spPr>
            <a:solidFill>
              <a:schemeClr val="accent5"/>
            </a:solidFill>
            <a:ln>
              <a:noFill/>
            </a:ln>
            <a:effectLst/>
          </c:spPr>
          <c:invertIfNegative val="0"/>
          <c:cat>
            <c:numRef>
              <c:f>'FINANCIAL RATIOS'!$C$121:$G$121</c:f>
              <c:numCache>
                <c:formatCode>General</c:formatCode>
                <c:ptCount val="5"/>
                <c:pt idx="0">
                  <c:v>2021</c:v>
                </c:pt>
                <c:pt idx="1">
                  <c:v>2022</c:v>
                </c:pt>
                <c:pt idx="2">
                  <c:v>2023</c:v>
                </c:pt>
                <c:pt idx="3">
                  <c:v>2024</c:v>
                </c:pt>
                <c:pt idx="4">
                  <c:v>2025</c:v>
                </c:pt>
              </c:numCache>
            </c:numRef>
          </c:cat>
          <c:val>
            <c:numRef>
              <c:f>'FINANCIAL RATIOS'!$C$126:$G$126</c:f>
              <c:numCache>
                <c:formatCode>0.00</c:formatCode>
                <c:ptCount val="5"/>
                <c:pt idx="0">
                  <c:v>33.037924781203188</c:v>
                </c:pt>
                <c:pt idx="1">
                  <c:v>38.533115173934696</c:v>
                </c:pt>
                <c:pt idx="2">
                  <c:v>33.705953827460512</c:v>
                </c:pt>
                <c:pt idx="3">
                  <c:v>35.712982867565628</c:v>
                </c:pt>
                <c:pt idx="4">
                  <c:v>36.735228573149435</c:v>
                </c:pt>
              </c:numCache>
            </c:numRef>
          </c:val>
          <c:extLst>
            <c:ext xmlns:c16="http://schemas.microsoft.com/office/drawing/2014/chart" uri="{C3380CC4-5D6E-409C-BE32-E72D297353CC}">
              <c16:uniqueId val="{00000004-78F8-4C56-A375-D4D52B6341A5}"/>
            </c:ext>
          </c:extLst>
        </c:ser>
        <c:dLbls>
          <c:showLegendKey val="0"/>
          <c:showVal val="0"/>
          <c:showCatName val="0"/>
          <c:showSerName val="0"/>
          <c:showPercent val="0"/>
          <c:showBubbleSize val="0"/>
        </c:dLbls>
        <c:gapWidth val="219"/>
        <c:overlap val="-27"/>
        <c:axId val="77818375"/>
        <c:axId val="77833223"/>
      </c:barChart>
      <c:catAx>
        <c:axId val="77818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33223"/>
        <c:crosses val="autoZero"/>
        <c:auto val="1"/>
        <c:lblAlgn val="ctr"/>
        <c:lblOffset val="100"/>
        <c:noMultiLvlLbl val="0"/>
      </c:catAx>
      <c:valAx>
        <c:axId val="77833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18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 cycle in Days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RATIOS'!$B$129</c:f>
              <c:strCache>
                <c:ptCount val="1"/>
                <c:pt idx="0">
                  <c:v>Monster</c:v>
                </c:pt>
              </c:strCache>
            </c:strRef>
          </c:tx>
          <c:spPr>
            <a:solidFill>
              <a:schemeClr val="accent1"/>
            </a:solidFill>
            <a:ln>
              <a:noFill/>
            </a:ln>
            <a:effectLst/>
          </c:spPr>
          <c:invertIfNegative val="0"/>
          <c:cat>
            <c:numRef>
              <c:f>'FINANCIAL RATIOS'!$C$128:$G$128</c:f>
              <c:numCache>
                <c:formatCode>General</c:formatCode>
                <c:ptCount val="5"/>
                <c:pt idx="0">
                  <c:v>2021</c:v>
                </c:pt>
                <c:pt idx="1">
                  <c:v>2022</c:v>
                </c:pt>
                <c:pt idx="2">
                  <c:v>2023</c:v>
                </c:pt>
                <c:pt idx="3">
                  <c:v>2024</c:v>
                </c:pt>
                <c:pt idx="4">
                  <c:v>2025</c:v>
                </c:pt>
              </c:numCache>
            </c:numRef>
          </c:cat>
          <c:val>
            <c:numRef>
              <c:f>'FINANCIAL RATIOS'!$C$129:$G$129</c:f>
              <c:numCache>
                <c:formatCode>0.00</c:formatCode>
                <c:ptCount val="5"/>
                <c:pt idx="0">
                  <c:v>148.08306421897876</c:v>
                </c:pt>
                <c:pt idx="1">
                  <c:v>167.65377745214678</c:v>
                </c:pt>
                <c:pt idx="2">
                  <c:v>167.00769825020757</c:v>
                </c:pt>
                <c:pt idx="3">
                  <c:v>137.63476947115876</c:v>
                </c:pt>
                <c:pt idx="4">
                  <c:v>150.90175978811504</c:v>
                </c:pt>
              </c:numCache>
            </c:numRef>
          </c:val>
          <c:extLst>
            <c:ext xmlns:c16="http://schemas.microsoft.com/office/drawing/2014/chart" uri="{C3380CC4-5D6E-409C-BE32-E72D297353CC}">
              <c16:uniqueId val="{00000000-5DB5-4182-8605-15558601BE20}"/>
            </c:ext>
          </c:extLst>
        </c:ser>
        <c:ser>
          <c:idx val="1"/>
          <c:order val="1"/>
          <c:tx>
            <c:strRef>
              <c:f>'FINANCIAL RATIOS'!$B$130</c:f>
              <c:strCache>
                <c:ptCount val="1"/>
                <c:pt idx="0">
                  <c:v>PepsiCo</c:v>
                </c:pt>
              </c:strCache>
            </c:strRef>
          </c:tx>
          <c:spPr>
            <a:solidFill>
              <a:schemeClr val="accent2"/>
            </a:solidFill>
            <a:ln>
              <a:noFill/>
            </a:ln>
            <a:effectLst/>
          </c:spPr>
          <c:invertIfNegative val="0"/>
          <c:cat>
            <c:numRef>
              <c:f>'FINANCIAL RATIOS'!$C$128:$G$128</c:f>
              <c:numCache>
                <c:formatCode>General</c:formatCode>
                <c:ptCount val="5"/>
                <c:pt idx="0">
                  <c:v>2021</c:v>
                </c:pt>
                <c:pt idx="1">
                  <c:v>2022</c:v>
                </c:pt>
                <c:pt idx="2">
                  <c:v>2023</c:v>
                </c:pt>
                <c:pt idx="3">
                  <c:v>2024</c:v>
                </c:pt>
                <c:pt idx="4">
                  <c:v>2025</c:v>
                </c:pt>
              </c:numCache>
            </c:numRef>
          </c:cat>
          <c:val>
            <c:numRef>
              <c:f>'FINANCIAL RATIOS'!$C$130:$G$130</c:f>
              <c:numCache>
                <c:formatCode>0.00</c:formatCode>
                <c:ptCount val="5"/>
                <c:pt idx="0">
                  <c:v>82.660429094730091</c:v>
                </c:pt>
                <c:pt idx="1">
                  <c:v>89.912265438067777</c:v>
                </c:pt>
                <c:pt idx="2">
                  <c:v>89.642193323774421</c:v>
                </c:pt>
                <c:pt idx="3">
                  <c:v>87.454667021279789</c:v>
                </c:pt>
                <c:pt idx="4">
                  <c:v>94.251727687845118</c:v>
                </c:pt>
              </c:numCache>
            </c:numRef>
          </c:val>
          <c:extLst>
            <c:ext xmlns:c16="http://schemas.microsoft.com/office/drawing/2014/chart" uri="{C3380CC4-5D6E-409C-BE32-E72D297353CC}">
              <c16:uniqueId val="{00000001-5DB5-4182-8605-15558601BE20}"/>
            </c:ext>
          </c:extLst>
        </c:ser>
        <c:ser>
          <c:idx val="2"/>
          <c:order val="2"/>
          <c:tx>
            <c:strRef>
              <c:f>'FINANCIAL RATIOS'!$B$131</c:f>
              <c:strCache>
                <c:ptCount val="1"/>
                <c:pt idx="0">
                  <c:v>Coca-Cola</c:v>
                </c:pt>
              </c:strCache>
            </c:strRef>
          </c:tx>
          <c:spPr>
            <a:solidFill>
              <a:schemeClr val="accent3"/>
            </a:solidFill>
            <a:ln>
              <a:noFill/>
            </a:ln>
            <a:effectLst/>
          </c:spPr>
          <c:invertIfNegative val="0"/>
          <c:cat>
            <c:numRef>
              <c:f>'FINANCIAL RATIOS'!$C$128:$G$128</c:f>
              <c:numCache>
                <c:formatCode>General</c:formatCode>
                <c:ptCount val="5"/>
                <c:pt idx="0">
                  <c:v>2021</c:v>
                </c:pt>
                <c:pt idx="1">
                  <c:v>2022</c:v>
                </c:pt>
                <c:pt idx="2">
                  <c:v>2023</c:v>
                </c:pt>
                <c:pt idx="3">
                  <c:v>2024</c:v>
                </c:pt>
                <c:pt idx="4">
                  <c:v>2025</c:v>
                </c:pt>
              </c:numCache>
            </c:numRef>
          </c:cat>
          <c:val>
            <c:numRef>
              <c:f>'FINANCIAL RATIOS'!$C$131:$G$131</c:f>
              <c:numCache>
                <c:formatCode>0.00</c:formatCode>
                <c:ptCount val="5"/>
                <c:pt idx="0">
                  <c:v>114.30487609232185</c:v>
                </c:pt>
                <c:pt idx="1">
                  <c:v>115.43203368678883</c:v>
                </c:pt>
                <c:pt idx="2">
                  <c:v>114.39315086379401</c:v>
                </c:pt>
                <c:pt idx="3">
                  <c:v>121.85890306060574</c:v>
                </c:pt>
                <c:pt idx="4">
                  <c:v>110.92273548145813</c:v>
                </c:pt>
              </c:numCache>
            </c:numRef>
          </c:val>
          <c:extLst>
            <c:ext xmlns:c16="http://schemas.microsoft.com/office/drawing/2014/chart" uri="{C3380CC4-5D6E-409C-BE32-E72D297353CC}">
              <c16:uniqueId val="{00000002-5DB5-4182-8605-15558601BE20}"/>
            </c:ext>
          </c:extLst>
        </c:ser>
        <c:ser>
          <c:idx val="3"/>
          <c:order val="3"/>
          <c:tx>
            <c:strRef>
              <c:f>'FINANCIAL RATIOS'!$B$132</c:f>
              <c:strCache>
                <c:ptCount val="1"/>
                <c:pt idx="0">
                  <c:v>CELH</c:v>
                </c:pt>
              </c:strCache>
            </c:strRef>
          </c:tx>
          <c:spPr>
            <a:solidFill>
              <a:schemeClr val="accent4"/>
            </a:solidFill>
            <a:ln>
              <a:noFill/>
            </a:ln>
            <a:effectLst/>
          </c:spPr>
          <c:invertIfNegative val="0"/>
          <c:cat>
            <c:numRef>
              <c:f>'FINANCIAL RATIOS'!$C$128:$G$128</c:f>
              <c:numCache>
                <c:formatCode>General</c:formatCode>
                <c:ptCount val="5"/>
                <c:pt idx="0">
                  <c:v>2021</c:v>
                </c:pt>
                <c:pt idx="1">
                  <c:v>2022</c:v>
                </c:pt>
                <c:pt idx="2">
                  <c:v>2023</c:v>
                </c:pt>
                <c:pt idx="3">
                  <c:v>2024</c:v>
                </c:pt>
                <c:pt idx="4">
                  <c:v>2025</c:v>
                </c:pt>
              </c:numCache>
            </c:numRef>
          </c:cat>
          <c:val>
            <c:numRef>
              <c:f>'FINANCIAL RATIOS'!$C$132:$G$132</c:f>
              <c:numCache>
                <c:formatCode>0.00</c:formatCode>
                <c:ptCount val="5"/>
                <c:pt idx="0">
                  <c:v>420.03414182009408</c:v>
                </c:pt>
                <c:pt idx="1">
                  <c:v>200.61474202372767</c:v>
                </c:pt>
                <c:pt idx="2">
                  <c:v>173.06393216159307</c:v>
                </c:pt>
                <c:pt idx="3">
                  <c:v>143.67074992618211</c:v>
                </c:pt>
                <c:pt idx="4">
                  <c:v>208.40416443481189</c:v>
                </c:pt>
              </c:numCache>
            </c:numRef>
          </c:val>
          <c:extLst>
            <c:ext xmlns:c16="http://schemas.microsoft.com/office/drawing/2014/chart" uri="{C3380CC4-5D6E-409C-BE32-E72D297353CC}">
              <c16:uniqueId val="{00000003-5DB5-4182-8605-15558601BE20}"/>
            </c:ext>
          </c:extLst>
        </c:ser>
        <c:ser>
          <c:idx val="4"/>
          <c:order val="4"/>
          <c:tx>
            <c:strRef>
              <c:f>'FINANCIAL RATIOS'!$B$133</c:f>
              <c:strCache>
                <c:ptCount val="1"/>
                <c:pt idx="0">
                  <c:v>KDP</c:v>
                </c:pt>
              </c:strCache>
            </c:strRef>
          </c:tx>
          <c:spPr>
            <a:solidFill>
              <a:schemeClr val="accent5"/>
            </a:solidFill>
            <a:ln>
              <a:noFill/>
            </a:ln>
            <a:effectLst/>
          </c:spPr>
          <c:invertIfNegative val="0"/>
          <c:cat>
            <c:numRef>
              <c:f>'FINANCIAL RATIOS'!$C$128:$G$128</c:f>
              <c:numCache>
                <c:formatCode>General</c:formatCode>
                <c:ptCount val="5"/>
                <c:pt idx="0">
                  <c:v>2021</c:v>
                </c:pt>
                <c:pt idx="1">
                  <c:v>2022</c:v>
                </c:pt>
                <c:pt idx="2">
                  <c:v>2023</c:v>
                </c:pt>
                <c:pt idx="3">
                  <c:v>2024</c:v>
                </c:pt>
                <c:pt idx="4">
                  <c:v>2025</c:v>
                </c:pt>
              </c:numCache>
            </c:numRef>
          </c:cat>
          <c:val>
            <c:numRef>
              <c:f>'FINANCIAL RATIOS'!$C$133:$G$133</c:f>
              <c:numCache>
                <c:formatCode>0.00</c:formatCode>
                <c:ptCount val="5"/>
                <c:pt idx="0">
                  <c:v>94.830774413169536</c:v>
                </c:pt>
                <c:pt idx="1">
                  <c:v>114.57929872011823</c:v>
                </c:pt>
                <c:pt idx="2">
                  <c:v>101.62175424326094</c:v>
                </c:pt>
                <c:pt idx="3">
                  <c:v>105.21386237504144</c:v>
                </c:pt>
                <c:pt idx="4">
                  <c:v>119.92105182406999</c:v>
                </c:pt>
              </c:numCache>
            </c:numRef>
          </c:val>
          <c:extLst>
            <c:ext xmlns:c16="http://schemas.microsoft.com/office/drawing/2014/chart" uri="{C3380CC4-5D6E-409C-BE32-E72D297353CC}">
              <c16:uniqueId val="{00000004-5DB5-4182-8605-15558601BE20}"/>
            </c:ext>
          </c:extLst>
        </c:ser>
        <c:dLbls>
          <c:showLegendKey val="0"/>
          <c:showVal val="0"/>
          <c:showCatName val="0"/>
          <c:showSerName val="0"/>
          <c:showPercent val="0"/>
          <c:showBubbleSize val="0"/>
        </c:dLbls>
        <c:gapWidth val="219"/>
        <c:overlap val="-27"/>
        <c:axId val="1871693832"/>
        <c:axId val="1065632776"/>
      </c:barChart>
      <c:catAx>
        <c:axId val="1871693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632776"/>
        <c:crosses val="autoZero"/>
        <c:auto val="1"/>
        <c:lblAlgn val="ctr"/>
        <c:lblOffset val="100"/>
        <c:noMultiLvlLbl val="0"/>
      </c:catAx>
      <c:valAx>
        <c:axId val="1065632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693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 Profit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RATIOS'!$B$148</c:f>
              <c:strCache>
                <c:ptCount val="1"/>
                <c:pt idx="0">
                  <c:v>Monster</c:v>
                </c:pt>
              </c:strCache>
            </c:strRef>
          </c:tx>
          <c:spPr>
            <a:solidFill>
              <a:schemeClr val="accent1"/>
            </a:solidFill>
            <a:ln>
              <a:noFill/>
            </a:ln>
            <a:effectLst/>
          </c:spPr>
          <c:invertIfNegative val="0"/>
          <c:cat>
            <c:numRef>
              <c:f>'FINANCIAL RATIOS'!$C$147:$G$147</c:f>
              <c:numCache>
                <c:formatCode>General</c:formatCode>
                <c:ptCount val="5"/>
                <c:pt idx="0">
                  <c:v>2021</c:v>
                </c:pt>
                <c:pt idx="1">
                  <c:v>2022</c:v>
                </c:pt>
                <c:pt idx="2">
                  <c:v>2023</c:v>
                </c:pt>
                <c:pt idx="3">
                  <c:v>2024</c:v>
                </c:pt>
                <c:pt idx="4">
                  <c:v>2025</c:v>
                </c:pt>
              </c:numCache>
            </c:numRef>
          </c:cat>
          <c:val>
            <c:numRef>
              <c:f>'FINANCIAL RATIOS'!$C$148:$G$148</c:f>
              <c:numCache>
                <c:formatCode>0.00%</c:formatCode>
                <c:ptCount val="5"/>
                <c:pt idx="0">
                  <c:v>0.32437336592225147</c:v>
                </c:pt>
                <c:pt idx="1">
                  <c:v>0.25110258990183881</c:v>
                </c:pt>
                <c:pt idx="2">
                  <c:v>0.27357809711363834</c:v>
                </c:pt>
                <c:pt idx="3">
                  <c:v>0.25762297721691846</c:v>
                </c:pt>
                <c:pt idx="4">
                  <c:v>0.29168723791625212</c:v>
                </c:pt>
              </c:numCache>
            </c:numRef>
          </c:val>
          <c:extLst>
            <c:ext xmlns:c16="http://schemas.microsoft.com/office/drawing/2014/chart" uri="{C3380CC4-5D6E-409C-BE32-E72D297353CC}">
              <c16:uniqueId val="{00000000-518E-4375-B1CC-5441BFD65DD4}"/>
            </c:ext>
          </c:extLst>
        </c:ser>
        <c:ser>
          <c:idx val="1"/>
          <c:order val="1"/>
          <c:tx>
            <c:strRef>
              <c:f>'FINANCIAL RATIOS'!$B$149</c:f>
              <c:strCache>
                <c:ptCount val="1"/>
                <c:pt idx="0">
                  <c:v>PepsiCo</c:v>
                </c:pt>
              </c:strCache>
            </c:strRef>
          </c:tx>
          <c:spPr>
            <a:solidFill>
              <a:schemeClr val="accent2"/>
            </a:solidFill>
            <a:ln>
              <a:noFill/>
            </a:ln>
            <a:effectLst/>
          </c:spPr>
          <c:invertIfNegative val="0"/>
          <c:cat>
            <c:numRef>
              <c:f>'FINANCIAL RATIOS'!$C$147:$G$147</c:f>
              <c:numCache>
                <c:formatCode>General</c:formatCode>
                <c:ptCount val="5"/>
                <c:pt idx="0">
                  <c:v>2021</c:v>
                </c:pt>
                <c:pt idx="1">
                  <c:v>2022</c:v>
                </c:pt>
                <c:pt idx="2">
                  <c:v>2023</c:v>
                </c:pt>
                <c:pt idx="3">
                  <c:v>2024</c:v>
                </c:pt>
                <c:pt idx="4">
                  <c:v>2025</c:v>
                </c:pt>
              </c:numCache>
            </c:numRef>
          </c:cat>
          <c:val>
            <c:numRef>
              <c:f>'FINANCIAL RATIOS'!$C$149:$G$149</c:f>
              <c:numCache>
                <c:formatCode>0.00%</c:formatCode>
                <c:ptCount val="5"/>
                <c:pt idx="0">
                  <c:v>0.14044844854921107</c:v>
                </c:pt>
                <c:pt idx="1">
                  <c:v>0.13325307898879526</c:v>
                </c:pt>
                <c:pt idx="2">
                  <c:v>0.13103606607558679</c:v>
                </c:pt>
                <c:pt idx="3">
                  <c:v>0.14029873494894071</c:v>
                </c:pt>
                <c:pt idx="4">
                  <c:v>0.12241682193239287</c:v>
                </c:pt>
              </c:numCache>
            </c:numRef>
          </c:val>
          <c:extLst>
            <c:ext xmlns:c16="http://schemas.microsoft.com/office/drawing/2014/chart" uri="{C3380CC4-5D6E-409C-BE32-E72D297353CC}">
              <c16:uniqueId val="{00000001-518E-4375-B1CC-5441BFD65DD4}"/>
            </c:ext>
          </c:extLst>
        </c:ser>
        <c:ser>
          <c:idx val="2"/>
          <c:order val="2"/>
          <c:tx>
            <c:strRef>
              <c:f>'FINANCIAL RATIOS'!$B$150</c:f>
              <c:strCache>
                <c:ptCount val="1"/>
                <c:pt idx="0">
                  <c:v>Coca-Cola</c:v>
                </c:pt>
              </c:strCache>
            </c:strRef>
          </c:tx>
          <c:spPr>
            <a:solidFill>
              <a:schemeClr val="accent3"/>
            </a:solidFill>
            <a:ln>
              <a:noFill/>
            </a:ln>
            <a:effectLst/>
          </c:spPr>
          <c:invertIfNegative val="0"/>
          <c:cat>
            <c:numRef>
              <c:f>'FINANCIAL RATIOS'!$C$147:$G$147</c:f>
              <c:numCache>
                <c:formatCode>General</c:formatCode>
                <c:ptCount val="5"/>
                <c:pt idx="0">
                  <c:v>2021</c:v>
                </c:pt>
                <c:pt idx="1">
                  <c:v>2022</c:v>
                </c:pt>
                <c:pt idx="2">
                  <c:v>2023</c:v>
                </c:pt>
                <c:pt idx="3">
                  <c:v>2024</c:v>
                </c:pt>
                <c:pt idx="4">
                  <c:v>2025</c:v>
                </c:pt>
              </c:numCache>
            </c:numRef>
          </c:cat>
          <c:val>
            <c:numRef>
              <c:f>'FINANCIAL RATIOS'!$C$150:$G$150</c:f>
              <c:numCache>
                <c:formatCode>0.00%</c:formatCode>
                <c:ptCount val="5"/>
                <c:pt idx="0">
                  <c:v>0.26666666666666666</c:v>
                </c:pt>
                <c:pt idx="1">
                  <c:v>0.25367407683006232</c:v>
                </c:pt>
                <c:pt idx="2">
                  <c:v>0.24721335839489444</c:v>
                </c:pt>
                <c:pt idx="3">
                  <c:v>0.21232018019166612</c:v>
                </c:pt>
                <c:pt idx="4">
                  <c:v>0.28706117936630443</c:v>
                </c:pt>
              </c:numCache>
            </c:numRef>
          </c:val>
          <c:extLst>
            <c:ext xmlns:c16="http://schemas.microsoft.com/office/drawing/2014/chart" uri="{C3380CC4-5D6E-409C-BE32-E72D297353CC}">
              <c16:uniqueId val="{00000002-518E-4375-B1CC-5441BFD65DD4}"/>
            </c:ext>
          </c:extLst>
        </c:ser>
        <c:ser>
          <c:idx val="3"/>
          <c:order val="3"/>
          <c:tx>
            <c:strRef>
              <c:f>'FINANCIAL RATIOS'!$B$151</c:f>
              <c:strCache>
                <c:ptCount val="1"/>
                <c:pt idx="0">
                  <c:v>CELH</c:v>
                </c:pt>
              </c:strCache>
            </c:strRef>
          </c:tx>
          <c:spPr>
            <a:solidFill>
              <a:schemeClr val="accent4"/>
            </a:solidFill>
            <a:ln>
              <a:noFill/>
            </a:ln>
            <a:effectLst/>
          </c:spPr>
          <c:invertIfNegative val="0"/>
          <c:cat>
            <c:numRef>
              <c:f>'FINANCIAL RATIOS'!$C$147:$G$147</c:f>
              <c:numCache>
                <c:formatCode>General</c:formatCode>
                <c:ptCount val="5"/>
                <c:pt idx="0">
                  <c:v>2021</c:v>
                </c:pt>
                <c:pt idx="1">
                  <c:v>2022</c:v>
                </c:pt>
                <c:pt idx="2">
                  <c:v>2023</c:v>
                </c:pt>
                <c:pt idx="3">
                  <c:v>2024</c:v>
                </c:pt>
                <c:pt idx="4">
                  <c:v>2025</c:v>
                </c:pt>
              </c:numCache>
            </c:numRef>
          </c:cat>
          <c:val>
            <c:numRef>
              <c:f>'FINANCIAL RATIOS'!$C$151:$G$151</c:f>
              <c:numCache>
                <c:formatCode>0.00%</c:formatCode>
                <c:ptCount val="5"/>
                <c:pt idx="0">
                  <c:v>-1.3014204256185725E-2</c:v>
                </c:pt>
                <c:pt idx="1">
                  <c:v>-0.24143212097845179</c:v>
                </c:pt>
                <c:pt idx="2">
                  <c:v>0.20209648759421373</c:v>
                </c:pt>
                <c:pt idx="3">
                  <c:v>0.11487500276624153</c:v>
                </c:pt>
                <c:pt idx="4">
                  <c:v>5.6082271916045562E-2</c:v>
                </c:pt>
              </c:numCache>
            </c:numRef>
          </c:val>
          <c:extLst>
            <c:ext xmlns:c16="http://schemas.microsoft.com/office/drawing/2014/chart" uri="{C3380CC4-5D6E-409C-BE32-E72D297353CC}">
              <c16:uniqueId val="{00000003-518E-4375-B1CC-5441BFD65DD4}"/>
            </c:ext>
          </c:extLst>
        </c:ser>
        <c:ser>
          <c:idx val="4"/>
          <c:order val="4"/>
          <c:tx>
            <c:strRef>
              <c:f>'FINANCIAL RATIOS'!$B$152</c:f>
              <c:strCache>
                <c:ptCount val="1"/>
                <c:pt idx="0">
                  <c:v>KDP</c:v>
                </c:pt>
              </c:strCache>
            </c:strRef>
          </c:tx>
          <c:spPr>
            <a:solidFill>
              <a:schemeClr val="accent5"/>
            </a:solidFill>
            <a:ln>
              <a:noFill/>
            </a:ln>
            <a:effectLst/>
          </c:spPr>
          <c:invertIfNegative val="0"/>
          <c:cat>
            <c:numRef>
              <c:f>'FINANCIAL RATIOS'!$C$147:$G$147</c:f>
              <c:numCache>
                <c:formatCode>General</c:formatCode>
                <c:ptCount val="5"/>
                <c:pt idx="0">
                  <c:v>2021</c:v>
                </c:pt>
                <c:pt idx="1">
                  <c:v>2022</c:v>
                </c:pt>
                <c:pt idx="2">
                  <c:v>2023</c:v>
                </c:pt>
                <c:pt idx="3">
                  <c:v>2024</c:v>
                </c:pt>
                <c:pt idx="4">
                  <c:v>2025</c:v>
                </c:pt>
              </c:numCache>
            </c:numRef>
          </c:cat>
          <c:val>
            <c:numRef>
              <c:f>'FINANCIAL RATIOS'!$C$152:$G$152</c:f>
              <c:numCache>
                <c:formatCode>0.00%</c:formatCode>
                <c:ptCount val="5"/>
                <c:pt idx="0">
                  <c:v>0.23882362217141054</c:v>
                </c:pt>
                <c:pt idx="1">
                  <c:v>0.20445329728960659</c:v>
                </c:pt>
                <c:pt idx="2">
                  <c:v>0.2178344808964493</c:v>
                </c:pt>
                <c:pt idx="3">
                  <c:v>0.2212233730701583</c:v>
                </c:pt>
                <c:pt idx="4">
                  <c:v>0.22357405288200927</c:v>
                </c:pt>
              </c:numCache>
            </c:numRef>
          </c:val>
          <c:extLst>
            <c:ext xmlns:c16="http://schemas.microsoft.com/office/drawing/2014/chart" uri="{C3380CC4-5D6E-409C-BE32-E72D297353CC}">
              <c16:uniqueId val="{00000004-518E-4375-B1CC-5441BFD65DD4}"/>
            </c:ext>
          </c:extLst>
        </c:ser>
        <c:dLbls>
          <c:showLegendKey val="0"/>
          <c:showVal val="0"/>
          <c:showCatName val="0"/>
          <c:showSerName val="0"/>
          <c:showPercent val="0"/>
          <c:showBubbleSize val="0"/>
        </c:dLbls>
        <c:gapWidth val="219"/>
        <c:overlap val="-27"/>
        <c:axId val="823837704"/>
        <c:axId val="823839752"/>
      </c:barChart>
      <c:catAx>
        <c:axId val="823837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839752"/>
        <c:crosses val="autoZero"/>
        <c:auto val="1"/>
        <c:lblAlgn val="ctr"/>
        <c:lblOffset val="100"/>
        <c:noMultiLvlLbl val="0"/>
      </c:catAx>
      <c:valAx>
        <c:axId val="823839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837704"/>
        <c:crosses val="autoZero"/>
        <c:crossBetween val="between"/>
      </c:valAx>
      <c:spPr>
        <a:noFill/>
        <a:ln>
          <a:noFill/>
        </a:ln>
        <a:effectLst/>
      </c:spPr>
    </c:plotArea>
    <c:legend>
      <c:legendPos val="b"/>
      <c:layout>
        <c:manualLayout>
          <c:xMode val="edge"/>
          <c:yMode val="edge"/>
          <c:x val="0.12552515237920842"/>
          <c:y val="0.8655906721337252"/>
          <c:w val="0.71572710387945693"/>
          <c:h val="0.10368736166043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RATIOS'!$B$156</c:f>
              <c:strCache>
                <c:ptCount val="1"/>
                <c:pt idx="0">
                  <c:v>Monster</c:v>
                </c:pt>
              </c:strCache>
            </c:strRef>
          </c:tx>
          <c:spPr>
            <a:solidFill>
              <a:schemeClr val="accent1"/>
            </a:solidFill>
            <a:ln>
              <a:noFill/>
            </a:ln>
            <a:effectLst/>
          </c:spPr>
          <c:invertIfNegative val="0"/>
          <c:cat>
            <c:numRef>
              <c:f>'FINANCIAL RATIOS'!$C$155:$G$155</c:f>
              <c:numCache>
                <c:formatCode>General</c:formatCode>
                <c:ptCount val="5"/>
                <c:pt idx="0">
                  <c:v>2021</c:v>
                </c:pt>
                <c:pt idx="1">
                  <c:v>2022</c:v>
                </c:pt>
                <c:pt idx="2">
                  <c:v>2023</c:v>
                </c:pt>
                <c:pt idx="3">
                  <c:v>2024</c:v>
                </c:pt>
                <c:pt idx="4">
                  <c:v>2025</c:v>
                </c:pt>
              </c:numCache>
            </c:numRef>
          </c:cat>
          <c:val>
            <c:numRef>
              <c:f>'FINANCIAL RATIOS'!$C$156:$G$156</c:f>
              <c:numCache>
                <c:formatCode>0.00%</c:formatCode>
                <c:ptCount val="5"/>
                <c:pt idx="0">
                  <c:v>0.24858103221018985</c:v>
                </c:pt>
                <c:pt idx="1">
                  <c:v>0.18881549029083908</c:v>
                </c:pt>
                <c:pt idx="2">
                  <c:v>0.22842882807025797</c:v>
                </c:pt>
                <c:pt idx="3">
                  <c:v>0.20140218978209348</c:v>
                </c:pt>
                <c:pt idx="4">
                  <c:v>0.22972669444704671</c:v>
                </c:pt>
              </c:numCache>
            </c:numRef>
          </c:val>
          <c:extLst>
            <c:ext xmlns:c16="http://schemas.microsoft.com/office/drawing/2014/chart" uri="{C3380CC4-5D6E-409C-BE32-E72D297353CC}">
              <c16:uniqueId val="{00000000-FA9B-46FD-99DF-013B87E8C172}"/>
            </c:ext>
          </c:extLst>
        </c:ser>
        <c:ser>
          <c:idx val="1"/>
          <c:order val="1"/>
          <c:tx>
            <c:strRef>
              <c:f>'FINANCIAL RATIOS'!$B$157</c:f>
              <c:strCache>
                <c:ptCount val="1"/>
                <c:pt idx="0">
                  <c:v>PepsiCo</c:v>
                </c:pt>
              </c:strCache>
            </c:strRef>
          </c:tx>
          <c:spPr>
            <a:solidFill>
              <a:schemeClr val="accent2"/>
            </a:solidFill>
            <a:ln>
              <a:noFill/>
            </a:ln>
            <a:effectLst/>
          </c:spPr>
          <c:invertIfNegative val="0"/>
          <c:cat>
            <c:numRef>
              <c:f>'FINANCIAL RATIOS'!$C$155:$G$155</c:f>
              <c:numCache>
                <c:formatCode>General</c:formatCode>
                <c:ptCount val="5"/>
                <c:pt idx="0">
                  <c:v>2021</c:v>
                </c:pt>
                <c:pt idx="1">
                  <c:v>2022</c:v>
                </c:pt>
                <c:pt idx="2">
                  <c:v>2023</c:v>
                </c:pt>
                <c:pt idx="3">
                  <c:v>2024</c:v>
                </c:pt>
                <c:pt idx="4">
                  <c:v>2025</c:v>
                </c:pt>
              </c:numCache>
            </c:numRef>
          </c:cat>
          <c:val>
            <c:numRef>
              <c:f>'FINANCIAL RATIOS'!$C$157:$G$157</c:f>
              <c:numCache>
                <c:formatCode>0.00%</c:formatCode>
                <c:ptCount val="5"/>
                <c:pt idx="0">
                  <c:v>9.6622794876311743E-2</c:v>
                </c:pt>
                <c:pt idx="1">
                  <c:v>0.1039216594129086</c:v>
                </c:pt>
                <c:pt idx="2">
                  <c:v>0.10008636617069891</c:v>
                </c:pt>
                <c:pt idx="3">
                  <c:v>0.10479674265682497</c:v>
                </c:pt>
                <c:pt idx="4">
                  <c:v>8.8315145062549907E-2</c:v>
                </c:pt>
              </c:numCache>
            </c:numRef>
          </c:val>
          <c:extLst>
            <c:ext xmlns:c16="http://schemas.microsoft.com/office/drawing/2014/chart" uri="{C3380CC4-5D6E-409C-BE32-E72D297353CC}">
              <c16:uniqueId val="{00000001-FA9B-46FD-99DF-013B87E8C172}"/>
            </c:ext>
          </c:extLst>
        </c:ser>
        <c:ser>
          <c:idx val="2"/>
          <c:order val="2"/>
          <c:tx>
            <c:strRef>
              <c:f>'FINANCIAL RATIOS'!$B$158</c:f>
              <c:strCache>
                <c:ptCount val="1"/>
                <c:pt idx="0">
                  <c:v>Coca-Cola</c:v>
                </c:pt>
              </c:strCache>
            </c:strRef>
          </c:tx>
          <c:spPr>
            <a:solidFill>
              <a:schemeClr val="accent3"/>
            </a:solidFill>
            <a:ln>
              <a:noFill/>
            </a:ln>
            <a:effectLst/>
          </c:spPr>
          <c:invertIfNegative val="0"/>
          <c:cat>
            <c:numRef>
              <c:f>'FINANCIAL RATIOS'!$C$155:$G$155</c:f>
              <c:numCache>
                <c:formatCode>General</c:formatCode>
                <c:ptCount val="5"/>
                <c:pt idx="0">
                  <c:v>2021</c:v>
                </c:pt>
                <c:pt idx="1">
                  <c:v>2022</c:v>
                </c:pt>
                <c:pt idx="2">
                  <c:v>2023</c:v>
                </c:pt>
                <c:pt idx="3">
                  <c:v>2024</c:v>
                </c:pt>
                <c:pt idx="4">
                  <c:v>2025</c:v>
                </c:pt>
              </c:numCache>
            </c:numRef>
          </c:cat>
          <c:val>
            <c:numRef>
              <c:f>'FINANCIAL RATIOS'!$C$158:$G$158</c:f>
              <c:numCache>
                <c:formatCode>0.00%</c:formatCode>
                <c:ptCount val="5"/>
                <c:pt idx="0">
                  <c:v>0.25362824990298799</c:v>
                </c:pt>
                <c:pt idx="1">
                  <c:v>0.2225606920286485</c:v>
                </c:pt>
                <c:pt idx="2">
                  <c:v>0.23392490274074398</c:v>
                </c:pt>
                <c:pt idx="3">
                  <c:v>0.22628078451371625</c:v>
                </c:pt>
                <c:pt idx="4">
                  <c:v>0.27402432156191986</c:v>
                </c:pt>
              </c:numCache>
            </c:numRef>
          </c:val>
          <c:extLst>
            <c:ext xmlns:c16="http://schemas.microsoft.com/office/drawing/2014/chart" uri="{C3380CC4-5D6E-409C-BE32-E72D297353CC}">
              <c16:uniqueId val="{00000002-FA9B-46FD-99DF-013B87E8C172}"/>
            </c:ext>
          </c:extLst>
        </c:ser>
        <c:ser>
          <c:idx val="3"/>
          <c:order val="3"/>
          <c:tx>
            <c:strRef>
              <c:f>'FINANCIAL RATIOS'!$B$159</c:f>
              <c:strCache>
                <c:ptCount val="1"/>
                <c:pt idx="0">
                  <c:v>CELH</c:v>
                </c:pt>
              </c:strCache>
            </c:strRef>
          </c:tx>
          <c:spPr>
            <a:solidFill>
              <a:schemeClr val="accent4"/>
            </a:solidFill>
            <a:ln>
              <a:noFill/>
            </a:ln>
            <a:effectLst/>
          </c:spPr>
          <c:invertIfNegative val="0"/>
          <c:cat>
            <c:numRef>
              <c:f>'FINANCIAL RATIOS'!$C$155:$G$155</c:f>
              <c:numCache>
                <c:formatCode>General</c:formatCode>
                <c:ptCount val="5"/>
                <c:pt idx="0">
                  <c:v>2021</c:v>
                </c:pt>
                <c:pt idx="1">
                  <c:v>2022</c:v>
                </c:pt>
                <c:pt idx="2">
                  <c:v>2023</c:v>
                </c:pt>
                <c:pt idx="3">
                  <c:v>2024</c:v>
                </c:pt>
                <c:pt idx="4">
                  <c:v>2025</c:v>
                </c:pt>
              </c:numCache>
            </c:numRef>
          </c:cat>
          <c:val>
            <c:numRef>
              <c:f>'FINANCIAL RATIOS'!$C$159:$G$159</c:f>
              <c:numCache>
                <c:formatCode>0.00%</c:formatCode>
                <c:ptCount val="5"/>
                <c:pt idx="0">
                  <c:v>1.3405584970980551E-2</c:v>
                </c:pt>
                <c:pt idx="1">
                  <c:v>-0.28653741409171302</c:v>
                </c:pt>
                <c:pt idx="2">
                  <c:v>0.17207783832341689</c:v>
                </c:pt>
                <c:pt idx="3">
                  <c:v>0.10701592617454615</c:v>
                </c:pt>
                <c:pt idx="4">
                  <c:v>4.293735580568122E-2</c:v>
                </c:pt>
              </c:numCache>
            </c:numRef>
          </c:val>
          <c:extLst>
            <c:ext xmlns:c16="http://schemas.microsoft.com/office/drawing/2014/chart" uri="{C3380CC4-5D6E-409C-BE32-E72D297353CC}">
              <c16:uniqueId val="{00000003-FA9B-46FD-99DF-013B87E8C172}"/>
            </c:ext>
          </c:extLst>
        </c:ser>
        <c:ser>
          <c:idx val="4"/>
          <c:order val="4"/>
          <c:tx>
            <c:strRef>
              <c:f>'FINANCIAL RATIOS'!$B$160</c:f>
              <c:strCache>
                <c:ptCount val="1"/>
                <c:pt idx="0">
                  <c:v>KDP</c:v>
                </c:pt>
              </c:strCache>
            </c:strRef>
          </c:tx>
          <c:spPr>
            <a:solidFill>
              <a:schemeClr val="accent5"/>
            </a:solidFill>
            <a:ln>
              <a:noFill/>
            </a:ln>
            <a:effectLst/>
          </c:spPr>
          <c:invertIfNegative val="0"/>
          <c:cat>
            <c:numRef>
              <c:f>'FINANCIAL RATIOS'!$C$155:$G$155</c:f>
              <c:numCache>
                <c:formatCode>General</c:formatCode>
                <c:ptCount val="5"/>
                <c:pt idx="0">
                  <c:v>2021</c:v>
                </c:pt>
                <c:pt idx="1">
                  <c:v>2022</c:v>
                </c:pt>
                <c:pt idx="2">
                  <c:v>2023</c:v>
                </c:pt>
                <c:pt idx="3">
                  <c:v>2024</c:v>
                </c:pt>
                <c:pt idx="4">
                  <c:v>2025</c:v>
                </c:pt>
              </c:numCache>
            </c:numRef>
          </c:cat>
          <c:val>
            <c:numRef>
              <c:f>'FINANCIAL RATIOS'!$C$160:$G$160</c:f>
              <c:numCache>
                <c:formatCode>0.00%</c:formatCode>
                <c:ptCount val="5"/>
                <c:pt idx="0">
                  <c:v>0.16912402428447529</c:v>
                </c:pt>
                <c:pt idx="1">
                  <c:v>0.10208437077612577</c:v>
                </c:pt>
                <c:pt idx="2">
                  <c:v>0.14722559740785743</c:v>
                </c:pt>
                <c:pt idx="3">
                  <c:v>9.3870106182007682E-2</c:v>
                </c:pt>
                <c:pt idx="4">
                  <c:v>0.12521833403601759</c:v>
                </c:pt>
              </c:numCache>
            </c:numRef>
          </c:val>
          <c:extLst>
            <c:ext xmlns:c16="http://schemas.microsoft.com/office/drawing/2014/chart" uri="{C3380CC4-5D6E-409C-BE32-E72D297353CC}">
              <c16:uniqueId val="{00000004-FA9B-46FD-99DF-013B87E8C172}"/>
            </c:ext>
          </c:extLst>
        </c:ser>
        <c:dLbls>
          <c:showLegendKey val="0"/>
          <c:showVal val="0"/>
          <c:showCatName val="0"/>
          <c:showSerName val="0"/>
          <c:showPercent val="0"/>
          <c:showBubbleSize val="0"/>
        </c:dLbls>
        <c:gapWidth val="219"/>
        <c:axId val="77838343"/>
        <c:axId val="1073545223"/>
      </c:barChart>
      <c:catAx>
        <c:axId val="77838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545223"/>
        <c:crosses val="autoZero"/>
        <c:auto val="1"/>
        <c:lblAlgn val="ctr"/>
        <c:lblOffset val="100"/>
        <c:noMultiLvlLbl val="0"/>
      </c:catAx>
      <c:valAx>
        <c:axId val="1073545223"/>
        <c:scaling>
          <c:orientation val="minMax"/>
          <c:max val="0.4"/>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38343"/>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on Assets (ROA)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RATIOS'!$B$164</c:f>
              <c:strCache>
                <c:ptCount val="1"/>
                <c:pt idx="0">
                  <c:v>Monster</c:v>
                </c:pt>
              </c:strCache>
            </c:strRef>
          </c:tx>
          <c:spPr>
            <a:solidFill>
              <a:schemeClr val="accent1"/>
            </a:solidFill>
            <a:ln>
              <a:noFill/>
            </a:ln>
            <a:effectLst/>
          </c:spPr>
          <c:invertIfNegative val="0"/>
          <c:cat>
            <c:numRef>
              <c:f>'FINANCIAL RATIOS'!$C$163:$G$163</c:f>
              <c:numCache>
                <c:formatCode>General</c:formatCode>
                <c:ptCount val="5"/>
                <c:pt idx="0">
                  <c:v>2021</c:v>
                </c:pt>
                <c:pt idx="1">
                  <c:v>2022</c:v>
                </c:pt>
                <c:pt idx="2">
                  <c:v>2023</c:v>
                </c:pt>
                <c:pt idx="3">
                  <c:v>2024</c:v>
                </c:pt>
                <c:pt idx="4">
                  <c:v>2025</c:v>
                </c:pt>
              </c:numCache>
            </c:numRef>
          </c:cat>
          <c:val>
            <c:numRef>
              <c:f>'FINANCIAL RATIOS'!$C$164:$G$164</c:f>
              <c:numCache>
                <c:formatCode>0.00%</c:formatCode>
                <c:ptCount val="5"/>
                <c:pt idx="0">
                  <c:v>0.17649111109288868</c:v>
                </c:pt>
                <c:pt idx="1">
                  <c:v>0.14368852197096263</c:v>
                </c:pt>
                <c:pt idx="2">
                  <c:v>0.16837705009083753</c:v>
                </c:pt>
                <c:pt idx="3">
                  <c:v>0.19549560835482005</c:v>
                </c:pt>
                <c:pt idx="4">
                  <c:v>0.1907540786339299</c:v>
                </c:pt>
              </c:numCache>
            </c:numRef>
          </c:val>
          <c:extLst>
            <c:ext xmlns:c16="http://schemas.microsoft.com/office/drawing/2014/chart" uri="{C3380CC4-5D6E-409C-BE32-E72D297353CC}">
              <c16:uniqueId val="{00000000-B20D-4CE7-98D5-EA6F64726142}"/>
            </c:ext>
          </c:extLst>
        </c:ser>
        <c:ser>
          <c:idx val="1"/>
          <c:order val="1"/>
          <c:tx>
            <c:strRef>
              <c:f>'FINANCIAL RATIOS'!$B$165</c:f>
              <c:strCache>
                <c:ptCount val="1"/>
                <c:pt idx="0">
                  <c:v>PepsiCo</c:v>
                </c:pt>
              </c:strCache>
            </c:strRef>
          </c:tx>
          <c:spPr>
            <a:solidFill>
              <a:schemeClr val="accent2"/>
            </a:solidFill>
            <a:ln>
              <a:noFill/>
            </a:ln>
            <a:effectLst/>
          </c:spPr>
          <c:invertIfNegative val="0"/>
          <c:cat>
            <c:numRef>
              <c:f>'FINANCIAL RATIOS'!$C$163:$G$163</c:f>
              <c:numCache>
                <c:formatCode>General</c:formatCode>
                <c:ptCount val="5"/>
                <c:pt idx="0">
                  <c:v>2021</c:v>
                </c:pt>
                <c:pt idx="1">
                  <c:v>2022</c:v>
                </c:pt>
                <c:pt idx="2">
                  <c:v>2023</c:v>
                </c:pt>
                <c:pt idx="3">
                  <c:v>2024</c:v>
                </c:pt>
                <c:pt idx="4">
                  <c:v>2025</c:v>
                </c:pt>
              </c:numCache>
            </c:numRef>
          </c:cat>
          <c:val>
            <c:numRef>
              <c:f>'FINANCIAL RATIOS'!$C$165:$G$165</c:f>
              <c:numCache>
                <c:formatCode>0.00%</c:formatCode>
                <c:ptCount val="5"/>
                <c:pt idx="0">
                  <c:v>8.3126752330125467E-2</c:v>
                </c:pt>
                <c:pt idx="1">
                  <c:v>9.7378439645541617E-2</c:v>
                </c:pt>
                <c:pt idx="2">
                  <c:v>9.1099059654709186E-2</c:v>
                </c:pt>
                <c:pt idx="3">
                  <c:v>9.6775815094453432E-2</c:v>
                </c:pt>
                <c:pt idx="4">
                  <c:v>7.7235356008901385E-2</c:v>
                </c:pt>
              </c:numCache>
            </c:numRef>
          </c:val>
          <c:extLst>
            <c:ext xmlns:c16="http://schemas.microsoft.com/office/drawing/2014/chart" uri="{C3380CC4-5D6E-409C-BE32-E72D297353CC}">
              <c16:uniqueId val="{00000001-B20D-4CE7-98D5-EA6F64726142}"/>
            </c:ext>
          </c:extLst>
        </c:ser>
        <c:ser>
          <c:idx val="2"/>
          <c:order val="2"/>
          <c:tx>
            <c:strRef>
              <c:f>'FINANCIAL RATIOS'!$B$166</c:f>
              <c:strCache>
                <c:ptCount val="1"/>
                <c:pt idx="0">
                  <c:v>Coca-Cola</c:v>
                </c:pt>
              </c:strCache>
            </c:strRef>
          </c:tx>
          <c:spPr>
            <a:solidFill>
              <a:schemeClr val="accent3"/>
            </a:solidFill>
            <a:ln>
              <a:noFill/>
            </a:ln>
            <a:effectLst/>
          </c:spPr>
          <c:invertIfNegative val="0"/>
          <c:cat>
            <c:numRef>
              <c:f>'FINANCIAL RATIOS'!$C$163:$G$163</c:f>
              <c:numCache>
                <c:formatCode>General</c:formatCode>
                <c:ptCount val="5"/>
                <c:pt idx="0">
                  <c:v>2021</c:v>
                </c:pt>
                <c:pt idx="1">
                  <c:v>2022</c:v>
                </c:pt>
                <c:pt idx="2">
                  <c:v>2023</c:v>
                </c:pt>
                <c:pt idx="3">
                  <c:v>2024</c:v>
                </c:pt>
                <c:pt idx="4">
                  <c:v>2025</c:v>
                </c:pt>
              </c:numCache>
            </c:numRef>
          </c:cat>
          <c:val>
            <c:numRef>
              <c:f>'FINANCIAL RATIOS'!$C$166:$G$166</c:f>
              <c:numCache>
                <c:formatCode>0.00%</c:formatCode>
                <c:ptCount val="5"/>
                <c:pt idx="0">
                  <c:v>0.10390656463954893</c:v>
                </c:pt>
                <c:pt idx="1">
                  <c:v>0.10317691320893028</c:v>
                </c:pt>
                <c:pt idx="2">
                  <c:v>0.10954627800579307</c:v>
                </c:pt>
                <c:pt idx="3">
                  <c:v>0.10590856199464938</c:v>
                </c:pt>
                <c:pt idx="4">
                  <c:v>0.12533391848572736</c:v>
                </c:pt>
              </c:numCache>
            </c:numRef>
          </c:val>
          <c:extLst>
            <c:ext xmlns:c16="http://schemas.microsoft.com/office/drawing/2014/chart" uri="{C3380CC4-5D6E-409C-BE32-E72D297353CC}">
              <c16:uniqueId val="{00000002-B20D-4CE7-98D5-EA6F64726142}"/>
            </c:ext>
          </c:extLst>
        </c:ser>
        <c:ser>
          <c:idx val="3"/>
          <c:order val="3"/>
          <c:tx>
            <c:strRef>
              <c:f>'FINANCIAL RATIOS'!$B$167</c:f>
              <c:strCache>
                <c:ptCount val="1"/>
                <c:pt idx="0">
                  <c:v>CELH</c:v>
                </c:pt>
              </c:strCache>
            </c:strRef>
          </c:tx>
          <c:spPr>
            <a:solidFill>
              <a:schemeClr val="accent4"/>
            </a:solidFill>
            <a:ln>
              <a:noFill/>
            </a:ln>
            <a:effectLst/>
          </c:spPr>
          <c:invertIfNegative val="0"/>
          <c:cat>
            <c:numRef>
              <c:f>'FINANCIAL RATIOS'!$C$163:$G$163</c:f>
              <c:numCache>
                <c:formatCode>General</c:formatCode>
                <c:ptCount val="5"/>
                <c:pt idx="0">
                  <c:v>2021</c:v>
                </c:pt>
                <c:pt idx="1">
                  <c:v>2022</c:v>
                </c:pt>
                <c:pt idx="2">
                  <c:v>2023</c:v>
                </c:pt>
                <c:pt idx="3">
                  <c:v>2024</c:v>
                </c:pt>
                <c:pt idx="4">
                  <c:v>2025</c:v>
                </c:pt>
              </c:numCache>
            </c:numRef>
          </c:cat>
          <c:val>
            <c:numRef>
              <c:f>'FINANCIAL RATIOS'!$C$167:$G$167</c:f>
              <c:numCache>
                <c:formatCode>0.00%</c:formatCode>
                <c:ptCount val="5"/>
                <c:pt idx="0">
                  <c:v>1.3416428357610073E-2</c:v>
                </c:pt>
                <c:pt idx="1">
                  <c:v>-0.1532499392423832</c:v>
                </c:pt>
                <c:pt idx="2">
                  <c:v>0.14761884305869061</c:v>
                </c:pt>
                <c:pt idx="3">
                  <c:v>8.2107397159174839E-2</c:v>
                </c:pt>
                <c:pt idx="4">
                  <c:v>2.1095116220517105E-2</c:v>
                </c:pt>
              </c:numCache>
            </c:numRef>
          </c:val>
          <c:extLst>
            <c:ext xmlns:c16="http://schemas.microsoft.com/office/drawing/2014/chart" uri="{C3380CC4-5D6E-409C-BE32-E72D297353CC}">
              <c16:uniqueId val="{00000003-B20D-4CE7-98D5-EA6F64726142}"/>
            </c:ext>
          </c:extLst>
        </c:ser>
        <c:ser>
          <c:idx val="4"/>
          <c:order val="4"/>
          <c:tx>
            <c:strRef>
              <c:f>'FINANCIAL RATIOS'!$B$168</c:f>
              <c:strCache>
                <c:ptCount val="1"/>
                <c:pt idx="0">
                  <c:v>KDP</c:v>
                </c:pt>
              </c:strCache>
            </c:strRef>
          </c:tx>
          <c:spPr>
            <a:solidFill>
              <a:schemeClr val="accent5"/>
            </a:solidFill>
            <a:ln>
              <a:noFill/>
            </a:ln>
            <a:effectLst/>
          </c:spPr>
          <c:invertIfNegative val="0"/>
          <c:cat>
            <c:numRef>
              <c:f>'FINANCIAL RATIOS'!$C$163:$G$163</c:f>
              <c:numCache>
                <c:formatCode>General</c:formatCode>
                <c:ptCount val="5"/>
                <c:pt idx="0">
                  <c:v>2021</c:v>
                </c:pt>
                <c:pt idx="1">
                  <c:v>2022</c:v>
                </c:pt>
                <c:pt idx="2">
                  <c:v>2023</c:v>
                </c:pt>
                <c:pt idx="3">
                  <c:v>2024</c:v>
                </c:pt>
                <c:pt idx="4">
                  <c:v>2025</c:v>
                </c:pt>
              </c:numCache>
            </c:numRef>
          </c:cat>
          <c:val>
            <c:numRef>
              <c:f>'FINANCIAL RATIOS'!$C$168:$G$168</c:f>
              <c:numCache>
                <c:formatCode>0.00%</c:formatCode>
                <c:ptCount val="5"/>
                <c:pt idx="0">
                  <c:v>4.2392979959682199E-2</c:v>
                </c:pt>
                <c:pt idx="1">
                  <c:v>2.768292918185852E-2</c:v>
                </c:pt>
                <c:pt idx="2">
                  <c:v>4.1837713408785726E-2</c:v>
                </c:pt>
                <c:pt idx="3">
                  <c:v>2.6969867115852517E-2</c:v>
                </c:pt>
                <c:pt idx="4">
                  <c:v>3.7487152671342797E-2</c:v>
                </c:pt>
              </c:numCache>
            </c:numRef>
          </c:val>
          <c:extLst>
            <c:ext xmlns:c16="http://schemas.microsoft.com/office/drawing/2014/chart" uri="{C3380CC4-5D6E-409C-BE32-E72D297353CC}">
              <c16:uniqueId val="{00000004-B20D-4CE7-98D5-EA6F64726142}"/>
            </c:ext>
          </c:extLst>
        </c:ser>
        <c:dLbls>
          <c:showLegendKey val="0"/>
          <c:showVal val="0"/>
          <c:showCatName val="0"/>
          <c:showSerName val="0"/>
          <c:showPercent val="0"/>
          <c:showBubbleSize val="0"/>
        </c:dLbls>
        <c:gapWidth val="219"/>
        <c:overlap val="-27"/>
        <c:axId val="178538503"/>
        <c:axId val="178565127"/>
      </c:barChart>
      <c:catAx>
        <c:axId val="178538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5127"/>
        <c:crosses val="autoZero"/>
        <c:auto val="1"/>
        <c:lblAlgn val="ctr"/>
        <c:lblOffset val="100"/>
        <c:noMultiLvlLbl val="0"/>
      </c:catAx>
      <c:valAx>
        <c:axId val="178565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38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on Equity (ROE)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RATIOS'!$B$171</c:f>
              <c:strCache>
                <c:ptCount val="1"/>
                <c:pt idx="0">
                  <c:v>Monster</c:v>
                </c:pt>
              </c:strCache>
            </c:strRef>
          </c:tx>
          <c:spPr>
            <a:solidFill>
              <a:schemeClr val="accent1"/>
            </a:solidFill>
            <a:ln>
              <a:noFill/>
            </a:ln>
            <a:effectLst/>
          </c:spPr>
          <c:invertIfNegative val="0"/>
          <c:cat>
            <c:numRef>
              <c:f>'FINANCIAL RATIOS'!$C$170:$G$170</c:f>
              <c:numCache>
                <c:formatCode>General</c:formatCode>
                <c:ptCount val="5"/>
                <c:pt idx="0">
                  <c:v>2021</c:v>
                </c:pt>
                <c:pt idx="1">
                  <c:v>2022</c:v>
                </c:pt>
                <c:pt idx="2">
                  <c:v>2023</c:v>
                </c:pt>
                <c:pt idx="3">
                  <c:v>2024</c:v>
                </c:pt>
                <c:pt idx="4">
                  <c:v>2025</c:v>
                </c:pt>
              </c:numCache>
            </c:numRef>
          </c:cat>
          <c:val>
            <c:numRef>
              <c:f>'FINANCIAL RATIOS'!$C$171:$G$171</c:f>
              <c:numCache>
                <c:formatCode>0.00%</c:formatCode>
                <c:ptCount val="5"/>
                <c:pt idx="0">
                  <c:v>0.20975868405291898</c:v>
                </c:pt>
                <c:pt idx="1">
                  <c:v>0.16962520218743207</c:v>
                </c:pt>
                <c:pt idx="2">
                  <c:v>0.19820619039795134</c:v>
                </c:pt>
                <c:pt idx="3">
                  <c:v>0.25329295545710617</c:v>
                </c:pt>
                <c:pt idx="4">
                  <c:v>0.23084650697567821</c:v>
                </c:pt>
              </c:numCache>
            </c:numRef>
          </c:val>
          <c:extLst>
            <c:ext xmlns:c16="http://schemas.microsoft.com/office/drawing/2014/chart" uri="{C3380CC4-5D6E-409C-BE32-E72D297353CC}">
              <c16:uniqueId val="{00000000-B5C4-4899-847B-32307217BE60}"/>
            </c:ext>
          </c:extLst>
        </c:ser>
        <c:ser>
          <c:idx val="1"/>
          <c:order val="1"/>
          <c:tx>
            <c:strRef>
              <c:f>'FINANCIAL RATIOS'!$B$172</c:f>
              <c:strCache>
                <c:ptCount val="1"/>
                <c:pt idx="0">
                  <c:v>PepsiCo</c:v>
                </c:pt>
              </c:strCache>
            </c:strRef>
          </c:tx>
          <c:spPr>
            <a:solidFill>
              <a:schemeClr val="accent2"/>
            </a:solidFill>
            <a:ln>
              <a:noFill/>
            </a:ln>
            <a:effectLst/>
          </c:spPr>
          <c:invertIfNegative val="0"/>
          <c:cat>
            <c:numRef>
              <c:f>'FINANCIAL RATIOS'!$C$170:$G$170</c:f>
              <c:numCache>
                <c:formatCode>General</c:formatCode>
                <c:ptCount val="5"/>
                <c:pt idx="0">
                  <c:v>2021</c:v>
                </c:pt>
                <c:pt idx="1">
                  <c:v>2022</c:v>
                </c:pt>
                <c:pt idx="2">
                  <c:v>2023</c:v>
                </c:pt>
                <c:pt idx="3">
                  <c:v>2024</c:v>
                </c:pt>
                <c:pt idx="4">
                  <c:v>2025</c:v>
                </c:pt>
              </c:numCache>
            </c:numRef>
          </c:cat>
          <c:val>
            <c:numRef>
              <c:f>'FINANCIAL RATIOS'!$C$172:$G$172</c:f>
              <c:numCache>
                <c:formatCode>0.00%</c:formatCode>
                <c:ptCount val="5"/>
                <c:pt idx="0">
                  <c:v>0.47545043650547952</c:v>
                </c:pt>
                <c:pt idx="1">
                  <c:v>0.51977074046199268</c:v>
                </c:pt>
                <c:pt idx="2">
                  <c:v>0.49122712882974728</c:v>
                </c:pt>
                <c:pt idx="3">
                  <c:v>0.5297451983930439</c:v>
                </c:pt>
                <c:pt idx="4">
                  <c:v>0.40370857059424736</c:v>
                </c:pt>
              </c:numCache>
            </c:numRef>
          </c:val>
          <c:extLst>
            <c:ext xmlns:c16="http://schemas.microsoft.com/office/drawing/2014/chart" uri="{C3380CC4-5D6E-409C-BE32-E72D297353CC}">
              <c16:uniqueId val="{00000001-B5C4-4899-847B-32307217BE60}"/>
            </c:ext>
          </c:extLst>
        </c:ser>
        <c:ser>
          <c:idx val="2"/>
          <c:order val="2"/>
          <c:tx>
            <c:strRef>
              <c:f>'FINANCIAL RATIOS'!$B$173</c:f>
              <c:strCache>
                <c:ptCount val="1"/>
                <c:pt idx="0">
                  <c:v>Coca-Cola</c:v>
                </c:pt>
              </c:strCache>
            </c:strRef>
          </c:tx>
          <c:spPr>
            <a:solidFill>
              <a:schemeClr val="accent3"/>
            </a:solidFill>
            <a:ln>
              <a:noFill/>
            </a:ln>
            <a:effectLst/>
          </c:spPr>
          <c:invertIfNegative val="0"/>
          <c:cat>
            <c:numRef>
              <c:f>'FINANCIAL RATIOS'!$C$170:$G$170</c:f>
              <c:numCache>
                <c:formatCode>General</c:formatCode>
                <c:ptCount val="5"/>
                <c:pt idx="0">
                  <c:v>2021</c:v>
                </c:pt>
                <c:pt idx="1">
                  <c:v>2022</c:v>
                </c:pt>
                <c:pt idx="2">
                  <c:v>2023</c:v>
                </c:pt>
                <c:pt idx="3">
                  <c:v>2024</c:v>
                </c:pt>
                <c:pt idx="4">
                  <c:v>2025</c:v>
                </c:pt>
              </c:numCache>
            </c:numRef>
          </c:cat>
          <c:val>
            <c:numRef>
              <c:f>'FINANCIAL RATIOS'!$C$173:$G$173</c:f>
              <c:numCache>
                <c:formatCode>0.00%</c:formatCode>
                <c:ptCount val="5"/>
                <c:pt idx="0">
                  <c:v>0.39436846339501208</c:v>
                </c:pt>
                <c:pt idx="1">
                  <c:v>0.37059552389065281</c:v>
                </c:pt>
                <c:pt idx="2">
                  <c:v>0.38948326055312954</c:v>
                </c:pt>
                <c:pt idx="3">
                  <c:v>0.40379948430153195</c:v>
                </c:pt>
                <c:pt idx="4">
                  <c:v>0.38328227571115975</c:v>
                </c:pt>
              </c:numCache>
            </c:numRef>
          </c:val>
          <c:extLst>
            <c:ext xmlns:c16="http://schemas.microsoft.com/office/drawing/2014/chart" uri="{C3380CC4-5D6E-409C-BE32-E72D297353CC}">
              <c16:uniqueId val="{00000002-B5C4-4899-847B-32307217BE60}"/>
            </c:ext>
          </c:extLst>
        </c:ser>
        <c:ser>
          <c:idx val="3"/>
          <c:order val="3"/>
          <c:tx>
            <c:strRef>
              <c:f>'FINANCIAL RATIOS'!$B$174</c:f>
              <c:strCache>
                <c:ptCount val="1"/>
                <c:pt idx="0">
                  <c:v>CELH</c:v>
                </c:pt>
              </c:strCache>
            </c:strRef>
          </c:tx>
          <c:spPr>
            <a:solidFill>
              <a:schemeClr val="accent4"/>
            </a:solidFill>
            <a:ln>
              <a:noFill/>
            </a:ln>
            <a:effectLst/>
          </c:spPr>
          <c:invertIfNegative val="0"/>
          <c:cat>
            <c:numRef>
              <c:f>'FINANCIAL RATIOS'!$C$170:$G$170</c:f>
              <c:numCache>
                <c:formatCode>General</c:formatCode>
                <c:ptCount val="5"/>
                <c:pt idx="0">
                  <c:v>2021</c:v>
                </c:pt>
                <c:pt idx="1">
                  <c:v>2022</c:v>
                </c:pt>
                <c:pt idx="2">
                  <c:v>2023</c:v>
                </c:pt>
                <c:pt idx="3">
                  <c:v>2024</c:v>
                </c:pt>
                <c:pt idx="4">
                  <c:v>2025</c:v>
                </c:pt>
              </c:numCache>
            </c:numRef>
          </c:cat>
          <c:val>
            <c:numRef>
              <c:f>'FINANCIAL RATIOS'!$C$174:$G$174</c:f>
              <c:numCache>
                <c:formatCode>0.00%</c:formatCode>
                <c:ptCount val="5"/>
                <c:pt idx="0">
                  <c:v>1.9410721278997442E-2</c:v>
                </c:pt>
                <c:pt idx="1">
                  <c:v>-0.21661641099309606</c:v>
                </c:pt>
                <c:pt idx="2">
                  <c:v>0.20835568768097834</c:v>
                </c:pt>
                <c:pt idx="3">
                  <c:v>0.1184841438823538</c:v>
                </c:pt>
                <c:pt idx="4">
                  <c:v>3.6716345248350976E-2</c:v>
                </c:pt>
              </c:numCache>
            </c:numRef>
          </c:val>
          <c:extLst>
            <c:ext xmlns:c16="http://schemas.microsoft.com/office/drawing/2014/chart" uri="{C3380CC4-5D6E-409C-BE32-E72D297353CC}">
              <c16:uniqueId val="{00000003-B5C4-4899-847B-32307217BE60}"/>
            </c:ext>
          </c:extLst>
        </c:ser>
        <c:ser>
          <c:idx val="4"/>
          <c:order val="4"/>
          <c:tx>
            <c:strRef>
              <c:f>'FINANCIAL RATIOS'!$B$175</c:f>
              <c:strCache>
                <c:ptCount val="1"/>
                <c:pt idx="0">
                  <c:v>KDP</c:v>
                </c:pt>
              </c:strCache>
            </c:strRef>
          </c:tx>
          <c:spPr>
            <a:solidFill>
              <a:schemeClr val="accent5"/>
            </a:solidFill>
            <a:ln>
              <a:noFill/>
            </a:ln>
            <a:effectLst/>
          </c:spPr>
          <c:invertIfNegative val="0"/>
          <c:cat>
            <c:numRef>
              <c:f>'FINANCIAL RATIOS'!$C$170:$G$170</c:f>
              <c:numCache>
                <c:formatCode>General</c:formatCode>
                <c:ptCount val="5"/>
                <c:pt idx="0">
                  <c:v>2021</c:v>
                </c:pt>
                <c:pt idx="1">
                  <c:v>2022</c:v>
                </c:pt>
                <c:pt idx="2">
                  <c:v>2023</c:v>
                </c:pt>
                <c:pt idx="3">
                  <c:v>2024</c:v>
                </c:pt>
                <c:pt idx="4">
                  <c:v>2025</c:v>
                </c:pt>
              </c:numCache>
            </c:numRef>
          </c:cat>
          <c:val>
            <c:numRef>
              <c:f>'FINANCIAL RATIOS'!$C$175:$G$175</c:f>
              <c:numCache>
                <c:formatCode>0.00%</c:formatCode>
                <c:ptCount val="5"/>
                <c:pt idx="0">
                  <c:v>8.589620374819798E-2</c:v>
                </c:pt>
                <c:pt idx="1">
                  <c:v>5.7112154740109847E-2</c:v>
                </c:pt>
                <c:pt idx="2">
                  <c:v>8.4943137560367657E-2</c:v>
                </c:pt>
                <c:pt idx="3">
                  <c:v>5.9439838303840281E-2</c:v>
                </c:pt>
                <c:pt idx="4">
                  <c:v>8.14782881329362E-2</c:v>
                </c:pt>
              </c:numCache>
            </c:numRef>
          </c:val>
          <c:extLst>
            <c:ext xmlns:c16="http://schemas.microsoft.com/office/drawing/2014/chart" uri="{C3380CC4-5D6E-409C-BE32-E72D297353CC}">
              <c16:uniqueId val="{00000004-B5C4-4899-847B-32307217BE60}"/>
            </c:ext>
          </c:extLst>
        </c:ser>
        <c:dLbls>
          <c:showLegendKey val="0"/>
          <c:showVal val="0"/>
          <c:showCatName val="0"/>
          <c:showSerName val="0"/>
          <c:showPercent val="0"/>
          <c:showBubbleSize val="0"/>
        </c:dLbls>
        <c:gapWidth val="219"/>
        <c:overlap val="-27"/>
        <c:axId val="447520264"/>
        <c:axId val="447522312"/>
      </c:barChart>
      <c:catAx>
        <c:axId val="447520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522312"/>
        <c:crosses val="autoZero"/>
        <c:auto val="1"/>
        <c:lblAlgn val="ctr"/>
        <c:lblOffset val="100"/>
        <c:noMultiLvlLbl val="0"/>
      </c:catAx>
      <c:valAx>
        <c:axId val="447522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520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on Equity (ROE) - MV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RATIOS'!$B$179</c:f>
              <c:strCache>
                <c:ptCount val="1"/>
                <c:pt idx="0">
                  <c:v>Monster</c:v>
                </c:pt>
              </c:strCache>
            </c:strRef>
          </c:tx>
          <c:spPr>
            <a:solidFill>
              <a:schemeClr val="accent1"/>
            </a:solidFill>
            <a:ln>
              <a:noFill/>
            </a:ln>
            <a:effectLst/>
          </c:spPr>
          <c:invertIfNegative val="0"/>
          <c:cat>
            <c:numRef>
              <c:f>'FINANCIAL RATIOS'!$C$178:$G$178</c:f>
              <c:numCache>
                <c:formatCode>General</c:formatCode>
                <c:ptCount val="5"/>
                <c:pt idx="0">
                  <c:v>2021</c:v>
                </c:pt>
                <c:pt idx="1">
                  <c:v>2022</c:v>
                </c:pt>
                <c:pt idx="2">
                  <c:v>2023</c:v>
                </c:pt>
                <c:pt idx="3">
                  <c:v>2024</c:v>
                </c:pt>
                <c:pt idx="4">
                  <c:v>2025</c:v>
                </c:pt>
              </c:numCache>
            </c:numRef>
          </c:cat>
          <c:val>
            <c:numRef>
              <c:f>'FINANCIAL RATIOS'!$C$179:$G$179</c:f>
              <c:numCache>
                <c:formatCode>0.00</c:formatCode>
                <c:ptCount val="5"/>
                <c:pt idx="0">
                  <c:v>6.2025943209951917E-2</c:v>
                </c:pt>
                <c:pt idx="1">
                  <c:v>5.1411243873357972E-2</c:v>
                </c:pt>
                <c:pt idx="2">
                  <c:v>3.5475519449384561E-2</c:v>
                </c:pt>
                <c:pt idx="3">
                  <c:v>2.7312527363693731E-2</c:v>
                </c:pt>
                <c:pt idx="4">
                  <c:v>2.4715353729543796E-2</c:v>
                </c:pt>
              </c:numCache>
            </c:numRef>
          </c:val>
          <c:extLst>
            <c:ext xmlns:c16="http://schemas.microsoft.com/office/drawing/2014/chart" uri="{C3380CC4-5D6E-409C-BE32-E72D297353CC}">
              <c16:uniqueId val="{00000000-E0EC-4F82-8493-CA98D8559A03}"/>
            </c:ext>
          </c:extLst>
        </c:ser>
        <c:ser>
          <c:idx val="1"/>
          <c:order val="1"/>
          <c:tx>
            <c:strRef>
              <c:f>'FINANCIAL RATIOS'!$B$180</c:f>
              <c:strCache>
                <c:ptCount val="1"/>
                <c:pt idx="0">
                  <c:v>PepsiCo</c:v>
                </c:pt>
              </c:strCache>
            </c:strRef>
          </c:tx>
          <c:spPr>
            <a:solidFill>
              <a:schemeClr val="accent2"/>
            </a:solidFill>
            <a:ln>
              <a:noFill/>
            </a:ln>
            <a:effectLst/>
          </c:spPr>
          <c:invertIfNegative val="0"/>
          <c:cat>
            <c:numRef>
              <c:f>'FINANCIAL RATIOS'!$C$178:$G$178</c:f>
              <c:numCache>
                <c:formatCode>General</c:formatCode>
                <c:ptCount val="5"/>
                <c:pt idx="0">
                  <c:v>2021</c:v>
                </c:pt>
                <c:pt idx="1">
                  <c:v>2022</c:v>
                </c:pt>
                <c:pt idx="2">
                  <c:v>2023</c:v>
                </c:pt>
                <c:pt idx="3">
                  <c:v>2024</c:v>
                </c:pt>
                <c:pt idx="4">
                  <c:v>2025</c:v>
                </c:pt>
              </c:numCache>
            </c:numRef>
          </c:cat>
          <c:val>
            <c:numRef>
              <c:f>'FINANCIAL RATIOS'!$C$180:$G$180</c:f>
              <c:numCache>
                <c:formatCode>0.00</c:formatCode>
                <c:ptCount val="5"/>
                <c:pt idx="0">
                  <c:v>3.6584408362607845E-2</c:v>
                </c:pt>
                <c:pt idx="1">
                  <c:v>4.0114669511957544E-2</c:v>
                </c:pt>
                <c:pt idx="2">
                  <c:v>4.2418508277053325E-2</c:v>
                </c:pt>
                <c:pt idx="3">
                  <c:v>4.8377898025060019E-2</c:v>
                </c:pt>
                <c:pt idx="4">
                  <c:v>4.2595200529936671E-2</c:v>
                </c:pt>
              </c:numCache>
            </c:numRef>
          </c:val>
          <c:extLst>
            <c:ext xmlns:c16="http://schemas.microsoft.com/office/drawing/2014/chart" uri="{C3380CC4-5D6E-409C-BE32-E72D297353CC}">
              <c16:uniqueId val="{00000001-E0EC-4F82-8493-CA98D8559A03}"/>
            </c:ext>
          </c:extLst>
        </c:ser>
        <c:ser>
          <c:idx val="2"/>
          <c:order val="2"/>
          <c:tx>
            <c:strRef>
              <c:f>'FINANCIAL RATIOS'!$B$181</c:f>
              <c:strCache>
                <c:ptCount val="1"/>
                <c:pt idx="0">
                  <c:v>Coca-Cola</c:v>
                </c:pt>
              </c:strCache>
            </c:strRef>
          </c:tx>
          <c:spPr>
            <a:solidFill>
              <a:schemeClr val="accent3"/>
            </a:solidFill>
            <a:ln>
              <a:noFill/>
            </a:ln>
            <a:effectLst/>
          </c:spPr>
          <c:invertIfNegative val="0"/>
          <c:cat>
            <c:numRef>
              <c:f>'FINANCIAL RATIOS'!$C$178:$G$178</c:f>
              <c:numCache>
                <c:formatCode>General</c:formatCode>
                <c:ptCount val="5"/>
                <c:pt idx="0">
                  <c:v>2021</c:v>
                </c:pt>
                <c:pt idx="1">
                  <c:v>2022</c:v>
                </c:pt>
                <c:pt idx="2">
                  <c:v>2023</c:v>
                </c:pt>
                <c:pt idx="3">
                  <c:v>2024</c:v>
                </c:pt>
                <c:pt idx="4">
                  <c:v>2025</c:v>
                </c:pt>
              </c:numCache>
            </c:numRef>
          </c:cat>
          <c:val>
            <c:numRef>
              <c:f>'FINANCIAL RATIOS'!$C$181:$G$181</c:f>
              <c:numCache>
                <c:formatCode>0.00</c:formatCode>
                <c:ptCount val="5"/>
                <c:pt idx="0">
                  <c:v>3.8373149128648879E-2</c:v>
                </c:pt>
                <c:pt idx="1">
                  <c:v>3.4765194907391127E-2</c:v>
                </c:pt>
                <c:pt idx="2">
                  <c:v>4.201301496708261E-2</c:v>
                </c:pt>
                <c:pt idx="3">
                  <c:v>3.9693849305911175E-2</c:v>
                </c:pt>
                <c:pt idx="4">
                  <c:v>4.3670237285593418E-2</c:v>
                </c:pt>
              </c:numCache>
            </c:numRef>
          </c:val>
          <c:extLst>
            <c:ext xmlns:c16="http://schemas.microsoft.com/office/drawing/2014/chart" uri="{C3380CC4-5D6E-409C-BE32-E72D297353CC}">
              <c16:uniqueId val="{00000002-E0EC-4F82-8493-CA98D8559A03}"/>
            </c:ext>
          </c:extLst>
        </c:ser>
        <c:ser>
          <c:idx val="3"/>
          <c:order val="3"/>
          <c:tx>
            <c:strRef>
              <c:f>'FINANCIAL RATIOS'!$B$182</c:f>
              <c:strCache>
                <c:ptCount val="1"/>
                <c:pt idx="0">
                  <c:v>CELH</c:v>
                </c:pt>
              </c:strCache>
            </c:strRef>
          </c:tx>
          <c:spPr>
            <a:solidFill>
              <a:schemeClr val="accent4"/>
            </a:solidFill>
            <a:ln>
              <a:noFill/>
            </a:ln>
            <a:effectLst/>
          </c:spPr>
          <c:invertIfNegative val="0"/>
          <c:cat>
            <c:numRef>
              <c:f>'FINANCIAL RATIOS'!$C$178:$G$178</c:f>
              <c:numCache>
                <c:formatCode>General</c:formatCode>
                <c:ptCount val="5"/>
                <c:pt idx="0">
                  <c:v>2021</c:v>
                </c:pt>
                <c:pt idx="1">
                  <c:v>2022</c:v>
                </c:pt>
                <c:pt idx="2">
                  <c:v>2023</c:v>
                </c:pt>
                <c:pt idx="3">
                  <c:v>2024</c:v>
                </c:pt>
                <c:pt idx="4">
                  <c:v>2025</c:v>
                </c:pt>
              </c:numCache>
            </c:numRef>
          </c:cat>
          <c:val>
            <c:numRef>
              <c:f>'FINANCIAL RATIOS'!$C$182:$G$182</c:f>
              <c:numCache>
                <c:formatCode>0.00</c:formatCode>
                <c:ptCount val="5"/>
                <c:pt idx="0">
                  <c:v>2.2623319834555603E-3</c:v>
                </c:pt>
                <c:pt idx="1">
                  <c:v>-7.070105981297127E-2</c:v>
                </c:pt>
                <c:pt idx="2">
                  <c:v>1.7947300742650357E-2</c:v>
                </c:pt>
                <c:pt idx="3">
                  <c:v>2.3435816056555193E-2</c:v>
                </c:pt>
                <c:pt idx="4">
                  <c:v>9.1907155852229902E-3</c:v>
                </c:pt>
              </c:numCache>
            </c:numRef>
          </c:val>
          <c:extLst>
            <c:ext xmlns:c16="http://schemas.microsoft.com/office/drawing/2014/chart" uri="{C3380CC4-5D6E-409C-BE32-E72D297353CC}">
              <c16:uniqueId val="{00000003-E0EC-4F82-8493-CA98D8559A03}"/>
            </c:ext>
          </c:extLst>
        </c:ser>
        <c:ser>
          <c:idx val="4"/>
          <c:order val="4"/>
          <c:tx>
            <c:strRef>
              <c:f>'FINANCIAL RATIOS'!$B$183</c:f>
              <c:strCache>
                <c:ptCount val="1"/>
                <c:pt idx="0">
                  <c:v>KDP</c:v>
                </c:pt>
              </c:strCache>
            </c:strRef>
          </c:tx>
          <c:spPr>
            <a:solidFill>
              <a:schemeClr val="accent5"/>
            </a:solidFill>
            <a:ln>
              <a:noFill/>
            </a:ln>
            <a:effectLst/>
          </c:spPr>
          <c:invertIfNegative val="0"/>
          <c:cat>
            <c:numRef>
              <c:f>'FINANCIAL RATIOS'!$C$178:$G$178</c:f>
              <c:numCache>
                <c:formatCode>General</c:formatCode>
                <c:ptCount val="5"/>
                <c:pt idx="0">
                  <c:v>2021</c:v>
                </c:pt>
                <c:pt idx="1">
                  <c:v>2022</c:v>
                </c:pt>
                <c:pt idx="2">
                  <c:v>2023</c:v>
                </c:pt>
                <c:pt idx="3">
                  <c:v>2024</c:v>
                </c:pt>
                <c:pt idx="4">
                  <c:v>2025</c:v>
                </c:pt>
              </c:numCache>
            </c:numRef>
          </c:cat>
          <c:val>
            <c:numRef>
              <c:f>'FINANCIAL RATIOS'!$C$183:$G$183</c:f>
              <c:numCache>
                <c:formatCode>0.00</c:formatCode>
                <c:ptCount val="5"/>
                <c:pt idx="0">
                  <c:v>5.2246603970741899E-2</c:v>
                </c:pt>
                <c:pt idx="1">
                  <c:v>2.8134606938954768E-2</c:v>
                </c:pt>
                <c:pt idx="2">
                  <c:v>4.8707389408990213E-2</c:v>
                </c:pt>
                <c:pt idx="3">
                  <c:v>3.3057737483482598E-2</c:v>
                </c:pt>
                <c:pt idx="4">
                  <c:v>5.4671968190854875E-2</c:v>
                </c:pt>
              </c:numCache>
            </c:numRef>
          </c:val>
          <c:extLst>
            <c:ext xmlns:c16="http://schemas.microsoft.com/office/drawing/2014/chart" uri="{C3380CC4-5D6E-409C-BE32-E72D297353CC}">
              <c16:uniqueId val="{00000004-E0EC-4F82-8493-CA98D8559A03}"/>
            </c:ext>
          </c:extLst>
        </c:ser>
        <c:dLbls>
          <c:showLegendKey val="0"/>
          <c:showVal val="0"/>
          <c:showCatName val="0"/>
          <c:showSerName val="0"/>
          <c:showPercent val="0"/>
          <c:showBubbleSize val="0"/>
        </c:dLbls>
        <c:gapWidth val="219"/>
        <c:overlap val="-27"/>
        <c:axId val="1419497992"/>
        <c:axId val="1419500040"/>
      </c:barChart>
      <c:catAx>
        <c:axId val="1419497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500040"/>
        <c:crosses val="autoZero"/>
        <c:auto val="1"/>
        <c:lblAlgn val="ctr"/>
        <c:lblOffset val="100"/>
        <c:noMultiLvlLbl val="0"/>
      </c:catAx>
      <c:valAx>
        <c:axId val="14195000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497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Price-Earnings Ratio (P/E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RATIOS'!$B$197</c:f>
              <c:strCache>
                <c:ptCount val="1"/>
                <c:pt idx="0">
                  <c:v>Monster</c:v>
                </c:pt>
              </c:strCache>
            </c:strRef>
          </c:tx>
          <c:spPr>
            <a:solidFill>
              <a:schemeClr val="accent1"/>
            </a:solidFill>
            <a:ln>
              <a:noFill/>
            </a:ln>
            <a:effectLst/>
          </c:spPr>
          <c:invertIfNegative val="0"/>
          <c:cat>
            <c:numRef>
              <c:f>'FINANCIAL RATIOS'!$C$196:$G$196</c:f>
              <c:numCache>
                <c:formatCode>General</c:formatCode>
                <c:ptCount val="5"/>
                <c:pt idx="0">
                  <c:v>2021</c:v>
                </c:pt>
                <c:pt idx="1">
                  <c:v>2022</c:v>
                </c:pt>
                <c:pt idx="2">
                  <c:v>2023</c:v>
                </c:pt>
                <c:pt idx="3">
                  <c:v>2024</c:v>
                </c:pt>
                <c:pt idx="4">
                  <c:v>2025</c:v>
                </c:pt>
              </c:numCache>
            </c:numRef>
          </c:cat>
          <c:val>
            <c:numRef>
              <c:f>'FINANCIAL RATIOS'!$C$197:$G$197</c:f>
              <c:numCache>
                <c:formatCode>0.00</c:formatCode>
                <c:ptCount val="5"/>
                <c:pt idx="0">
                  <c:v>16.122286066897768</c:v>
                </c:pt>
                <c:pt idx="1">
                  <c:v>19.450997965801292</c:v>
                </c:pt>
                <c:pt idx="2">
                  <c:v>28.188452643428402</c:v>
                </c:pt>
                <c:pt idx="3">
                  <c:v>36.613235629350434</c:v>
                </c:pt>
                <c:pt idx="4">
                  <c:v>40.460679258036997</c:v>
                </c:pt>
              </c:numCache>
            </c:numRef>
          </c:val>
          <c:extLst>
            <c:ext xmlns:c16="http://schemas.microsoft.com/office/drawing/2014/chart" uri="{C3380CC4-5D6E-409C-BE32-E72D297353CC}">
              <c16:uniqueId val="{00000000-115F-400F-82EA-FDC03FFA3C3B}"/>
            </c:ext>
          </c:extLst>
        </c:ser>
        <c:ser>
          <c:idx val="1"/>
          <c:order val="1"/>
          <c:tx>
            <c:strRef>
              <c:f>'FINANCIAL RATIOS'!$B$198</c:f>
              <c:strCache>
                <c:ptCount val="1"/>
                <c:pt idx="0">
                  <c:v>PepsiCo</c:v>
                </c:pt>
              </c:strCache>
            </c:strRef>
          </c:tx>
          <c:spPr>
            <a:solidFill>
              <a:schemeClr val="accent2"/>
            </a:solidFill>
            <a:ln>
              <a:noFill/>
            </a:ln>
            <a:effectLst/>
          </c:spPr>
          <c:invertIfNegative val="0"/>
          <c:cat>
            <c:numRef>
              <c:f>'FINANCIAL RATIOS'!$C$196:$G$196</c:f>
              <c:numCache>
                <c:formatCode>General</c:formatCode>
                <c:ptCount val="5"/>
                <c:pt idx="0">
                  <c:v>2021</c:v>
                </c:pt>
                <c:pt idx="1">
                  <c:v>2022</c:v>
                </c:pt>
                <c:pt idx="2">
                  <c:v>2023</c:v>
                </c:pt>
                <c:pt idx="3">
                  <c:v>2024</c:v>
                </c:pt>
                <c:pt idx="4">
                  <c:v>2025</c:v>
                </c:pt>
              </c:numCache>
            </c:numRef>
          </c:cat>
          <c:val>
            <c:numRef>
              <c:f>'FINANCIAL RATIOS'!$C$198:$G$198</c:f>
              <c:numCache>
                <c:formatCode>0.00</c:formatCode>
                <c:ptCount val="5"/>
                <c:pt idx="0">
                  <c:v>27.334048704258365</c:v>
                </c:pt>
                <c:pt idx="1">
                  <c:v>24.928536422365784</c:v>
                </c:pt>
                <c:pt idx="2">
                  <c:v>23.574614964500274</c:v>
                </c:pt>
                <c:pt idx="3">
                  <c:v>20.670596301682941</c:v>
                </c:pt>
                <c:pt idx="4">
                  <c:v>23.476823387582883</c:v>
                </c:pt>
              </c:numCache>
            </c:numRef>
          </c:val>
          <c:extLst>
            <c:ext xmlns:c16="http://schemas.microsoft.com/office/drawing/2014/chart" uri="{C3380CC4-5D6E-409C-BE32-E72D297353CC}">
              <c16:uniqueId val="{00000001-115F-400F-82EA-FDC03FFA3C3B}"/>
            </c:ext>
          </c:extLst>
        </c:ser>
        <c:ser>
          <c:idx val="2"/>
          <c:order val="2"/>
          <c:tx>
            <c:strRef>
              <c:f>'FINANCIAL RATIOS'!$B$199</c:f>
              <c:strCache>
                <c:ptCount val="1"/>
                <c:pt idx="0">
                  <c:v>Coca-Cola</c:v>
                </c:pt>
              </c:strCache>
            </c:strRef>
          </c:tx>
          <c:spPr>
            <a:solidFill>
              <a:schemeClr val="accent3"/>
            </a:solidFill>
            <a:ln>
              <a:noFill/>
            </a:ln>
            <a:effectLst/>
          </c:spPr>
          <c:invertIfNegative val="0"/>
          <c:cat>
            <c:numRef>
              <c:f>'FINANCIAL RATIOS'!$C$196:$G$196</c:f>
              <c:numCache>
                <c:formatCode>General</c:formatCode>
                <c:ptCount val="5"/>
                <c:pt idx="0">
                  <c:v>2021</c:v>
                </c:pt>
                <c:pt idx="1">
                  <c:v>2022</c:v>
                </c:pt>
                <c:pt idx="2">
                  <c:v>2023</c:v>
                </c:pt>
                <c:pt idx="3">
                  <c:v>2024</c:v>
                </c:pt>
                <c:pt idx="4">
                  <c:v>2025</c:v>
                </c:pt>
              </c:numCache>
            </c:numRef>
          </c:cat>
          <c:val>
            <c:numRef>
              <c:f>'FINANCIAL RATIOS'!$C$199:$G$199</c:f>
              <c:numCache>
                <c:formatCode>0.00</c:formatCode>
                <c:ptCount val="5"/>
                <c:pt idx="0">
                  <c:v>26.059888820889434</c:v>
                </c:pt>
                <c:pt idx="1">
                  <c:v>28.764400794065409</c:v>
                </c:pt>
                <c:pt idx="2">
                  <c:v>23.802147995889001</c:v>
                </c:pt>
                <c:pt idx="3">
                  <c:v>25.192819983097003</c:v>
                </c:pt>
                <c:pt idx="4">
                  <c:v>22.898890918779021</c:v>
                </c:pt>
              </c:numCache>
            </c:numRef>
          </c:val>
          <c:extLst>
            <c:ext xmlns:c16="http://schemas.microsoft.com/office/drawing/2014/chart" uri="{C3380CC4-5D6E-409C-BE32-E72D297353CC}">
              <c16:uniqueId val="{00000002-115F-400F-82EA-FDC03FFA3C3B}"/>
            </c:ext>
          </c:extLst>
        </c:ser>
        <c:ser>
          <c:idx val="3"/>
          <c:order val="3"/>
          <c:tx>
            <c:strRef>
              <c:f>'FINANCIAL RATIOS'!$B$200</c:f>
              <c:strCache>
                <c:ptCount val="1"/>
                <c:pt idx="0">
                  <c:v>CELH</c:v>
                </c:pt>
              </c:strCache>
            </c:strRef>
          </c:tx>
          <c:spPr>
            <a:solidFill>
              <a:schemeClr val="accent4"/>
            </a:solidFill>
            <a:ln>
              <a:noFill/>
            </a:ln>
            <a:effectLst/>
          </c:spPr>
          <c:invertIfNegative val="0"/>
          <c:cat>
            <c:numRef>
              <c:f>'FINANCIAL RATIOS'!$C$196:$G$196</c:f>
              <c:numCache>
                <c:formatCode>General</c:formatCode>
                <c:ptCount val="5"/>
                <c:pt idx="0">
                  <c:v>2021</c:v>
                </c:pt>
                <c:pt idx="1">
                  <c:v>2022</c:v>
                </c:pt>
                <c:pt idx="2">
                  <c:v>2023</c:v>
                </c:pt>
                <c:pt idx="3">
                  <c:v>2024</c:v>
                </c:pt>
                <c:pt idx="4">
                  <c:v>2025</c:v>
                </c:pt>
              </c:numCache>
            </c:numRef>
          </c:cat>
          <c:val>
            <c:numRef>
              <c:f>'FINANCIAL RATIOS'!$C$200:$G$200</c:f>
              <c:numCache>
                <c:formatCode>0.0</c:formatCode>
                <c:ptCount val="5"/>
                <c:pt idx="0">
                  <c:v>442.02177545691904</c:v>
                </c:pt>
                <c:pt idx="1">
                  <c:v>-14.144059546566142</c:v>
                </c:pt>
                <c:pt idx="2">
                  <c:v>55.718685184985958</c:v>
                </c:pt>
                <c:pt idx="3">
                  <c:v>42.669732412424004</c:v>
                </c:pt>
                <c:pt idx="4">
                  <c:v>108.80545597644424</c:v>
                </c:pt>
              </c:numCache>
            </c:numRef>
          </c:val>
          <c:extLst>
            <c:ext xmlns:c16="http://schemas.microsoft.com/office/drawing/2014/chart" uri="{C3380CC4-5D6E-409C-BE32-E72D297353CC}">
              <c16:uniqueId val="{00000003-115F-400F-82EA-FDC03FFA3C3B}"/>
            </c:ext>
          </c:extLst>
        </c:ser>
        <c:ser>
          <c:idx val="4"/>
          <c:order val="4"/>
          <c:tx>
            <c:strRef>
              <c:f>'FINANCIAL RATIOS'!$B$201</c:f>
              <c:strCache>
                <c:ptCount val="1"/>
                <c:pt idx="0">
                  <c:v>KDP</c:v>
                </c:pt>
              </c:strCache>
            </c:strRef>
          </c:tx>
          <c:spPr>
            <a:solidFill>
              <a:schemeClr val="accent5"/>
            </a:solidFill>
            <a:ln>
              <a:noFill/>
            </a:ln>
            <a:effectLst/>
          </c:spPr>
          <c:invertIfNegative val="0"/>
          <c:cat>
            <c:numRef>
              <c:f>'FINANCIAL RATIOS'!$C$196:$G$196</c:f>
              <c:numCache>
                <c:formatCode>General</c:formatCode>
                <c:ptCount val="5"/>
                <c:pt idx="0">
                  <c:v>2021</c:v>
                </c:pt>
                <c:pt idx="1">
                  <c:v>2022</c:v>
                </c:pt>
                <c:pt idx="2">
                  <c:v>2023</c:v>
                </c:pt>
                <c:pt idx="3">
                  <c:v>2024</c:v>
                </c:pt>
                <c:pt idx="4">
                  <c:v>2025</c:v>
                </c:pt>
              </c:numCache>
            </c:numRef>
          </c:cat>
          <c:val>
            <c:numRef>
              <c:f>'FINANCIAL RATIOS'!$C$201:$G$201</c:f>
              <c:numCache>
                <c:formatCode>0.00</c:formatCode>
                <c:ptCount val="5"/>
                <c:pt idx="0">
                  <c:v>19.14</c:v>
                </c:pt>
                <c:pt idx="1">
                  <c:v>35.543414634146338</c:v>
                </c:pt>
                <c:pt idx="2">
                  <c:v>20.530765703805592</c:v>
                </c:pt>
                <c:pt idx="3">
                  <c:v>30.250104094378909</c:v>
                </c:pt>
                <c:pt idx="4">
                  <c:v>18.290909090909089</c:v>
                </c:pt>
              </c:numCache>
            </c:numRef>
          </c:val>
          <c:extLst>
            <c:ext xmlns:c16="http://schemas.microsoft.com/office/drawing/2014/chart" uri="{C3380CC4-5D6E-409C-BE32-E72D297353CC}">
              <c16:uniqueId val="{00000004-115F-400F-82EA-FDC03FFA3C3B}"/>
            </c:ext>
          </c:extLst>
        </c:ser>
        <c:dLbls>
          <c:showLegendKey val="0"/>
          <c:showVal val="0"/>
          <c:showCatName val="0"/>
          <c:showSerName val="0"/>
          <c:showPercent val="0"/>
          <c:showBubbleSize val="0"/>
        </c:dLbls>
        <c:gapWidth val="219"/>
        <c:overlap val="-27"/>
        <c:axId val="521493512"/>
        <c:axId val="1065625096"/>
      </c:barChart>
      <c:catAx>
        <c:axId val="521493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625096"/>
        <c:crosses val="autoZero"/>
        <c:auto val="1"/>
        <c:lblAlgn val="ctr"/>
        <c:lblOffset val="100"/>
        <c:noMultiLvlLbl val="0"/>
      </c:catAx>
      <c:valAx>
        <c:axId val="1065625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93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Market-to-Book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RATIOS'!$B$204</c:f>
              <c:strCache>
                <c:ptCount val="1"/>
                <c:pt idx="0">
                  <c:v>Monster</c:v>
                </c:pt>
              </c:strCache>
            </c:strRef>
          </c:tx>
          <c:spPr>
            <a:solidFill>
              <a:schemeClr val="accent1"/>
            </a:solidFill>
            <a:ln>
              <a:noFill/>
            </a:ln>
            <a:effectLst/>
          </c:spPr>
          <c:invertIfNegative val="0"/>
          <c:cat>
            <c:numRef>
              <c:f>'FINANCIAL RATIOS'!$C$203:$G$203</c:f>
              <c:numCache>
                <c:formatCode>General</c:formatCode>
                <c:ptCount val="5"/>
                <c:pt idx="0">
                  <c:v>2021</c:v>
                </c:pt>
                <c:pt idx="1">
                  <c:v>2022</c:v>
                </c:pt>
                <c:pt idx="2">
                  <c:v>2023</c:v>
                </c:pt>
                <c:pt idx="3">
                  <c:v>2024</c:v>
                </c:pt>
                <c:pt idx="4">
                  <c:v>2025</c:v>
                </c:pt>
              </c:numCache>
            </c:numRef>
          </c:cat>
          <c:val>
            <c:numRef>
              <c:f>'FINANCIAL RATIOS'!$C$204:$G$204</c:f>
              <c:numCache>
                <c:formatCode>0.00</c:formatCode>
                <c:ptCount val="5"/>
                <c:pt idx="0">
                  <c:v>3.3817895093171866</c:v>
                </c:pt>
                <c:pt idx="1">
                  <c:v>3.2993794626963737</c:v>
                </c:pt>
                <c:pt idx="2">
                  <c:v>5.5871258116670051</c:v>
                </c:pt>
                <c:pt idx="3">
                  <c:v>9.2738746614055909</c:v>
                </c:pt>
                <c:pt idx="4">
                  <c:v>9.3402064765811161</c:v>
                </c:pt>
              </c:numCache>
            </c:numRef>
          </c:val>
          <c:extLst>
            <c:ext xmlns:c16="http://schemas.microsoft.com/office/drawing/2014/chart" uri="{C3380CC4-5D6E-409C-BE32-E72D297353CC}">
              <c16:uniqueId val="{00000000-61F5-48FE-BD12-310CFD5B5666}"/>
            </c:ext>
          </c:extLst>
        </c:ser>
        <c:ser>
          <c:idx val="1"/>
          <c:order val="1"/>
          <c:tx>
            <c:strRef>
              <c:f>'FINANCIAL RATIOS'!$B$205</c:f>
              <c:strCache>
                <c:ptCount val="1"/>
                <c:pt idx="0">
                  <c:v>PepsiCo</c:v>
                </c:pt>
              </c:strCache>
            </c:strRef>
          </c:tx>
          <c:spPr>
            <a:solidFill>
              <a:schemeClr val="accent2"/>
            </a:solidFill>
            <a:ln>
              <a:noFill/>
            </a:ln>
            <a:effectLst/>
          </c:spPr>
          <c:invertIfNegative val="0"/>
          <c:cat>
            <c:numRef>
              <c:f>'FINANCIAL RATIOS'!$C$203:$G$203</c:f>
              <c:numCache>
                <c:formatCode>General</c:formatCode>
                <c:ptCount val="5"/>
                <c:pt idx="0">
                  <c:v>2021</c:v>
                </c:pt>
                <c:pt idx="1">
                  <c:v>2022</c:v>
                </c:pt>
                <c:pt idx="2">
                  <c:v>2023</c:v>
                </c:pt>
                <c:pt idx="3">
                  <c:v>2024</c:v>
                </c:pt>
                <c:pt idx="4">
                  <c:v>2025</c:v>
                </c:pt>
              </c:numCache>
            </c:numRef>
          </c:cat>
          <c:val>
            <c:numRef>
              <c:f>'FINANCIAL RATIOS'!$C$205:$G$205</c:f>
              <c:numCache>
                <c:formatCode>0.00</c:formatCode>
                <c:ptCount val="5"/>
                <c:pt idx="0">
                  <c:v>13.083473165866733</c:v>
                </c:pt>
                <c:pt idx="1">
                  <c:v>13.050813458510701</c:v>
                </c:pt>
                <c:pt idx="2">
                  <c:v>11.664357131276009</c:v>
                </c:pt>
                <c:pt idx="3">
                  <c:v>11.029053821850228</c:v>
                </c:pt>
                <c:pt idx="4">
                  <c:v>9.5432838380868379</c:v>
                </c:pt>
              </c:numCache>
            </c:numRef>
          </c:val>
          <c:extLst>
            <c:ext xmlns:c16="http://schemas.microsoft.com/office/drawing/2014/chart" uri="{C3380CC4-5D6E-409C-BE32-E72D297353CC}">
              <c16:uniqueId val="{00000001-61F5-48FE-BD12-310CFD5B5666}"/>
            </c:ext>
          </c:extLst>
        </c:ser>
        <c:ser>
          <c:idx val="2"/>
          <c:order val="2"/>
          <c:tx>
            <c:strRef>
              <c:f>'FINANCIAL RATIOS'!$B$206</c:f>
              <c:strCache>
                <c:ptCount val="1"/>
                <c:pt idx="0">
                  <c:v>Coca-Cola</c:v>
                </c:pt>
              </c:strCache>
            </c:strRef>
          </c:tx>
          <c:spPr>
            <a:solidFill>
              <a:schemeClr val="accent3"/>
            </a:solidFill>
            <a:ln>
              <a:noFill/>
            </a:ln>
            <a:effectLst/>
          </c:spPr>
          <c:invertIfNegative val="0"/>
          <c:cat>
            <c:numRef>
              <c:f>'FINANCIAL RATIOS'!$C$203:$G$203</c:f>
              <c:numCache>
                <c:formatCode>General</c:formatCode>
                <c:ptCount val="5"/>
                <c:pt idx="0">
                  <c:v>2021</c:v>
                </c:pt>
                <c:pt idx="1">
                  <c:v>2022</c:v>
                </c:pt>
                <c:pt idx="2">
                  <c:v>2023</c:v>
                </c:pt>
                <c:pt idx="3">
                  <c:v>2024</c:v>
                </c:pt>
                <c:pt idx="4">
                  <c:v>2025</c:v>
                </c:pt>
              </c:numCache>
            </c:numRef>
          </c:cat>
          <c:val>
            <c:numRef>
              <c:f>'FINANCIAL RATIOS'!$C$206:$G$206</c:f>
              <c:numCache>
                <c:formatCode>0.00</c:formatCode>
                <c:ptCount val="5"/>
                <c:pt idx="0">
                  <c:v>11.108793860602635</c:v>
                </c:pt>
                <c:pt idx="1">
                  <c:v>11.421036299522921</c:v>
                </c:pt>
                <c:pt idx="2">
                  <c:v>9.8205308199375505</c:v>
                </c:pt>
                <c:pt idx="3">
                  <c:v>10.793303025426455</c:v>
                </c:pt>
                <c:pt idx="4">
                  <c:v>9.3513236345550066</c:v>
                </c:pt>
              </c:numCache>
            </c:numRef>
          </c:val>
          <c:extLst>
            <c:ext xmlns:c16="http://schemas.microsoft.com/office/drawing/2014/chart" uri="{C3380CC4-5D6E-409C-BE32-E72D297353CC}">
              <c16:uniqueId val="{00000002-61F5-48FE-BD12-310CFD5B5666}"/>
            </c:ext>
          </c:extLst>
        </c:ser>
        <c:ser>
          <c:idx val="3"/>
          <c:order val="3"/>
          <c:tx>
            <c:strRef>
              <c:f>'FINANCIAL RATIOS'!$B$207</c:f>
              <c:strCache>
                <c:ptCount val="1"/>
                <c:pt idx="0">
                  <c:v>CELH</c:v>
                </c:pt>
              </c:strCache>
            </c:strRef>
          </c:tx>
          <c:spPr>
            <a:solidFill>
              <a:schemeClr val="accent4"/>
            </a:solidFill>
            <a:ln>
              <a:noFill/>
            </a:ln>
            <a:effectLst/>
          </c:spPr>
          <c:invertIfNegative val="0"/>
          <c:cat>
            <c:numRef>
              <c:f>'FINANCIAL RATIOS'!$C$203:$G$203</c:f>
              <c:numCache>
                <c:formatCode>General</c:formatCode>
                <c:ptCount val="5"/>
                <c:pt idx="0">
                  <c:v>2021</c:v>
                </c:pt>
                <c:pt idx="1">
                  <c:v>2022</c:v>
                </c:pt>
                <c:pt idx="2">
                  <c:v>2023</c:v>
                </c:pt>
                <c:pt idx="3">
                  <c:v>2024</c:v>
                </c:pt>
                <c:pt idx="4">
                  <c:v>2025</c:v>
                </c:pt>
              </c:numCache>
            </c:numRef>
          </c:cat>
          <c:val>
            <c:numRef>
              <c:f>'FINANCIAL RATIOS'!$C$207:$G$207</c:f>
              <c:numCache>
                <c:formatCode>0.00</c:formatCode>
                <c:ptCount val="5"/>
                <c:pt idx="0">
                  <c:v>8.5799614826418491</c:v>
                </c:pt>
                <c:pt idx="1">
                  <c:v>3.0638354158497947</c:v>
                </c:pt>
                <c:pt idx="2">
                  <c:v>11.609304968397689</c:v>
                </c:pt>
                <c:pt idx="3">
                  <c:v>5.0556867145751809</c:v>
                </c:pt>
                <c:pt idx="4">
                  <c:v>3.99493868653538</c:v>
                </c:pt>
              </c:numCache>
            </c:numRef>
          </c:val>
          <c:extLst>
            <c:ext xmlns:c16="http://schemas.microsoft.com/office/drawing/2014/chart" uri="{C3380CC4-5D6E-409C-BE32-E72D297353CC}">
              <c16:uniqueId val="{00000003-61F5-48FE-BD12-310CFD5B5666}"/>
            </c:ext>
          </c:extLst>
        </c:ser>
        <c:ser>
          <c:idx val="4"/>
          <c:order val="4"/>
          <c:tx>
            <c:strRef>
              <c:f>'FINANCIAL RATIOS'!$B$208</c:f>
              <c:strCache>
                <c:ptCount val="1"/>
                <c:pt idx="0">
                  <c:v>KDP</c:v>
                </c:pt>
              </c:strCache>
            </c:strRef>
          </c:tx>
          <c:spPr>
            <a:solidFill>
              <a:schemeClr val="accent5"/>
            </a:solidFill>
            <a:ln>
              <a:noFill/>
            </a:ln>
            <a:effectLst/>
          </c:spPr>
          <c:invertIfNegative val="0"/>
          <c:cat>
            <c:numRef>
              <c:f>'FINANCIAL RATIOS'!$C$203:$G$203</c:f>
              <c:numCache>
                <c:formatCode>General</c:formatCode>
                <c:ptCount val="5"/>
                <c:pt idx="0">
                  <c:v>2021</c:v>
                </c:pt>
                <c:pt idx="1">
                  <c:v>2022</c:v>
                </c:pt>
                <c:pt idx="2">
                  <c:v>2023</c:v>
                </c:pt>
                <c:pt idx="3">
                  <c:v>2024</c:v>
                </c:pt>
                <c:pt idx="4">
                  <c:v>2025</c:v>
                </c:pt>
              </c:numCache>
            </c:numRef>
          </c:cat>
          <c:val>
            <c:numRef>
              <c:f>'FINANCIAL RATIOS'!$C$208:$G$208</c:f>
              <c:numCache>
                <c:formatCode>0.00</c:formatCode>
                <c:ptCount val="5"/>
                <c:pt idx="0">
                  <c:v>1.6440533397405095</c:v>
                </c:pt>
                <c:pt idx="1">
                  <c:v>2.0299609965772505</c:v>
                </c:pt>
                <c:pt idx="2">
                  <c:v>1.7439476553980371</c:v>
                </c:pt>
                <c:pt idx="3">
                  <c:v>1.798061296044219</c:v>
                </c:pt>
                <c:pt idx="4">
                  <c:v>1.4903119611224329</c:v>
                </c:pt>
              </c:numCache>
            </c:numRef>
          </c:val>
          <c:extLst>
            <c:ext xmlns:c16="http://schemas.microsoft.com/office/drawing/2014/chart" uri="{C3380CC4-5D6E-409C-BE32-E72D297353CC}">
              <c16:uniqueId val="{00000004-61F5-48FE-BD12-310CFD5B5666}"/>
            </c:ext>
          </c:extLst>
        </c:ser>
        <c:dLbls>
          <c:showLegendKey val="0"/>
          <c:showVal val="0"/>
          <c:showCatName val="0"/>
          <c:showSerName val="0"/>
          <c:showPercent val="0"/>
          <c:showBubbleSize val="0"/>
        </c:dLbls>
        <c:gapWidth val="219"/>
        <c:overlap val="-27"/>
        <c:axId val="476044296"/>
        <c:axId val="487410184"/>
      </c:barChart>
      <c:catAx>
        <c:axId val="476044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410184"/>
        <c:crosses val="autoZero"/>
        <c:auto val="1"/>
        <c:lblAlgn val="ctr"/>
        <c:lblOffset val="100"/>
        <c:noMultiLvlLbl val="0"/>
      </c:catAx>
      <c:valAx>
        <c:axId val="487410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44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Profit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RATIOS'!$B$140</c:f>
              <c:strCache>
                <c:ptCount val="1"/>
                <c:pt idx="0">
                  <c:v>Monster</c:v>
                </c:pt>
              </c:strCache>
            </c:strRef>
          </c:tx>
          <c:spPr>
            <a:solidFill>
              <a:schemeClr val="accent1"/>
            </a:solidFill>
            <a:ln>
              <a:noFill/>
            </a:ln>
            <a:effectLst/>
          </c:spPr>
          <c:invertIfNegative val="0"/>
          <c:cat>
            <c:numRef>
              <c:f>'FINANCIAL RATIOS'!$D$139:$G$139</c:f>
              <c:numCache>
                <c:formatCode>General</c:formatCode>
                <c:ptCount val="4"/>
                <c:pt idx="0">
                  <c:v>2022</c:v>
                </c:pt>
                <c:pt idx="1">
                  <c:v>2023</c:v>
                </c:pt>
                <c:pt idx="2">
                  <c:v>2024</c:v>
                </c:pt>
                <c:pt idx="3">
                  <c:v>2025</c:v>
                </c:pt>
              </c:numCache>
            </c:numRef>
          </c:cat>
          <c:val>
            <c:numRef>
              <c:f>'FINANCIAL RATIOS'!$C$140:$G$140</c:f>
              <c:numCache>
                <c:formatCode>0.00%</c:formatCode>
                <c:ptCount val="5"/>
                <c:pt idx="0">
                  <c:v>0.56096652946789882</c:v>
                </c:pt>
                <c:pt idx="1">
                  <c:v>0.50301724752616439</c:v>
                </c:pt>
                <c:pt idx="2">
                  <c:v>0.53139939106672851</c:v>
                </c:pt>
                <c:pt idx="3">
                  <c:v>0.54037571724725997</c:v>
                </c:pt>
                <c:pt idx="4">
                  <c:v>0.55847642182147517</c:v>
                </c:pt>
              </c:numCache>
            </c:numRef>
          </c:val>
          <c:extLst>
            <c:ext xmlns:c16="http://schemas.microsoft.com/office/drawing/2014/chart" uri="{C3380CC4-5D6E-409C-BE32-E72D297353CC}">
              <c16:uniqueId val="{00000000-B229-40EB-ABA7-42368E7979DB}"/>
            </c:ext>
          </c:extLst>
        </c:ser>
        <c:ser>
          <c:idx val="1"/>
          <c:order val="1"/>
          <c:tx>
            <c:strRef>
              <c:f>'FINANCIAL RATIOS'!$B$141</c:f>
              <c:strCache>
                <c:ptCount val="1"/>
                <c:pt idx="0">
                  <c:v>PepsiCo</c:v>
                </c:pt>
              </c:strCache>
            </c:strRef>
          </c:tx>
          <c:spPr>
            <a:solidFill>
              <a:schemeClr val="accent2"/>
            </a:solidFill>
            <a:ln>
              <a:noFill/>
            </a:ln>
            <a:effectLst/>
          </c:spPr>
          <c:invertIfNegative val="0"/>
          <c:cat>
            <c:numRef>
              <c:f>'FINANCIAL RATIOS'!$D$139:$G$139</c:f>
              <c:numCache>
                <c:formatCode>General</c:formatCode>
                <c:ptCount val="4"/>
                <c:pt idx="0">
                  <c:v>2022</c:v>
                </c:pt>
                <c:pt idx="1">
                  <c:v>2023</c:v>
                </c:pt>
                <c:pt idx="2">
                  <c:v>2024</c:v>
                </c:pt>
                <c:pt idx="3">
                  <c:v>2025</c:v>
                </c:pt>
              </c:numCache>
            </c:numRef>
          </c:cat>
          <c:val>
            <c:numRef>
              <c:f>'FINANCIAL RATIOS'!$C$141:$G$141</c:f>
              <c:numCache>
                <c:formatCode>0.00%</c:formatCode>
                <c:ptCount val="5"/>
                <c:pt idx="0">
                  <c:v>0.53349523114477693</c:v>
                </c:pt>
                <c:pt idx="1">
                  <c:v>0.5303268821187147</c:v>
                </c:pt>
                <c:pt idx="2">
                  <c:v>0.54213903860239854</c:v>
                </c:pt>
                <c:pt idx="3">
                  <c:v>0.54553966076599825</c:v>
                </c:pt>
                <c:pt idx="4">
                  <c:v>0.54148522757519302</c:v>
                </c:pt>
              </c:numCache>
            </c:numRef>
          </c:val>
          <c:extLst>
            <c:ext xmlns:c16="http://schemas.microsoft.com/office/drawing/2014/chart" uri="{C3380CC4-5D6E-409C-BE32-E72D297353CC}">
              <c16:uniqueId val="{00000001-B229-40EB-ABA7-42368E7979DB}"/>
            </c:ext>
          </c:extLst>
        </c:ser>
        <c:ser>
          <c:idx val="2"/>
          <c:order val="2"/>
          <c:tx>
            <c:strRef>
              <c:f>'FINANCIAL RATIOS'!$B$142</c:f>
              <c:strCache>
                <c:ptCount val="1"/>
                <c:pt idx="0">
                  <c:v>Coca-Cola</c:v>
                </c:pt>
              </c:strCache>
            </c:strRef>
          </c:tx>
          <c:spPr>
            <a:solidFill>
              <a:schemeClr val="accent3"/>
            </a:solidFill>
            <a:ln>
              <a:noFill/>
            </a:ln>
            <a:effectLst/>
          </c:spPr>
          <c:invertIfNegative val="0"/>
          <c:cat>
            <c:numRef>
              <c:f>'FINANCIAL RATIOS'!$D$139:$G$139</c:f>
              <c:numCache>
                <c:formatCode>General</c:formatCode>
                <c:ptCount val="4"/>
                <c:pt idx="0">
                  <c:v>2022</c:v>
                </c:pt>
                <c:pt idx="1">
                  <c:v>2023</c:v>
                </c:pt>
                <c:pt idx="2">
                  <c:v>2024</c:v>
                </c:pt>
                <c:pt idx="3">
                  <c:v>2025</c:v>
                </c:pt>
              </c:numCache>
            </c:numRef>
          </c:cat>
          <c:val>
            <c:numRef>
              <c:f>'FINANCIAL RATIOS'!$C$142:$G$142</c:f>
              <c:numCache>
                <c:formatCode>0.00%</c:formatCode>
                <c:ptCount val="5"/>
                <c:pt idx="0">
                  <c:v>0.60271633682576642</c:v>
                </c:pt>
                <c:pt idx="1">
                  <c:v>0.58143428518277374</c:v>
                </c:pt>
                <c:pt idx="2">
                  <c:v>0.5952266468505486</c:v>
                </c:pt>
                <c:pt idx="3">
                  <c:v>0.61063300822336963</c:v>
                </c:pt>
                <c:pt idx="4">
                  <c:v>0.61625748315637974</c:v>
                </c:pt>
              </c:numCache>
            </c:numRef>
          </c:val>
          <c:extLst>
            <c:ext xmlns:c16="http://schemas.microsoft.com/office/drawing/2014/chart" uri="{C3380CC4-5D6E-409C-BE32-E72D297353CC}">
              <c16:uniqueId val="{00000002-B229-40EB-ABA7-42368E7979DB}"/>
            </c:ext>
          </c:extLst>
        </c:ser>
        <c:ser>
          <c:idx val="3"/>
          <c:order val="3"/>
          <c:tx>
            <c:strRef>
              <c:f>'FINANCIAL RATIOS'!$B$143</c:f>
              <c:strCache>
                <c:ptCount val="1"/>
                <c:pt idx="0">
                  <c:v>CELH</c:v>
                </c:pt>
              </c:strCache>
            </c:strRef>
          </c:tx>
          <c:spPr>
            <a:solidFill>
              <a:schemeClr val="accent4"/>
            </a:solidFill>
            <a:ln>
              <a:noFill/>
            </a:ln>
            <a:effectLst/>
          </c:spPr>
          <c:invertIfNegative val="0"/>
          <c:cat>
            <c:numRef>
              <c:f>'FINANCIAL RATIOS'!$D$139:$G$139</c:f>
              <c:numCache>
                <c:formatCode>General</c:formatCode>
                <c:ptCount val="4"/>
                <c:pt idx="0">
                  <c:v>2022</c:v>
                </c:pt>
                <c:pt idx="1">
                  <c:v>2023</c:v>
                </c:pt>
                <c:pt idx="2">
                  <c:v>2024</c:v>
                </c:pt>
                <c:pt idx="3">
                  <c:v>2025</c:v>
                </c:pt>
              </c:numCache>
            </c:numRef>
          </c:cat>
          <c:val>
            <c:numRef>
              <c:f>'FINANCIAL RATIOS'!$C$143:$G$143</c:f>
              <c:numCache>
                <c:formatCode>0.00%</c:formatCode>
                <c:ptCount val="5"/>
                <c:pt idx="0">
                  <c:v>0.40782825068730272</c:v>
                </c:pt>
                <c:pt idx="1">
                  <c:v>0.41442371833709707</c:v>
                </c:pt>
                <c:pt idx="2">
                  <c:v>0.48037350134368828</c:v>
                </c:pt>
                <c:pt idx="3">
                  <c:v>0.50176449326143568</c:v>
                </c:pt>
                <c:pt idx="4">
                  <c:v>0.50385585001047606</c:v>
                </c:pt>
              </c:numCache>
            </c:numRef>
          </c:val>
          <c:extLst>
            <c:ext xmlns:c16="http://schemas.microsoft.com/office/drawing/2014/chart" uri="{C3380CC4-5D6E-409C-BE32-E72D297353CC}">
              <c16:uniqueId val="{00000003-B229-40EB-ABA7-42368E7979DB}"/>
            </c:ext>
          </c:extLst>
        </c:ser>
        <c:ser>
          <c:idx val="4"/>
          <c:order val="4"/>
          <c:tx>
            <c:strRef>
              <c:f>'FINANCIAL RATIOS'!$B$144</c:f>
              <c:strCache>
                <c:ptCount val="1"/>
                <c:pt idx="0">
                  <c:v>KDP</c:v>
                </c:pt>
              </c:strCache>
            </c:strRef>
          </c:tx>
          <c:spPr>
            <a:solidFill>
              <a:schemeClr val="accent5"/>
            </a:solidFill>
            <a:ln>
              <a:noFill/>
            </a:ln>
            <a:effectLst/>
          </c:spPr>
          <c:invertIfNegative val="0"/>
          <c:cat>
            <c:numRef>
              <c:f>'FINANCIAL RATIOS'!$D$139:$G$139</c:f>
              <c:numCache>
                <c:formatCode>General</c:formatCode>
                <c:ptCount val="4"/>
                <c:pt idx="0">
                  <c:v>2022</c:v>
                </c:pt>
                <c:pt idx="1">
                  <c:v>2023</c:v>
                </c:pt>
                <c:pt idx="2">
                  <c:v>2024</c:v>
                </c:pt>
                <c:pt idx="3">
                  <c:v>2025</c:v>
                </c:pt>
              </c:numCache>
            </c:numRef>
          </c:cat>
          <c:val>
            <c:numRef>
              <c:f>'FINANCIAL RATIOS'!$C$144:$G$144</c:f>
              <c:numCache>
                <c:formatCode>0.00%</c:formatCode>
                <c:ptCount val="5"/>
                <c:pt idx="0">
                  <c:v>0.55010644169360556</c:v>
                </c:pt>
                <c:pt idx="1">
                  <c:v>0.52095041616276583</c:v>
                </c:pt>
                <c:pt idx="2">
                  <c:v>0.5454299986499257</c:v>
                </c:pt>
                <c:pt idx="3">
                  <c:v>0.5555989837795583</c:v>
                </c:pt>
                <c:pt idx="4">
                  <c:v>0.54201048003372887</c:v>
                </c:pt>
              </c:numCache>
            </c:numRef>
          </c:val>
          <c:extLst>
            <c:ext xmlns:c16="http://schemas.microsoft.com/office/drawing/2014/chart" uri="{C3380CC4-5D6E-409C-BE32-E72D297353CC}">
              <c16:uniqueId val="{00000004-B229-40EB-ABA7-42368E7979DB}"/>
            </c:ext>
          </c:extLst>
        </c:ser>
        <c:dLbls>
          <c:showLegendKey val="0"/>
          <c:showVal val="0"/>
          <c:showCatName val="0"/>
          <c:showSerName val="0"/>
          <c:showPercent val="0"/>
          <c:showBubbleSize val="0"/>
        </c:dLbls>
        <c:gapWidth val="219"/>
        <c:overlap val="-27"/>
        <c:axId val="1458833928"/>
        <c:axId val="1458852872"/>
      </c:barChart>
      <c:catAx>
        <c:axId val="1458833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52872"/>
        <c:crosses val="autoZero"/>
        <c:auto val="1"/>
        <c:lblAlgn val="ctr"/>
        <c:lblOffset val="100"/>
        <c:noMultiLvlLbl val="0"/>
      </c:catAx>
      <c:valAx>
        <c:axId val="1458852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33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Profit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RATIOS'!$B$140</c:f>
              <c:strCache>
                <c:ptCount val="1"/>
                <c:pt idx="0">
                  <c:v>Monster</c:v>
                </c:pt>
              </c:strCache>
            </c:strRef>
          </c:tx>
          <c:spPr>
            <a:solidFill>
              <a:schemeClr val="accent1"/>
            </a:solidFill>
            <a:ln>
              <a:noFill/>
            </a:ln>
            <a:effectLst/>
          </c:spPr>
          <c:invertIfNegative val="0"/>
          <c:cat>
            <c:numRef>
              <c:f>'FINANCIAL RATIOS'!$D$139:$G$139</c:f>
              <c:numCache>
                <c:formatCode>General</c:formatCode>
                <c:ptCount val="4"/>
                <c:pt idx="0">
                  <c:v>2022</c:v>
                </c:pt>
                <c:pt idx="1">
                  <c:v>2023</c:v>
                </c:pt>
                <c:pt idx="2">
                  <c:v>2024</c:v>
                </c:pt>
                <c:pt idx="3">
                  <c:v>2025</c:v>
                </c:pt>
              </c:numCache>
            </c:numRef>
          </c:cat>
          <c:val>
            <c:numRef>
              <c:f>'FINANCIAL RATIOS'!$C$140:$G$140</c:f>
              <c:numCache>
                <c:formatCode>0.00%</c:formatCode>
                <c:ptCount val="5"/>
                <c:pt idx="0">
                  <c:v>0.56096652946789882</c:v>
                </c:pt>
                <c:pt idx="1">
                  <c:v>0.50301724752616439</c:v>
                </c:pt>
                <c:pt idx="2">
                  <c:v>0.53139939106672851</c:v>
                </c:pt>
                <c:pt idx="3">
                  <c:v>0.54037571724725997</c:v>
                </c:pt>
                <c:pt idx="4">
                  <c:v>0.55847642182147517</c:v>
                </c:pt>
              </c:numCache>
            </c:numRef>
          </c:val>
          <c:extLst>
            <c:ext xmlns:c16="http://schemas.microsoft.com/office/drawing/2014/chart" uri="{C3380CC4-5D6E-409C-BE32-E72D297353CC}">
              <c16:uniqueId val="{00000000-B229-40EB-ABA7-42368E7979DB}"/>
            </c:ext>
          </c:extLst>
        </c:ser>
        <c:ser>
          <c:idx val="1"/>
          <c:order val="1"/>
          <c:tx>
            <c:strRef>
              <c:f>'FINANCIAL RATIOS'!$B$141</c:f>
              <c:strCache>
                <c:ptCount val="1"/>
                <c:pt idx="0">
                  <c:v>PepsiCo</c:v>
                </c:pt>
              </c:strCache>
            </c:strRef>
          </c:tx>
          <c:spPr>
            <a:solidFill>
              <a:schemeClr val="accent2"/>
            </a:solidFill>
            <a:ln>
              <a:noFill/>
            </a:ln>
            <a:effectLst/>
          </c:spPr>
          <c:invertIfNegative val="0"/>
          <c:cat>
            <c:numRef>
              <c:f>'FINANCIAL RATIOS'!$D$139:$G$139</c:f>
              <c:numCache>
                <c:formatCode>General</c:formatCode>
                <c:ptCount val="4"/>
                <c:pt idx="0">
                  <c:v>2022</c:v>
                </c:pt>
                <c:pt idx="1">
                  <c:v>2023</c:v>
                </c:pt>
                <c:pt idx="2">
                  <c:v>2024</c:v>
                </c:pt>
                <c:pt idx="3">
                  <c:v>2025</c:v>
                </c:pt>
              </c:numCache>
            </c:numRef>
          </c:cat>
          <c:val>
            <c:numRef>
              <c:f>'FINANCIAL RATIOS'!$C$141:$G$141</c:f>
              <c:numCache>
                <c:formatCode>0.00%</c:formatCode>
                <c:ptCount val="5"/>
                <c:pt idx="0">
                  <c:v>0.53349523114477693</c:v>
                </c:pt>
                <c:pt idx="1">
                  <c:v>0.5303268821187147</c:v>
                </c:pt>
                <c:pt idx="2">
                  <c:v>0.54213903860239854</c:v>
                </c:pt>
                <c:pt idx="3">
                  <c:v>0.54553966076599825</c:v>
                </c:pt>
                <c:pt idx="4">
                  <c:v>0.54148522757519302</c:v>
                </c:pt>
              </c:numCache>
            </c:numRef>
          </c:val>
          <c:extLst>
            <c:ext xmlns:c16="http://schemas.microsoft.com/office/drawing/2014/chart" uri="{C3380CC4-5D6E-409C-BE32-E72D297353CC}">
              <c16:uniqueId val="{00000001-B229-40EB-ABA7-42368E7979DB}"/>
            </c:ext>
          </c:extLst>
        </c:ser>
        <c:ser>
          <c:idx val="2"/>
          <c:order val="2"/>
          <c:tx>
            <c:strRef>
              <c:f>'FINANCIAL RATIOS'!$B$142</c:f>
              <c:strCache>
                <c:ptCount val="1"/>
                <c:pt idx="0">
                  <c:v>Coca-Cola</c:v>
                </c:pt>
              </c:strCache>
            </c:strRef>
          </c:tx>
          <c:spPr>
            <a:solidFill>
              <a:schemeClr val="accent3"/>
            </a:solidFill>
            <a:ln>
              <a:noFill/>
            </a:ln>
            <a:effectLst/>
          </c:spPr>
          <c:invertIfNegative val="0"/>
          <c:cat>
            <c:numRef>
              <c:f>'FINANCIAL RATIOS'!$D$139:$G$139</c:f>
              <c:numCache>
                <c:formatCode>General</c:formatCode>
                <c:ptCount val="4"/>
                <c:pt idx="0">
                  <c:v>2022</c:v>
                </c:pt>
                <c:pt idx="1">
                  <c:v>2023</c:v>
                </c:pt>
                <c:pt idx="2">
                  <c:v>2024</c:v>
                </c:pt>
                <c:pt idx="3">
                  <c:v>2025</c:v>
                </c:pt>
              </c:numCache>
            </c:numRef>
          </c:cat>
          <c:val>
            <c:numRef>
              <c:f>'FINANCIAL RATIOS'!$C$142:$G$142</c:f>
              <c:numCache>
                <c:formatCode>0.00%</c:formatCode>
                <c:ptCount val="5"/>
                <c:pt idx="0">
                  <c:v>0.60271633682576642</c:v>
                </c:pt>
                <c:pt idx="1">
                  <c:v>0.58143428518277374</c:v>
                </c:pt>
                <c:pt idx="2">
                  <c:v>0.5952266468505486</c:v>
                </c:pt>
                <c:pt idx="3">
                  <c:v>0.61063300822336963</c:v>
                </c:pt>
                <c:pt idx="4">
                  <c:v>0.61625748315637974</c:v>
                </c:pt>
              </c:numCache>
            </c:numRef>
          </c:val>
          <c:extLst>
            <c:ext xmlns:c16="http://schemas.microsoft.com/office/drawing/2014/chart" uri="{C3380CC4-5D6E-409C-BE32-E72D297353CC}">
              <c16:uniqueId val="{00000002-B229-40EB-ABA7-42368E7979DB}"/>
            </c:ext>
          </c:extLst>
        </c:ser>
        <c:ser>
          <c:idx val="3"/>
          <c:order val="3"/>
          <c:tx>
            <c:strRef>
              <c:f>'FINANCIAL RATIOS'!$B$143</c:f>
              <c:strCache>
                <c:ptCount val="1"/>
                <c:pt idx="0">
                  <c:v>CELH</c:v>
                </c:pt>
              </c:strCache>
            </c:strRef>
          </c:tx>
          <c:spPr>
            <a:solidFill>
              <a:schemeClr val="accent4"/>
            </a:solidFill>
            <a:ln>
              <a:noFill/>
            </a:ln>
            <a:effectLst/>
          </c:spPr>
          <c:invertIfNegative val="0"/>
          <c:cat>
            <c:numRef>
              <c:f>'FINANCIAL RATIOS'!$D$139:$G$139</c:f>
              <c:numCache>
                <c:formatCode>General</c:formatCode>
                <c:ptCount val="4"/>
                <c:pt idx="0">
                  <c:v>2022</c:v>
                </c:pt>
                <c:pt idx="1">
                  <c:v>2023</c:v>
                </c:pt>
                <c:pt idx="2">
                  <c:v>2024</c:v>
                </c:pt>
                <c:pt idx="3">
                  <c:v>2025</c:v>
                </c:pt>
              </c:numCache>
            </c:numRef>
          </c:cat>
          <c:val>
            <c:numRef>
              <c:f>'FINANCIAL RATIOS'!$C$143:$G$143</c:f>
              <c:numCache>
                <c:formatCode>0.00%</c:formatCode>
                <c:ptCount val="5"/>
                <c:pt idx="0">
                  <c:v>0.40782825068730272</c:v>
                </c:pt>
                <c:pt idx="1">
                  <c:v>0.41442371833709707</c:v>
                </c:pt>
                <c:pt idx="2">
                  <c:v>0.48037350134368828</c:v>
                </c:pt>
                <c:pt idx="3">
                  <c:v>0.50176449326143568</c:v>
                </c:pt>
                <c:pt idx="4">
                  <c:v>0.50385585001047606</c:v>
                </c:pt>
              </c:numCache>
            </c:numRef>
          </c:val>
          <c:extLst>
            <c:ext xmlns:c16="http://schemas.microsoft.com/office/drawing/2014/chart" uri="{C3380CC4-5D6E-409C-BE32-E72D297353CC}">
              <c16:uniqueId val="{00000003-B229-40EB-ABA7-42368E7979DB}"/>
            </c:ext>
          </c:extLst>
        </c:ser>
        <c:ser>
          <c:idx val="4"/>
          <c:order val="4"/>
          <c:tx>
            <c:strRef>
              <c:f>'FINANCIAL RATIOS'!$B$144</c:f>
              <c:strCache>
                <c:ptCount val="1"/>
                <c:pt idx="0">
                  <c:v>KDP</c:v>
                </c:pt>
              </c:strCache>
            </c:strRef>
          </c:tx>
          <c:spPr>
            <a:solidFill>
              <a:schemeClr val="accent5"/>
            </a:solidFill>
            <a:ln>
              <a:noFill/>
            </a:ln>
            <a:effectLst/>
          </c:spPr>
          <c:invertIfNegative val="0"/>
          <c:cat>
            <c:numRef>
              <c:f>'FINANCIAL RATIOS'!$D$139:$G$139</c:f>
              <c:numCache>
                <c:formatCode>General</c:formatCode>
                <c:ptCount val="4"/>
                <c:pt idx="0">
                  <c:v>2022</c:v>
                </c:pt>
                <c:pt idx="1">
                  <c:v>2023</c:v>
                </c:pt>
                <c:pt idx="2">
                  <c:v>2024</c:v>
                </c:pt>
                <c:pt idx="3">
                  <c:v>2025</c:v>
                </c:pt>
              </c:numCache>
            </c:numRef>
          </c:cat>
          <c:val>
            <c:numRef>
              <c:f>'FINANCIAL RATIOS'!$C$144:$G$144</c:f>
              <c:numCache>
                <c:formatCode>0.00%</c:formatCode>
                <c:ptCount val="5"/>
                <c:pt idx="0">
                  <c:v>0.55010644169360556</c:v>
                </c:pt>
                <c:pt idx="1">
                  <c:v>0.52095041616276583</c:v>
                </c:pt>
                <c:pt idx="2">
                  <c:v>0.5454299986499257</c:v>
                </c:pt>
                <c:pt idx="3">
                  <c:v>0.5555989837795583</c:v>
                </c:pt>
                <c:pt idx="4">
                  <c:v>0.54201048003372887</c:v>
                </c:pt>
              </c:numCache>
            </c:numRef>
          </c:val>
          <c:extLst>
            <c:ext xmlns:c16="http://schemas.microsoft.com/office/drawing/2014/chart" uri="{C3380CC4-5D6E-409C-BE32-E72D297353CC}">
              <c16:uniqueId val="{00000004-B229-40EB-ABA7-42368E7979DB}"/>
            </c:ext>
          </c:extLst>
        </c:ser>
        <c:dLbls>
          <c:showLegendKey val="0"/>
          <c:showVal val="0"/>
          <c:showCatName val="0"/>
          <c:showSerName val="0"/>
          <c:showPercent val="0"/>
          <c:showBubbleSize val="0"/>
        </c:dLbls>
        <c:gapWidth val="219"/>
        <c:overlap val="-27"/>
        <c:axId val="1458833928"/>
        <c:axId val="1458852872"/>
      </c:barChart>
      <c:catAx>
        <c:axId val="1458833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52872"/>
        <c:crosses val="autoZero"/>
        <c:auto val="1"/>
        <c:lblAlgn val="ctr"/>
        <c:lblOffset val="100"/>
        <c:noMultiLvlLbl val="0"/>
      </c:catAx>
      <c:valAx>
        <c:axId val="1458852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33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on Assets (ROA)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RATIOS'!$B$164</c:f>
              <c:strCache>
                <c:ptCount val="1"/>
                <c:pt idx="0">
                  <c:v>Monster</c:v>
                </c:pt>
              </c:strCache>
            </c:strRef>
          </c:tx>
          <c:spPr>
            <a:solidFill>
              <a:schemeClr val="accent1"/>
            </a:solidFill>
            <a:ln>
              <a:noFill/>
            </a:ln>
            <a:effectLst/>
          </c:spPr>
          <c:invertIfNegative val="0"/>
          <c:cat>
            <c:numRef>
              <c:f>'FINANCIAL RATIOS'!$C$163:$G$163</c:f>
              <c:numCache>
                <c:formatCode>General</c:formatCode>
                <c:ptCount val="5"/>
                <c:pt idx="0">
                  <c:v>2021</c:v>
                </c:pt>
                <c:pt idx="1">
                  <c:v>2022</c:v>
                </c:pt>
                <c:pt idx="2">
                  <c:v>2023</c:v>
                </c:pt>
                <c:pt idx="3">
                  <c:v>2024</c:v>
                </c:pt>
                <c:pt idx="4">
                  <c:v>2025</c:v>
                </c:pt>
              </c:numCache>
            </c:numRef>
          </c:cat>
          <c:val>
            <c:numRef>
              <c:f>'FINANCIAL RATIOS'!$C$164:$G$164</c:f>
              <c:numCache>
                <c:formatCode>0.00%</c:formatCode>
                <c:ptCount val="5"/>
                <c:pt idx="0">
                  <c:v>0.17649111109288868</c:v>
                </c:pt>
                <c:pt idx="1">
                  <c:v>0.14368852197096263</c:v>
                </c:pt>
                <c:pt idx="2">
                  <c:v>0.16837705009083753</c:v>
                </c:pt>
                <c:pt idx="3">
                  <c:v>0.19549560835482005</c:v>
                </c:pt>
                <c:pt idx="4">
                  <c:v>0.1907540786339299</c:v>
                </c:pt>
              </c:numCache>
            </c:numRef>
          </c:val>
          <c:extLst>
            <c:ext xmlns:c16="http://schemas.microsoft.com/office/drawing/2014/chart" uri="{C3380CC4-5D6E-409C-BE32-E72D297353CC}">
              <c16:uniqueId val="{00000000-B20D-4CE7-98D5-EA6F64726142}"/>
            </c:ext>
          </c:extLst>
        </c:ser>
        <c:ser>
          <c:idx val="1"/>
          <c:order val="1"/>
          <c:tx>
            <c:strRef>
              <c:f>'FINANCIAL RATIOS'!$B$165</c:f>
              <c:strCache>
                <c:ptCount val="1"/>
                <c:pt idx="0">
                  <c:v>PepsiCo</c:v>
                </c:pt>
              </c:strCache>
            </c:strRef>
          </c:tx>
          <c:spPr>
            <a:solidFill>
              <a:schemeClr val="accent2"/>
            </a:solidFill>
            <a:ln>
              <a:noFill/>
            </a:ln>
            <a:effectLst/>
          </c:spPr>
          <c:invertIfNegative val="0"/>
          <c:cat>
            <c:numRef>
              <c:f>'FINANCIAL RATIOS'!$C$163:$G$163</c:f>
              <c:numCache>
                <c:formatCode>General</c:formatCode>
                <c:ptCount val="5"/>
                <c:pt idx="0">
                  <c:v>2021</c:v>
                </c:pt>
                <c:pt idx="1">
                  <c:v>2022</c:v>
                </c:pt>
                <c:pt idx="2">
                  <c:v>2023</c:v>
                </c:pt>
                <c:pt idx="3">
                  <c:v>2024</c:v>
                </c:pt>
                <c:pt idx="4">
                  <c:v>2025</c:v>
                </c:pt>
              </c:numCache>
            </c:numRef>
          </c:cat>
          <c:val>
            <c:numRef>
              <c:f>'FINANCIAL RATIOS'!$C$165:$G$165</c:f>
              <c:numCache>
                <c:formatCode>0.00%</c:formatCode>
                <c:ptCount val="5"/>
                <c:pt idx="0">
                  <c:v>8.3126752330125467E-2</c:v>
                </c:pt>
                <c:pt idx="1">
                  <c:v>9.7378439645541617E-2</c:v>
                </c:pt>
                <c:pt idx="2">
                  <c:v>9.1099059654709186E-2</c:v>
                </c:pt>
                <c:pt idx="3">
                  <c:v>9.6775815094453432E-2</c:v>
                </c:pt>
                <c:pt idx="4">
                  <c:v>7.7235356008901385E-2</c:v>
                </c:pt>
              </c:numCache>
            </c:numRef>
          </c:val>
          <c:extLst>
            <c:ext xmlns:c16="http://schemas.microsoft.com/office/drawing/2014/chart" uri="{C3380CC4-5D6E-409C-BE32-E72D297353CC}">
              <c16:uniqueId val="{00000001-B20D-4CE7-98D5-EA6F64726142}"/>
            </c:ext>
          </c:extLst>
        </c:ser>
        <c:ser>
          <c:idx val="2"/>
          <c:order val="2"/>
          <c:tx>
            <c:strRef>
              <c:f>'FINANCIAL RATIOS'!$B$166</c:f>
              <c:strCache>
                <c:ptCount val="1"/>
                <c:pt idx="0">
                  <c:v>Coca-Cola</c:v>
                </c:pt>
              </c:strCache>
            </c:strRef>
          </c:tx>
          <c:spPr>
            <a:solidFill>
              <a:schemeClr val="accent3"/>
            </a:solidFill>
            <a:ln>
              <a:noFill/>
            </a:ln>
            <a:effectLst/>
          </c:spPr>
          <c:invertIfNegative val="0"/>
          <c:cat>
            <c:numRef>
              <c:f>'FINANCIAL RATIOS'!$C$163:$G$163</c:f>
              <c:numCache>
                <c:formatCode>General</c:formatCode>
                <c:ptCount val="5"/>
                <c:pt idx="0">
                  <c:v>2021</c:v>
                </c:pt>
                <c:pt idx="1">
                  <c:v>2022</c:v>
                </c:pt>
                <c:pt idx="2">
                  <c:v>2023</c:v>
                </c:pt>
                <c:pt idx="3">
                  <c:v>2024</c:v>
                </c:pt>
                <c:pt idx="4">
                  <c:v>2025</c:v>
                </c:pt>
              </c:numCache>
            </c:numRef>
          </c:cat>
          <c:val>
            <c:numRef>
              <c:f>'FINANCIAL RATIOS'!$C$166:$G$166</c:f>
              <c:numCache>
                <c:formatCode>0.00%</c:formatCode>
                <c:ptCount val="5"/>
                <c:pt idx="0">
                  <c:v>0.10390656463954893</c:v>
                </c:pt>
                <c:pt idx="1">
                  <c:v>0.10317691320893028</c:v>
                </c:pt>
                <c:pt idx="2">
                  <c:v>0.10954627800579307</c:v>
                </c:pt>
                <c:pt idx="3">
                  <c:v>0.10590856199464938</c:v>
                </c:pt>
                <c:pt idx="4">
                  <c:v>0.12533391848572736</c:v>
                </c:pt>
              </c:numCache>
            </c:numRef>
          </c:val>
          <c:extLst>
            <c:ext xmlns:c16="http://schemas.microsoft.com/office/drawing/2014/chart" uri="{C3380CC4-5D6E-409C-BE32-E72D297353CC}">
              <c16:uniqueId val="{00000002-B20D-4CE7-98D5-EA6F64726142}"/>
            </c:ext>
          </c:extLst>
        </c:ser>
        <c:ser>
          <c:idx val="3"/>
          <c:order val="3"/>
          <c:tx>
            <c:strRef>
              <c:f>'FINANCIAL RATIOS'!$B$167</c:f>
              <c:strCache>
                <c:ptCount val="1"/>
                <c:pt idx="0">
                  <c:v>CELH</c:v>
                </c:pt>
              </c:strCache>
            </c:strRef>
          </c:tx>
          <c:spPr>
            <a:solidFill>
              <a:schemeClr val="accent4"/>
            </a:solidFill>
            <a:ln>
              <a:noFill/>
            </a:ln>
            <a:effectLst/>
          </c:spPr>
          <c:invertIfNegative val="0"/>
          <c:cat>
            <c:numRef>
              <c:f>'FINANCIAL RATIOS'!$C$163:$G$163</c:f>
              <c:numCache>
                <c:formatCode>General</c:formatCode>
                <c:ptCount val="5"/>
                <c:pt idx="0">
                  <c:v>2021</c:v>
                </c:pt>
                <c:pt idx="1">
                  <c:v>2022</c:v>
                </c:pt>
                <c:pt idx="2">
                  <c:v>2023</c:v>
                </c:pt>
                <c:pt idx="3">
                  <c:v>2024</c:v>
                </c:pt>
                <c:pt idx="4">
                  <c:v>2025</c:v>
                </c:pt>
              </c:numCache>
            </c:numRef>
          </c:cat>
          <c:val>
            <c:numRef>
              <c:f>'FINANCIAL RATIOS'!$C$167:$G$167</c:f>
              <c:numCache>
                <c:formatCode>0.00%</c:formatCode>
                <c:ptCount val="5"/>
                <c:pt idx="0">
                  <c:v>1.3416428357610073E-2</c:v>
                </c:pt>
                <c:pt idx="1">
                  <c:v>-0.1532499392423832</c:v>
                </c:pt>
                <c:pt idx="2">
                  <c:v>0.14761884305869061</c:v>
                </c:pt>
                <c:pt idx="3">
                  <c:v>8.2107397159174839E-2</c:v>
                </c:pt>
                <c:pt idx="4">
                  <c:v>2.1095116220517105E-2</c:v>
                </c:pt>
              </c:numCache>
            </c:numRef>
          </c:val>
          <c:extLst>
            <c:ext xmlns:c16="http://schemas.microsoft.com/office/drawing/2014/chart" uri="{C3380CC4-5D6E-409C-BE32-E72D297353CC}">
              <c16:uniqueId val="{00000003-B20D-4CE7-98D5-EA6F64726142}"/>
            </c:ext>
          </c:extLst>
        </c:ser>
        <c:ser>
          <c:idx val="4"/>
          <c:order val="4"/>
          <c:tx>
            <c:strRef>
              <c:f>'FINANCIAL RATIOS'!$B$168</c:f>
              <c:strCache>
                <c:ptCount val="1"/>
                <c:pt idx="0">
                  <c:v>KDP</c:v>
                </c:pt>
              </c:strCache>
            </c:strRef>
          </c:tx>
          <c:spPr>
            <a:solidFill>
              <a:schemeClr val="accent5"/>
            </a:solidFill>
            <a:ln>
              <a:noFill/>
            </a:ln>
            <a:effectLst/>
          </c:spPr>
          <c:invertIfNegative val="0"/>
          <c:cat>
            <c:numRef>
              <c:f>'FINANCIAL RATIOS'!$C$163:$G$163</c:f>
              <c:numCache>
                <c:formatCode>General</c:formatCode>
                <c:ptCount val="5"/>
                <c:pt idx="0">
                  <c:v>2021</c:v>
                </c:pt>
                <c:pt idx="1">
                  <c:v>2022</c:v>
                </c:pt>
                <c:pt idx="2">
                  <c:v>2023</c:v>
                </c:pt>
                <c:pt idx="3">
                  <c:v>2024</c:v>
                </c:pt>
                <c:pt idx="4">
                  <c:v>2025</c:v>
                </c:pt>
              </c:numCache>
            </c:numRef>
          </c:cat>
          <c:val>
            <c:numRef>
              <c:f>'FINANCIAL RATIOS'!$C$168:$G$168</c:f>
              <c:numCache>
                <c:formatCode>0.00%</c:formatCode>
                <c:ptCount val="5"/>
                <c:pt idx="0">
                  <c:v>4.2392979959682199E-2</c:v>
                </c:pt>
                <c:pt idx="1">
                  <c:v>2.768292918185852E-2</c:v>
                </c:pt>
                <c:pt idx="2">
                  <c:v>4.1837713408785726E-2</c:v>
                </c:pt>
                <c:pt idx="3">
                  <c:v>2.6969867115852517E-2</c:v>
                </c:pt>
                <c:pt idx="4">
                  <c:v>3.7487152671342797E-2</c:v>
                </c:pt>
              </c:numCache>
            </c:numRef>
          </c:val>
          <c:extLst>
            <c:ext xmlns:c16="http://schemas.microsoft.com/office/drawing/2014/chart" uri="{C3380CC4-5D6E-409C-BE32-E72D297353CC}">
              <c16:uniqueId val="{00000004-B20D-4CE7-98D5-EA6F64726142}"/>
            </c:ext>
          </c:extLst>
        </c:ser>
        <c:dLbls>
          <c:showLegendKey val="0"/>
          <c:showVal val="0"/>
          <c:showCatName val="0"/>
          <c:showSerName val="0"/>
          <c:showPercent val="0"/>
          <c:showBubbleSize val="0"/>
        </c:dLbls>
        <c:gapWidth val="219"/>
        <c:overlap val="-27"/>
        <c:axId val="178538503"/>
        <c:axId val="178565127"/>
      </c:barChart>
      <c:catAx>
        <c:axId val="178538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5127"/>
        <c:crosses val="autoZero"/>
        <c:auto val="1"/>
        <c:lblAlgn val="ctr"/>
        <c:lblOffset val="100"/>
        <c:noMultiLvlLbl val="0"/>
      </c:catAx>
      <c:valAx>
        <c:axId val="178565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38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Earnings Per Share (EPS)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RATIOS'!$B$190</c:f>
              <c:strCache>
                <c:ptCount val="1"/>
                <c:pt idx="0">
                  <c:v>Monster</c:v>
                </c:pt>
              </c:strCache>
            </c:strRef>
          </c:tx>
          <c:spPr>
            <a:solidFill>
              <a:schemeClr val="accent1"/>
            </a:solidFill>
            <a:ln>
              <a:noFill/>
            </a:ln>
            <a:effectLst/>
          </c:spPr>
          <c:invertIfNegative val="0"/>
          <c:cat>
            <c:numRef>
              <c:f>'FINANCIAL RATIOS'!$C$189:$G$189</c:f>
              <c:numCache>
                <c:formatCode>General</c:formatCode>
                <c:ptCount val="5"/>
                <c:pt idx="0">
                  <c:v>2021</c:v>
                </c:pt>
                <c:pt idx="1">
                  <c:v>2022</c:v>
                </c:pt>
                <c:pt idx="2">
                  <c:v>2023</c:v>
                </c:pt>
                <c:pt idx="3">
                  <c:v>2024</c:v>
                </c:pt>
                <c:pt idx="4">
                  <c:v>2025</c:v>
                </c:pt>
              </c:numCache>
            </c:numRef>
          </c:cat>
          <c:val>
            <c:numRef>
              <c:f>'FINANCIAL RATIOS'!$C$190:$G$190</c:f>
              <c:numCache>
                <c:formatCode>0.00</c:formatCode>
                <c:ptCount val="5"/>
                <c:pt idx="0">
                  <c:v>2.6050896148179805</c:v>
                </c:pt>
                <c:pt idx="1">
                  <c:v>2.2620947304277506</c:v>
                </c:pt>
                <c:pt idx="2">
                  <c:v>1.5609228557729209</c:v>
                </c:pt>
                <c:pt idx="3">
                  <c:v>1.5021890050031552</c:v>
                </c:pt>
                <c:pt idx="4">
                  <c:v>1.9525129446339597</c:v>
                </c:pt>
              </c:numCache>
            </c:numRef>
          </c:val>
          <c:extLst>
            <c:ext xmlns:c16="http://schemas.microsoft.com/office/drawing/2014/chart" uri="{C3380CC4-5D6E-409C-BE32-E72D297353CC}">
              <c16:uniqueId val="{00000000-345F-4BC9-8AA7-FE41EE31382E}"/>
            </c:ext>
          </c:extLst>
        </c:ser>
        <c:ser>
          <c:idx val="1"/>
          <c:order val="1"/>
          <c:tx>
            <c:strRef>
              <c:f>'FINANCIAL RATIOS'!$B$191</c:f>
              <c:strCache>
                <c:ptCount val="1"/>
                <c:pt idx="0">
                  <c:v>PepsiCo</c:v>
                </c:pt>
              </c:strCache>
            </c:strRef>
          </c:tx>
          <c:spPr>
            <a:solidFill>
              <a:schemeClr val="accent2"/>
            </a:solidFill>
            <a:ln>
              <a:noFill/>
            </a:ln>
            <a:effectLst/>
          </c:spPr>
          <c:invertIfNegative val="0"/>
          <c:cat>
            <c:numRef>
              <c:f>'FINANCIAL RATIOS'!$C$189:$G$189</c:f>
              <c:numCache>
                <c:formatCode>General</c:formatCode>
                <c:ptCount val="5"/>
                <c:pt idx="0">
                  <c:v>2021</c:v>
                </c:pt>
                <c:pt idx="1">
                  <c:v>2022</c:v>
                </c:pt>
                <c:pt idx="2">
                  <c:v>2023</c:v>
                </c:pt>
                <c:pt idx="3">
                  <c:v>2024</c:v>
                </c:pt>
                <c:pt idx="4">
                  <c:v>2025</c:v>
                </c:pt>
              </c:numCache>
            </c:numRef>
          </c:cat>
          <c:val>
            <c:numRef>
              <c:f>'FINANCIAL RATIOS'!$C$191:$G$191</c:f>
              <c:numCache>
                <c:formatCode>0.00</c:formatCode>
                <c:ptCount val="5"/>
                <c:pt idx="0">
                  <c:v>5.5564399421128803</c:v>
                </c:pt>
                <c:pt idx="1">
                  <c:v>6.505797101449275</c:v>
                </c:pt>
                <c:pt idx="2">
                  <c:v>6.6533430232558137</c:v>
                </c:pt>
                <c:pt idx="3">
                  <c:v>7.010924981791697</c:v>
                </c:pt>
                <c:pt idx="4">
                  <c:v>6.0591672753834915</c:v>
                </c:pt>
              </c:numCache>
            </c:numRef>
          </c:val>
          <c:extLst>
            <c:ext xmlns:c16="http://schemas.microsoft.com/office/drawing/2014/chart" uri="{C3380CC4-5D6E-409C-BE32-E72D297353CC}">
              <c16:uniqueId val="{00000001-345F-4BC9-8AA7-FE41EE31382E}"/>
            </c:ext>
          </c:extLst>
        </c:ser>
        <c:ser>
          <c:idx val="2"/>
          <c:order val="2"/>
          <c:tx>
            <c:strRef>
              <c:f>'FINANCIAL RATIOS'!$B$192</c:f>
              <c:strCache>
                <c:ptCount val="1"/>
                <c:pt idx="0">
                  <c:v>Coca-Cola</c:v>
                </c:pt>
              </c:strCache>
            </c:strRef>
          </c:tx>
          <c:spPr>
            <a:solidFill>
              <a:schemeClr val="accent3"/>
            </a:solidFill>
            <a:ln>
              <a:noFill/>
            </a:ln>
            <a:effectLst/>
          </c:spPr>
          <c:invertIfNegative val="0"/>
          <c:cat>
            <c:numRef>
              <c:f>'FINANCIAL RATIOS'!$C$189:$G$189</c:f>
              <c:numCache>
                <c:formatCode>General</c:formatCode>
                <c:ptCount val="5"/>
                <c:pt idx="0">
                  <c:v>2021</c:v>
                </c:pt>
                <c:pt idx="1">
                  <c:v>2022</c:v>
                </c:pt>
                <c:pt idx="2">
                  <c:v>2023</c:v>
                </c:pt>
                <c:pt idx="3">
                  <c:v>2024</c:v>
                </c:pt>
                <c:pt idx="4">
                  <c:v>2025</c:v>
                </c:pt>
              </c:numCache>
            </c:numRef>
          </c:cat>
          <c:val>
            <c:numRef>
              <c:f>'FINANCIAL RATIOS'!$C$192:$G$192</c:f>
              <c:numCache>
                <c:formatCode>0.00</c:formatCode>
                <c:ptCount val="5"/>
                <c:pt idx="0">
                  <c:v>2.2720741599073002</c:v>
                </c:pt>
                <c:pt idx="1">
                  <c:v>2.2114140480591495</c:v>
                </c:pt>
                <c:pt idx="2">
                  <c:v>2.4758269720101782</c:v>
                </c:pt>
                <c:pt idx="3">
                  <c:v>2.4713390577860292</c:v>
                </c:pt>
                <c:pt idx="4">
                  <c:v>3.0529862886358354</c:v>
                </c:pt>
              </c:numCache>
            </c:numRef>
          </c:val>
          <c:extLst>
            <c:ext xmlns:c16="http://schemas.microsoft.com/office/drawing/2014/chart" uri="{C3380CC4-5D6E-409C-BE32-E72D297353CC}">
              <c16:uniqueId val="{00000002-345F-4BC9-8AA7-FE41EE31382E}"/>
            </c:ext>
          </c:extLst>
        </c:ser>
        <c:ser>
          <c:idx val="3"/>
          <c:order val="3"/>
          <c:tx>
            <c:strRef>
              <c:f>'FINANCIAL RATIOS'!$B$193</c:f>
              <c:strCache>
                <c:ptCount val="1"/>
                <c:pt idx="0">
                  <c:v>CELH</c:v>
                </c:pt>
              </c:strCache>
            </c:strRef>
          </c:tx>
          <c:spPr>
            <a:solidFill>
              <a:schemeClr val="accent4"/>
            </a:solidFill>
            <a:ln>
              <a:noFill/>
            </a:ln>
            <a:effectLst/>
          </c:spPr>
          <c:invertIfNegative val="0"/>
          <c:cat>
            <c:numRef>
              <c:f>'FINANCIAL RATIOS'!$C$189:$G$189</c:f>
              <c:numCache>
                <c:formatCode>General</c:formatCode>
                <c:ptCount val="5"/>
                <c:pt idx="0">
                  <c:v>2021</c:v>
                </c:pt>
                <c:pt idx="1">
                  <c:v>2022</c:v>
                </c:pt>
                <c:pt idx="2">
                  <c:v>2023</c:v>
                </c:pt>
                <c:pt idx="3">
                  <c:v>2024</c:v>
                </c:pt>
                <c:pt idx="4">
                  <c:v>2025</c:v>
                </c:pt>
              </c:numCache>
            </c:numRef>
          </c:cat>
          <c:val>
            <c:numRef>
              <c:f>'FINANCIAL RATIOS'!$C$193:$G$193</c:f>
              <c:numCache>
                <c:formatCode>0.00</c:formatCode>
                <c:ptCount val="5"/>
                <c:pt idx="0">
                  <c:v>5.6241573108705228E-2</c:v>
                </c:pt>
                <c:pt idx="1">
                  <c:v>-2.4519127543138435</c:v>
                </c:pt>
                <c:pt idx="2">
                  <c:v>0.97848683648929757</c:v>
                </c:pt>
                <c:pt idx="3">
                  <c:v>0.61729939492966379</c:v>
                </c:pt>
                <c:pt idx="4">
                  <c:v>0.42038333086809959</c:v>
                </c:pt>
              </c:numCache>
            </c:numRef>
          </c:val>
          <c:extLst>
            <c:ext xmlns:c16="http://schemas.microsoft.com/office/drawing/2014/chart" uri="{C3380CC4-5D6E-409C-BE32-E72D297353CC}">
              <c16:uniqueId val="{00000003-345F-4BC9-8AA7-FE41EE31382E}"/>
            </c:ext>
          </c:extLst>
        </c:ser>
        <c:ser>
          <c:idx val="4"/>
          <c:order val="4"/>
          <c:tx>
            <c:strRef>
              <c:f>'FINANCIAL RATIOS'!$B$194</c:f>
              <c:strCache>
                <c:ptCount val="1"/>
                <c:pt idx="0">
                  <c:v>KDP</c:v>
                </c:pt>
              </c:strCache>
            </c:strRef>
          </c:tx>
          <c:spPr>
            <a:solidFill>
              <a:schemeClr val="accent5"/>
            </a:solidFill>
            <a:ln>
              <a:noFill/>
            </a:ln>
            <a:effectLst/>
          </c:spPr>
          <c:invertIfNegative val="0"/>
          <c:cat>
            <c:numRef>
              <c:f>'FINANCIAL RATIOS'!$C$189:$G$189</c:f>
              <c:numCache>
                <c:formatCode>General</c:formatCode>
                <c:ptCount val="5"/>
                <c:pt idx="0">
                  <c:v>2021</c:v>
                </c:pt>
                <c:pt idx="1">
                  <c:v>2022</c:v>
                </c:pt>
                <c:pt idx="2">
                  <c:v>2023</c:v>
                </c:pt>
                <c:pt idx="3">
                  <c:v>2024</c:v>
                </c:pt>
                <c:pt idx="4">
                  <c:v>2025</c:v>
                </c:pt>
              </c:numCache>
            </c:numRef>
          </c:cat>
          <c:val>
            <c:numRef>
              <c:f>'FINANCIAL RATIOS'!$C$194:$G$194</c:f>
              <c:numCache>
                <c:formatCode>0.00</c:formatCode>
                <c:ptCount val="5"/>
                <c:pt idx="0">
                  <c:v>1.5151515151515151</c:v>
                </c:pt>
                <c:pt idx="1">
                  <c:v>1.0128458498023716</c:v>
                </c:pt>
                <c:pt idx="2">
                  <c:v>1.5586364610876868</c:v>
                </c:pt>
                <c:pt idx="3">
                  <c:v>1.0578475994714431</c:v>
                </c:pt>
                <c:pt idx="4">
                  <c:v>1.5308151093439364</c:v>
                </c:pt>
              </c:numCache>
            </c:numRef>
          </c:val>
          <c:extLst>
            <c:ext xmlns:c16="http://schemas.microsoft.com/office/drawing/2014/chart" uri="{C3380CC4-5D6E-409C-BE32-E72D297353CC}">
              <c16:uniqueId val="{00000004-345F-4BC9-8AA7-FE41EE31382E}"/>
            </c:ext>
          </c:extLst>
        </c:ser>
        <c:dLbls>
          <c:showLegendKey val="0"/>
          <c:showVal val="0"/>
          <c:showCatName val="0"/>
          <c:showSerName val="0"/>
          <c:showPercent val="0"/>
          <c:showBubbleSize val="0"/>
        </c:dLbls>
        <c:gapWidth val="219"/>
        <c:overlap val="-27"/>
        <c:axId val="498878472"/>
        <c:axId val="954445832"/>
      </c:barChart>
      <c:catAx>
        <c:axId val="4988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45832"/>
        <c:crosses val="autoZero"/>
        <c:auto val="1"/>
        <c:lblAlgn val="ctr"/>
        <c:lblOffset val="100"/>
        <c:noMultiLvlLbl val="0"/>
      </c:catAx>
      <c:valAx>
        <c:axId val="954445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ROA</a:t>
            </a:r>
            <a:r>
              <a:rPr lang="en-US" baseline="0"/>
              <a:t> &amp; ROE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'FINANCIAL RATIOS'!$B$164:$B$168</c:f>
              <c:strCache>
                <c:ptCount val="5"/>
                <c:pt idx="0">
                  <c:v>Monster</c:v>
                </c:pt>
                <c:pt idx="1">
                  <c:v>PepsiCo</c:v>
                </c:pt>
                <c:pt idx="2">
                  <c:v>Coca-Cola</c:v>
                </c:pt>
                <c:pt idx="3">
                  <c:v>CELH</c:v>
                </c:pt>
                <c:pt idx="4">
                  <c:v>KDP</c:v>
                </c:pt>
              </c:strCache>
            </c:strRef>
          </c:cat>
          <c:val>
            <c:numRef>
              <c:f>'FINANCIAL RATIOS'!$G$164:$G$168</c:f>
              <c:numCache>
                <c:formatCode>0.00%</c:formatCode>
                <c:ptCount val="5"/>
                <c:pt idx="0">
                  <c:v>0.1907540786339299</c:v>
                </c:pt>
                <c:pt idx="1">
                  <c:v>7.7235356008901385E-2</c:v>
                </c:pt>
                <c:pt idx="2">
                  <c:v>0.12533391848572736</c:v>
                </c:pt>
                <c:pt idx="3">
                  <c:v>2.1095116220517105E-2</c:v>
                </c:pt>
                <c:pt idx="4">
                  <c:v>3.7487152671342797E-2</c:v>
                </c:pt>
              </c:numCache>
            </c:numRef>
          </c:val>
          <c:extLst>
            <c:ext xmlns:c16="http://schemas.microsoft.com/office/drawing/2014/chart" uri="{C3380CC4-5D6E-409C-BE32-E72D297353CC}">
              <c16:uniqueId val="{00000000-E565-1F47-8FAD-137A4503619E}"/>
            </c:ext>
          </c:extLst>
        </c:ser>
        <c:ser>
          <c:idx val="1"/>
          <c:order val="1"/>
          <c:spPr>
            <a:solidFill>
              <a:schemeClr val="accent2"/>
            </a:solidFill>
            <a:ln>
              <a:noFill/>
            </a:ln>
            <a:effectLst/>
          </c:spPr>
          <c:invertIfNegative val="0"/>
          <c:val>
            <c:numRef>
              <c:f>'FINANCIAL RATIOS'!$G$171:$G$175</c:f>
              <c:numCache>
                <c:formatCode>0.00%</c:formatCode>
                <c:ptCount val="5"/>
                <c:pt idx="0">
                  <c:v>0.23084650697567821</c:v>
                </c:pt>
                <c:pt idx="1">
                  <c:v>0.40370857059424736</c:v>
                </c:pt>
                <c:pt idx="2">
                  <c:v>0.38328227571115975</c:v>
                </c:pt>
                <c:pt idx="3">
                  <c:v>3.6716345248350976E-2</c:v>
                </c:pt>
                <c:pt idx="4">
                  <c:v>8.14782881329362E-2</c:v>
                </c:pt>
              </c:numCache>
            </c:numRef>
          </c:val>
          <c:extLst>
            <c:ext xmlns:c16="http://schemas.microsoft.com/office/drawing/2014/chart" uri="{C3380CC4-5D6E-409C-BE32-E72D297353CC}">
              <c16:uniqueId val="{00000001-E565-1F47-8FAD-137A4503619E}"/>
            </c:ext>
          </c:extLst>
        </c:ser>
        <c:dLbls>
          <c:showLegendKey val="0"/>
          <c:showVal val="0"/>
          <c:showCatName val="0"/>
          <c:showSerName val="0"/>
          <c:showPercent val="0"/>
          <c:showBubbleSize val="0"/>
        </c:dLbls>
        <c:gapWidth val="219"/>
        <c:overlap val="-27"/>
        <c:axId val="767171584"/>
        <c:axId val="753563200"/>
      </c:barChart>
      <c:catAx>
        <c:axId val="76717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563200"/>
        <c:crosses val="autoZero"/>
        <c:auto val="1"/>
        <c:lblAlgn val="ctr"/>
        <c:lblOffset val="100"/>
        <c:noMultiLvlLbl val="0"/>
      </c:catAx>
      <c:valAx>
        <c:axId val="753563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17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18" Type="http://schemas.openxmlformats.org/officeDocument/2006/relationships/chart" Target="../charts/chart21.xml"/><Relationship Id="rId26" Type="http://schemas.openxmlformats.org/officeDocument/2006/relationships/chart" Target="../charts/chart29.xml"/><Relationship Id="rId3" Type="http://schemas.openxmlformats.org/officeDocument/2006/relationships/chart" Target="../charts/chart6.xml"/><Relationship Id="rId21" Type="http://schemas.openxmlformats.org/officeDocument/2006/relationships/chart" Target="../charts/chart24.xml"/><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chart" Target="../charts/chart20.xml"/><Relationship Id="rId25" Type="http://schemas.openxmlformats.org/officeDocument/2006/relationships/chart" Target="../charts/chart28.xml"/><Relationship Id="rId2" Type="http://schemas.openxmlformats.org/officeDocument/2006/relationships/chart" Target="../charts/chart5.xml"/><Relationship Id="rId16" Type="http://schemas.openxmlformats.org/officeDocument/2006/relationships/chart" Target="../charts/chart19.xml"/><Relationship Id="rId20" Type="http://schemas.openxmlformats.org/officeDocument/2006/relationships/chart" Target="../charts/chart23.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24" Type="http://schemas.openxmlformats.org/officeDocument/2006/relationships/chart" Target="../charts/chart27.xml"/><Relationship Id="rId5" Type="http://schemas.openxmlformats.org/officeDocument/2006/relationships/chart" Target="../charts/chart8.xml"/><Relationship Id="rId15" Type="http://schemas.openxmlformats.org/officeDocument/2006/relationships/chart" Target="../charts/chart18.xml"/><Relationship Id="rId23" Type="http://schemas.openxmlformats.org/officeDocument/2006/relationships/chart" Target="../charts/chart26.xml"/><Relationship Id="rId10" Type="http://schemas.openxmlformats.org/officeDocument/2006/relationships/chart" Target="../charts/chart13.xml"/><Relationship Id="rId19" Type="http://schemas.openxmlformats.org/officeDocument/2006/relationships/chart" Target="../charts/chart22.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 Id="rId22" Type="http://schemas.openxmlformats.org/officeDocument/2006/relationships/chart" Target="../charts/chart25.xml"/><Relationship Id="rId27"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15</xdr:col>
      <xdr:colOff>400050</xdr:colOff>
      <xdr:row>2</xdr:row>
      <xdr:rowOff>123825</xdr:rowOff>
    </xdr:from>
    <xdr:to>
      <xdr:col>21</xdr:col>
      <xdr:colOff>428625</xdr:colOff>
      <xdr:row>11</xdr:row>
      <xdr:rowOff>47625</xdr:rowOff>
    </xdr:to>
    <xdr:graphicFrame macro="">
      <xdr:nvGraphicFramePr>
        <xdr:cNvPr id="23" name="Chart 22">
          <a:extLst>
            <a:ext uri="{FF2B5EF4-FFF2-40B4-BE49-F238E27FC236}">
              <a16:creationId xmlns:a16="http://schemas.microsoft.com/office/drawing/2014/main" id="{BA037460-E2E0-AC6B-2D5E-CA6614AC7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428625</xdr:colOff>
      <xdr:row>11</xdr:row>
      <xdr:rowOff>171450</xdr:rowOff>
    </xdr:from>
    <xdr:to>
      <xdr:col>21</xdr:col>
      <xdr:colOff>342900</xdr:colOff>
      <xdr:row>20</xdr:row>
      <xdr:rowOff>66675</xdr:rowOff>
    </xdr:to>
    <xdr:graphicFrame macro="">
      <xdr:nvGraphicFramePr>
        <xdr:cNvPr id="24" name="Chart 23">
          <a:extLst>
            <a:ext uri="{FF2B5EF4-FFF2-40B4-BE49-F238E27FC236}">
              <a16:creationId xmlns:a16="http://schemas.microsoft.com/office/drawing/2014/main" id="{05267DAD-AB9D-E690-954F-F8B625BEE78B}"/>
            </a:ext>
            <a:ext uri="{147F2762-F138-4A5C-976F-8EAC2B608ADB}">
              <a16:predDERef xmlns:a16="http://schemas.microsoft.com/office/drawing/2014/main" pred="{BA037460-E2E0-AC6B-2D5E-CA6614AC7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495300</xdr:colOff>
      <xdr:row>20</xdr:row>
      <xdr:rowOff>180975</xdr:rowOff>
    </xdr:from>
    <xdr:to>
      <xdr:col>21</xdr:col>
      <xdr:colOff>323850</xdr:colOff>
      <xdr:row>32</xdr:row>
      <xdr:rowOff>95250</xdr:rowOff>
    </xdr:to>
    <xdr:graphicFrame macro="">
      <xdr:nvGraphicFramePr>
        <xdr:cNvPr id="25" name="Chart 24">
          <a:extLst>
            <a:ext uri="{FF2B5EF4-FFF2-40B4-BE49-F238E27FC236}">
              <a16:creationId xmlns:a16="http://schemas.microsoft.com/office/drawing/2014/main" id="{D06E5AD1-4E96-4D16-2892-82063F45C08E}"/>
            </a:ext>
            <a:ext uri="{147F2762-F138-4A5C-976F-8EAC2B608ADB}">
              <a16:predDERef xmlns:a16="http://schemas.microsoft.com/office/drawing/2014/main" pred="{05267DAD-AB9D-E690-954F-F8B625BEE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2</xdr:row>
      <xdr:rowOff>0</xdr:rowOff>
    </xdr:from>
    <xdr:to>
      <xdr:col>5</xdr:col>
      <xdr:colOff>323850</xdr:colOff>
      <xdr:row>13</xdr:row>
      <xdr:rowOff>95250</xdr:rowOff>
    </xdr:to>
    <xdr:graphicFrame macro="">
      <xdr:nvGraphicFramePr>
        <xdr:cNvPr id="3" name="Chart 2">
          <a:extLst>
            <a:ext uri="{FF2B5EF4-FFF2-40B4-BE49-F238E27FC236}">
              <a16:creationId xmlns:a16="http://schemas.microsoft.com/office/drawing/2014/main" id="{579B9E3A-5AC6-4602-873C-CE5E44086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0</xdr:rowOff>
    </xdr:from>
    <xdr:to>
      <xdr:col>5</xdr:col>
      <xdr:colOff>352425</xdr:colOff>
      <xdr:row>26</xdr:row>
      <xdr:rowOff>152400</xdr:rowOff>
    </xdr:to>
    <xdr:graphicFrame macro="">
      <xdr:nvGraphicFramePr>
        <xdr:cNvPr id="4" name="Chart 3">
          <a:extLst>
            <a:ext uri="{FF2B5EF4-FFF2-40B4-BE49-F238E27FC236}">
              <a16:creationId xmlns:a16="http://schemas.microsoft.com/office/drawing/2014/main" id="{B11DAEFC-05F5-40FE-8197-B5454DB4EA7C}"/>
            </a:ext>
            <a:ext uri="{147F2762-F138-4A5C-976F-8EAC2B608ADB}">
              <a16:predDERef xmlns:a16="http://schemas.microsoft.com/office/drawing/2014/main" pred="{579B9E3A-5AC6-4602-873C-CE5E44086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5</xdr:col>
      <xdr:colOff>390525</xdr:colOff>
      <xdr:row>39</xdr:row>
      <xdr:rowOff>123825</xdr:rowOff>
    </xdr:to>
    <xdr:graphicFrame macro="">
      <xdr:nvGraphicFramePr>
        <xdr:cNvPr id="5" name="Chart 4">
          <a:extLst>
            <a:ext uri="{FF2B5EF4-FFF2-40B4-BE49-F238E27FC236}">
              <a16:creationId xmlns:a16="http://schemas.microsoft.com/office/drawing/2014/main" id="{D04EB207-4056-4789-A781-0C6278C2C23D}"/>
            </a:ext>
            <a:ext uri="{147F2762-F138-4A5C-976F-8EAC2B608ADB}">
              <a16:predDERef xmlns:a16="http://schemas.microsoft.com/office/drawing/2014/main" pred="{B11DAEFC-05F5-40FE-8197-B5454DB4E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41</xdr:row>
      <xdr:rowOff>0</xdr:rowOff>
    </xdr:from>
    <xdr:to>
      <xdr:col>5</xdr:col>
      <xdr:colOff>409575</xdr:colOff>
      <xdr:row>53</xdr:row>
      <xdr:rowOff>9525</xdr:rowOff>
    </xdr:to>
    <xdr:graphicFrame macro="">
      <xdr:nvGraphicFramePr>
        <xdr:cNvPr id="6" name="Chart 5">
          <a:extLst>
            <a:ext uri="{FF2B5EF4-FFF2-40B4-BE49-F238E27FC236}">
              <a16:creationId xmlns:a16="http://schemas.microsoft.com/office/drawing/2014/main" id="{2E55686E-D876-4177-A6FC-91E60B402BCC}"/>
            </a:ext>
            <a:ext uri="{147F2762-F138-4A5C-976F-8EAC2B608ADB}">
              <a16:predDERef xmlns:a16="http://schemas.microsoft.com/office/drawing/2014/main" pred="{D04EB207-4056-4789-A781-0C6278C2C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54</xdr:row>
      <xdr:rowOff>0</xdr:rowOff>
    </xdr:from>
    <xdr:to>
      <xdr:col>5</xdr:col>
      <xdr:colOff>409575</xdr:colOff>
      <xdr:row>65</xdr:row>
      <xdr:rowOff>9525</xdr:rowOff>
    </xdr:to>
    <xdr:graphicFrame macro="">
      <xdr:nvGraphicFramePr>
        <xdr:cNvPr id="7" name="Chart 6">
          <a:extLst>
            <a:ext uri="{FF2B5EF4-FFF2-40B4-BE49-F238E27FC236}">
              <a16:creationId xmlns:a16="http://schemas.microsoft.com/office/drawing/2014/main" id="{02E64CB7-FF21-4003-B7FD-5C2827885D43}"/>
            </a:ext>
            <a:ext uri="{147F2762-F138-4A5C-976F-8EAC2B608ADB}">
              <a16:predDERef xmlns:a16="http://schemas.microsoft.com/office/drawing/2014/main" pred="{2E55686E-D876-4177-A6FC-91E60B402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88900</xdr:colOff>
      <xdr:row>2</xdr:row>
      <xdr:rowOff>38100</xdr:rowOff>
    </xdr:from>
    <xdr:to>
      <xdr:col>12</xdr:col>
      <xdr:colOff>479425</xdr:colOff>
      <xdr:row>13</xdr:row>
      <xdr:rowOff>57150</xdr:rowOff>
    </xdr:to>
    <xdr:graphicFrame macro="">
      <xdr:nvGraphicFramePr>
        <xdr:cNvPr id="2" name="Chart 1">
          <a:extLst>
            <a:ext uri="{FF2B5EF4-FFF2-40B4-BE49-F238E27FC236}">
              <a16:creationId xmlns:a16="http://schemas.microsoft.com/office/drawing/2014/main" id="{E4A06F79-AEDD-413F-85A4-254B1CC5BD29}"/>
            </a:ext>
            <a:ext uri="{147F2762-F138-4A5C-976F-8EAC2B608ADB}">
              <a16:predDERef xmlns:a16="http://schemas.microsoft.com/office/drawing/2014/main" pred="{02E64CB7-FF21-4003-B7FD-5C2827885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158750</xdr:colOff>
      <xdr:row>15</xdr:row>
      <xdr:rowOff>12700</xdr:rowOff>
    </xdr:from>
    <xdr:to>
      <xdr:col>12</xdr:col>
      <xdr:colOff>587375</xdr:colOff>
      <xdr:row>26</xdr:row>
      <xdr:rowOff>88900</xdr:rowOff>
    </xdr:to>
    <xdr:graphicFrame macro="">
      <xdr:nvGraphicFramePr>
        <xdr:cNvPr id="8" name="Chart 7">
          <a:extLst>
            <a:ext uri="{FF2B5EF4-FFF2-40B4-BE49-F238E27FC236}">
              <a16:creationId xmlns:a16="http://schemas.microsoft.com/office/drawing/2014/main" id="{FF2DF6F2-5F46-49A1-9E09-8A66C97D3102}"/>
            </a:ext>
            <a:ext uri="{147F2762-F138-4A5C-976F-8EAC2B608ADB}">
              <a16:predDERef xmlns:a16="http://schemas.microsoft.com/office/drawing/2014/main" pred="{E4A06F79-AEDD-413F-85A4-254B1CC5B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41</xdr:row>
      <xdr:rowOff>0</xdr:rowOff>
    </xdr:from>
    <xdr:to>
      <xdr:col>12</xdr:col>
      <xdr:colOff>571500</xdr:colOff>
      <xdr:row>53</xdr:row>
      <xdr:rowOff>142875</xdr:rowOff>
    </xdr:to>
    <xdr:graphicFrame macro="">
      <xdr:nvGraphicFramePr>
        <xdr:cNvPr id="9" name="Chart 8">
          <a:extLst>
            <a:ext uri="{FF2B5EF4-FFF2-40B4-BE49-F238E27FC236}">
              <a16:creationId xmlns:a16="http://schemas.microsoft.com/office/drawing/2014/main" id="{5A4F9B83-A75F-4260-9D34-CE4445B11F43}"/>
            </a:ext>
            <a:ext uri="{147F2762-F138-4A5C-976F-8EAC2B608ADB}">
              <a16:predDERef xmlns:a16="http://schemas.microsoft.com/office/drawing/2014/main" pred="{FF2DF6F2-5F46-49A1-9E09-8A66C97D3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152400</xdr:colOff>
      <xdr:row>28</xdr:row>
      <xdr:rowOff>12700</xdr:rowOff>
    </xdr:from>
    <xdr:to>
      <xdr:col>13</xdr:col>
      <xdr:colOff>31750</xdr:colOff>
      <xdr:row>39</xdr:row>
      <xdr:rowOff>127000</xdr:rowOff>
    </xdr:to>
    <xdr:graphicFrame macro="">
      <xdr:nvGraphicFramePr>
        <xdr:cNvPr id="10" name="Chart 9">
          <a:extLst>
            <a:ext uri="{FF2B5EF4-FFF2-40B4-BE49-F238E27FC236}">
              <a16:creationId xmlns:a16="http://schemas.microsoft.com/office/drawing/2014/main" id="{4BA66FCF-12BB-4151-AC73-1154D1D649CC}"/>
            </a:ext>
            <a:ext uri="{147F2762-F138-4A5C-976F-8EAC2B608ADB}">
              <a16:predDERef xmlns:a16="http://schemas.microsoft.com/office/drawing/2014/main" pred="{5A4F9B83-A75F-4260-9D34-CE4445B11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0</xdr:colOff>
      <xdr:row>2</xdr:row>
      <xdr:rowOff>0</xdr:rowOff>
    </xdr:from>
    <xdr:to>
      <xdr:col>19</xdr:col>
      <xdr:colOff>304800</xdr:colOff>
      <xdr:row>12</xdr:row>
      <xdr:rowOff>152400</xdr:rowOff>
    </xdr:to>
    <xdr:graphicFrame macro="">
      <xdr:nvGraphicFramePr>
        <xdr:cNvPr id="11" name="Chart 10">
          <a:extLst>
            <a:ext uri="{FF2B5EF4-FFF2-40B4-BE49-F238E27FC236}">
              <a16:creationId xmlns:a16="http://schemas.microsoft.com/office/drawing/2014/main" id="{912B68DE-3DF8-4E48-BBFB-2877F6E00916}"/>
            </a:ext>
            <a:ext uri="{147F2762-F138-4A5C-976F-8EAC2B608ADB}">
              <a16:predDERef xmlns:a16="http://schemas.microsoft.com/office/drawing/2014/main" pred="{4BA66FCF-12BB-4151-AC73-1154D1D64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552450</xdr:colOff>
      <xdr:row>15</xdr:row>
      <xdr:rowOff>28575</xdr:rowOff>
    </xdr:from>
    <xdr:to>
      <xdr:col>19</xdr:col>
      <xdr:colOff>285750</xdr:colOff>
      <xdr:row>26</xdr:row>
      <xdr:rowOff>142875</xdr:rowOff>
    </xdr:to>
    <xdr:graphicFrame macro="">
      <xdr:nvGraphicFramePr>
        <xdr:cNvPr id="12" name="Chart 11">
          <a:extLst>
            <a:ext uri="{FF2B5EF4-FFF2-40B4-BE49-F238E27FC236}">
              <a16:creationId xmlns:a16="http://schemas.microsoft.com/office/drawing/2014/main" id="{D43A88CB-BD66-4432-BE8A-6CBD5B63E502}"/>
            </a:ext>
            <a:ext uri="{147F2762-F138-4A5C-976F-8EAC2B608ADB}">
              <a16:predDERef xmlns:a16="http://schemas.microsoft.com/office/drawing/2014/main" pred="{912B68DE-3DF8-4E48-BBFB-2877F6E00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0</xdr:colOff>
      <xdr:row>28</xdr:row>
      <xdr:rowOff>0</xdr:rowOff>
    </xdr:from>
    <xdr:to>
      <xdr:col>19</xdr:col>
      <xdr:colOff>381000</xdr:colOff>
      <xdr:row>39</xdr:row>
      <xdr:rowOff>142875</xdr:rowOff>
    </xdr:to>
    <xdr:graphicFrame macro="">
      <xdr:nvGraphicFramePr>
        <xdr:cNvPr id="13" name="Chart 12">
          <a:extLst>
            <a:ext uri="{FF2B5EF4-FFF2-40B4-BE49-F238E27FC236}">
              <a16:creationId xmlns:a16="http://schemas.microsoft.com/office/drawing/2014/main" id="{D3080986-5AE6-4DFB-BBDF-3414B67245CA}"/>
            </a:ext>
            <a:ext uri="{147F2762-F138-4A5C-976F-8EAC2B608ADB}">
              <a16:predDERef xmlns:a16="http://schemas.microsoft.com/office/drawing/2014/main" pred="{D43A88CB-BD66-4432-BE8A-6CBD5B63E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0</xdr:colOff>
      <xdr:row>41</xdr:row>
      <xdr:rowOff>0</xdr:rowOff>
    </xdr:from>
    <xdr:to>
      <xdr:col>19</xdr:col>
      <xdr:colOff>333375</xdr:colOff>
      <xdr:row>53</xdr:row>
      <xdr:rowOff>142875</xdr:rowOff>
    </xdr:to>
    <xdr:graphicFrame macro="">
      <xdr:nvGraphicFramePr>
        <xdr:cNvPr id="14" name="Chart 13">
          <a:extLst>
            <a:ext uri="{FF2B5EF4-FFF2-40B4-BE49-F238E27FC236}">
              <a16:creationId xmlns:a16="http://schemas.microsoft.com/office/drawing/2014/main" id="{1A802B71-9C1D-4155-A087-A350038495DC}"/>
            </a:ext>
            <a:ext uri="{147F2762-F138-4A5C-976F-8EAC2B608ADB}">
              <a16:predDERef xmlns:a16="http://schemas.microsoft.com/office/drawing/2014/main" pred="{D3080986-5AE6-4DFB-BBDF-3414B6724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0</xdr:colOff>
      <xdr:row>55</xdr:row>
      <xdr:rowOff>0</xdr:rowOff>
    </xdr:from>
    <xdr:to>
      <xdr:col>19</xdr:col>
      <xdr:colOff>466725</xdr:colOff>
      <xdr:row>68</xdr:row>
      <xdr:rowOff>47625</xdr:rowOff>
    </xdr:to>
    <xdr:graphicFrame macro="">
      <xdr:nvGraphicFramePr>
        <xdr:cNvPr id="15" name="Chart 14">
          <a:extLst>
            <a:ext uri="{FF2B5EF4-FFF2-40B4-BE49-F238E27FC236}">
              <a16:creationId xmlns:a16="http://schemas.microsoft.com/office/drawing/2014/main" id="{74627AD2-0305-4D1F-8167-855261ACB111}"/>
            </a:ext>
            <a:ext uri="{147F2762-F138-4A5C-976F-8EAC2B608ADB}">
              <a16:predDERef xmlns:a16="http://schemas.microsoft.com/office/drawing/2014/main" pred="{1A802B71-9C1D-4155-A087-A35003849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0</xdr:colOff>
      <xdr:row>70</xdr:row>
      <xdr:rowOff>0</xdr:rowOff>
    </xdr:from>
    <xdr:to>
      <xdr:col>19</xdr:col>
      <xdr:colOff>476250</xdr:colOff>
      <xdr:row>81</xdr:row>
      <xdr:rowOff>28575</xdr:rowOff>
    </xdr:to>
    <xdr:graphicFrame macro="">
      <xdr:nvGraphicFramePr>
        <xdr:cNvPr id="16" name="Chart 15">
          <a:extLst>
            <a:ext uri="{FF2B5EF4-FFF2-40B4-BE49-F238E27FC236}">
              <a16:creationId xmlns:a16="http://schemas.microsoft.com/office/drawing/2014/main" id="{1EA2D642-2B2F-4C2F-95FD-F1744F897859}"/>
            </a:ext>
            <a:ext uri="{147F2762-F138-4A5C-976F-8EAC2B608ADB}">
              <a16:predDERef xmlns:a16="http://schemas.microsoft.com/office/drawing/2014/main" pred="{74627AD2-0305-4D1F-8167-855261ACB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0</xdr:colOff>
      <xdr:row>15</xdr:row>
      <xdr:rowOff>0</xdr:rowOff>
    </xdr:from>
    <xdr:to>
      <xdr:col>26</xdr:col>
      <xdr:colOff>457200</xdr:colOff>
      <xdr:row>25</xdr:row>
      <xdr:rowOff>161925</xdr:rowOff>
    </xdr:to>
    <xdr:graphicFrame macro="">
      <xdr:nvGraphicFramePr>
        <xdr:cNvPr id="18" name="Chart 17">
          <a:extLst>
            <a:ext uri="{FF2B5EF4-FFF2-40B4-BE49-F238E27FC236}">
              <a16:creationId xmlns:a16="http://schemas.microsoft.com/office/drawing/2014/main" id="{6565FFB0-D226-4467-B765-6111FB7A26C3}"/>
            </a:ext>
            <a:ext uri="{147F2762-F138-4A5C-976F-8EAC2B608ADB}">
              <a16:predDERef xmlns:a16="http://schemas.microsoft.com/office/drawing/2014/main" pred="{134DA50B-B224-415D-8DA0-91DCEAD7C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631825</xdr:colOff>
      <xdr:row>27</xdr:row>
      <xdr:rowOff>104775</xdr:rowOff>
    </xdr:from>
    <xdr:to>
      <xdr:col>26</xdr:col>
      <xdr:colOff>393700</xdr:colOff>
      <xdr:row>38</xdr:row>
      <xdr:rowOff>114300</xdr:rowOff>
    </xdr:to>
    <xdr:graphicFrame macro="">
      <xdr:nvGraphicFramePr>
        <xdr:cNvPr id="19" name="Chart 18">
          <a:extLst>
            <a:ext uri="{FF2B5EF4-FFF2-40B4-BE49-F238E27FC236}">
              <a16:creationId xmlns:a16="http://schemas.microsoft.com/office/drawing/2014/main" id="{8378601D-1B51-42A9-9101-1DF7837DDED7}"/>
            </a:ext>
            <a:ext uri="{147F2762-F138-4A5C-976F-8EAC2B608ADB}">
              <a16:predDERef xmlns:a16="http://schemas.microsoft.com/office/drawing/2014/main" pred="{6565FFB0-D226-4467-B765-6111FB7A2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0</xdr:colOff>
      <xdr:row>41</xdr:row>
      <xdr:rowOff>0</xdr:rowOff>
    </xdr:from>
    <xdr:to>
      <xdr:col>26</xdr:col>
      <xdr:colOff>257175</xdr:colOff>
      <xdr:row>52</xdr:row>
      <xdr:rowOff>123825</xdr:rowOff>
    </xdr:to>
    <xdr:graphicFrame macro="">
      <xdr:nvGraphicFramePr>
        <xdr:cNvPr id="20" name="Chart 19">
          <a:extLst>
            <a:ext uri="{FF2B5EF4-FFF2-40B4-BE49-F238E27FC236}">
              <a16:creationId xmlns:a16="http://schemas.microsoft.com/office/drawing/2014/main" id="{D686D74C-871E-40F8-8AAB-D54887EEB2D0}"/>
            </a:ext>
            <a:ext uri="{147F2762-F138-4A5C-976F-8EAC2B608ADB}">
              <a16:predDERef xmlns:a16="http://schemas.microsoft.com/office/drawing/2014/main" pred="{8378601D-1B51-42A9-9101-1DF7837DD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0</xdr:colOff>
      <xdr:row>55</xdr:row>
      <xdr:rowOff>0</xdr:rowOff>
    </xdr:from>
    <xdr:to>
      <xdr:col>26</xdr:col>
      <xdr:colOff>381000</xdr:colOff>
      <xdr:row>67</xdr:row>
      <xdr:rowOff>180975</xdr:rowOff>
    </xdr:to>
    <xdr:graphicFrame macro="">
      <xdr:nvGraphicFramePr>
        <xdr:cNvPr id="21" name="Chart 20">
          <a:extLst>
            <a:ext uri="{FF2B5EF4-FFF2-40B4-BE49-F238E27FC236}">
              <a16:creationId xmlns:a16="http://schemas.microsoft.com/office/drawing/2014/main" id="{785CC97E-635F-460F-8BC4-0BE74E520D77}"/>
            </a:ext>
            <a:ext uri="{147F2762-F138-4A5C-976F-8EAC2B608ADB}">
              <a16:predDERef xmlns:a16="http://schemas.microsoft.com/office/drawing/2014/main" pred="{D686D74C-871E-40F8-8AAB-D54887EEB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21</xdr:col>
      <xdr:colOff>0</xdr:colOff>
      <xdr:row>70</xdr:row>
      <xdr:rowOff>0</xdr:rowOff>
    </xdr:from>
    <xdr:to>
      <xdr:col>26</xdr:col>
      <xdr:colOff>409575</xdr:colOff>
      <xdr:row>81</xdr:row>
      <xdr:rowOff>114300</xdr:rowOff>
    </xdr:to>
    <xdr:graphicFrame macro="">
      <xdr:nvGraphicFramePr>
        <xdr:cNvPr id="22" name="Chart 21">
          <a:extLst>
            <a:ext uri="{FF2B5EF4-FFF2-40B4-BE49-F238E27FC236}">
              <a16:creationId xmlns:a16="http://schemas.microsoft.com/office/drawing/2014/main" id="{3549F1E4-9CA3-4F52-90BB-8EAC473F4CE0}"/>
            </a:ext>
            <a:ext uri="{147F2762-F138-4A5C-976F-8EAC2B608ADB}">
              <a16:predDERef xmlns:a16="http://schemas.microsoft.com/office/drawing/2014/main" pred="{785CC97E-635F-460F-8BC4-0BE74E520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28</xdr:col>
      <xdr:colOff>342900</xdr:colOff>
      <xdr:row>15</xdr:row>
      <xdr:rowOff>69850</xdr:rowOff>
    </xdr:from>
    <xdr:to>
      <xdr:col>33</xdr:col>
      <xdr:colOff>539750</xdr:colOff>
      <xdr:row>26</xdr:row>
      <xdr:rowOff>101600</xdr:rowOff>
    </xdr:to>
    <xdr:graphicFrame macro="">
      <xdr:nvGraphicFramePr>
        <xdr:cNvPr id="24" name="Chart 23">
          <a:extLst>
            <a:ext uri="{FF2B5EF4-FFF2-40B4-BE49-F238E27FC236}">
              <a16:creationId xmlns:a16="http://schemas.microsoft.com/office/drawing/2014/main" id="{B2EB16BF-D36A-4ECF-AD4D-94737E984969}"/>
            </a:ext>
            <a:ext uri="{147F2762-F138-4A5C-976F-8EAC2B608ADB}">
              <a16:predDERef xmlns:a16="http://schemas.microsoft.com/office/drawing/2014/main" pred="{93432A6F-9D2B-4528-A5A7-C27E50E24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28</xdr:col>
      <xdr:colOff>355600</xdr:colOff>
      <xdr:row>28</xdr:row>
      <xdr:rowOff>3175</xdr:rowOff>
    </xdr:from>
    <xdr:to>
      <xdr:col>34</xdr:col>
      <xdr:colOff>63500</xdr:colOff>
      <xdr:row>39</xdr:row>
      <xdr:rowOff>50800</xdr:rowOff>
    </xdr:to>
    <xdr:graphicFrame macro="">
      <xdr:nvGraphicFramePr>
        <xdr:cNvPr id="25" name="Chart 24">
          <a:extLst>
            <a:ext uri="{FF2B5EF4-FFF2-40B4-BE49-F238E27FC236}">
              <a16:creationId xmlns:a16="http://schemas.microsoft.com/office/drawing/2014/main" id="{0C13ADE8-38E9-4C9F-93FE-DAFD889A9015}"/>
            </a:ext>
            <a:ext uri="{147F2762-F138-4A5C-976F-8EAC2B608ADB}">
              <a16:predDERef xmlns:a16="http://schemas.microsoft.com/office/drawing/2014/main" pred="{B2EB16BF-D36A-4ECF-AD4D-94737E984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xdr:col>
      <xdr:colOff>660400</xdr:colOff>
      <xdr:row>1</xdr:row>
      <xdr:rowOff>177800</xdr:rowOff>
    </xdr:from>
    <xdr:to>
      <xdr:col>26</xdr:col>
      <xdr:colOff>15875</xdr:colOff>
      <xdr:row>12</xdr:row>
      <xdr:rowOff>168275</xdr:rowOff>
    </xdr:to>
    <xdr:graphicFrame macro="">
      <xdr:nvGraphicFramePr>
        <xdr:cNvPr id="26" name="Chart 25">
          <a:extLst>
            <a:ext uri="{FF2B5EF4-FFF2-40B4-BE49-F238E27FC236}">
              <a16:creationId xmlns:a16="http://schemas.microsoft.com/office/drawing/2014/main" id="{6E9D5E4D-6CCA-98E8-D21B-B19534B076D6}"/>
            </a:ext>
            <a:ext uri="{147F2762-F138-4A5C-976F-8EAC2B608ADB}">
              <a16:predDERef xmlns:a16="http://schemas.microsoft.com/office/drawing/2014/main" pred="{1EA2D642-2B2F-4C2F-95FD-F1744F897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20</xdr:col>
      <xdr:colOff>596900</xdr:colOff>
      <xdr:row>2</xdr:row>
      <xdr:rowOff>0</xdr:rowOff>
    </xdr:from>
    <xdr:to>
      <xdr:col>26</xdr:col>
      <xdr:colOff>381000</xdr:colOff>
      <xdr:row>12</xdr:row>
      <xdr:rowOff>180975</xdr:rowOff>
    </xdr:to>
    <xdr:graphicFrame macro="">
      <xdr:nvGraphicFramePr>
        <xdr:cNvPr id="27" name="Chart 26">
          <a:extLst>
            <a:ext uri="{FF2B5EF4-FFF2-40B4-BE49-F238E27FC236}">
              <a16:creationId xmlns:a16="http://schemas.microsoft.com/office/drawing/2014/main" id="{59CFAE59-D5CC-C85B-47F1-DDF247948F39}"/>
            </a:ext>
            <a:ext uri="{147F2762-F138-4A5C-976F-8EAC2B608ADB}">
              <a16:predDERef xmlns:a16="http://schemas.microsoft.com/office/drawing/2014/main" pred="{1EA2D642-2B2F-4C2F-95FD-F1744F897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21</xdr:col>
      <xdr:colOff>76200</xdr:colOff>
      <xdr:row>41</xdr:row>
      <xdr:rowOff>12700</xdr:rowOff>
    </xdr:from>
    <xdr:to>
      <xdr:col>26</xdr:col>
      <xdr:colOff>333375</xdr:colOff>
      <xdr:row>52</xdr:row>
      <xdr:rowOff>136525</xdr:rowOff>
    </xdr:to>
    <xdr:graphicFrame macro="">
      <xdr:nvGraphicFramePr>
        <xdr:cNvPr id="28" name="Chart 27">
          <a:extLst>
            <a:ext uri="{FF2B5EF4-FFF2-40B4-BE49-F238E27FC236}">
              <a16:creationId xmlns:a16="http://schemas.microsoft.com/office/drawing/2014/main" id="{9A3DDCE5-D105-6AB6-1823-7B4C51FD4826}"/>
            </a:ext>
            <a:ext uri="{147F2762-F138-4A5C-976F-8EAC2B608ADB}">
              <a16:predDERef xmlns:a16="http://schemas.microsoft.com/office/drawing/2014/main" pred="{8378601D-1B51-42A9-9101-1DF7837DD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28</xdr:col>
      <xdr:colOff>393700</xdr:colOff>
      <xdr:row>2</xdr:row>
      <xdr:rowOff>50800</xdr:rowOff>
    </xdr:from>
    <xdr:to>
      <xdr:col>33</xdr:col>
      <xdr:colOff>495300</xdr:colOff>
      <xdr:row>13</xdr:row>
      <xdr:rowOff>165100</xdr:rowOff>
    </xdr:to>
    <xdr:graphicFrame macro="">
      <xdr:nvGraphicFramePr>
        <xdr:cNvPr id="29" name="Chart 28">
          <a:extLst>
            <a:ext uri="{FF2B5EF4-FFF2-40B4-BE49-F238E27FC236}">
              <a16:creationId xmlns:a16="http://schemas.microsoft.com/office/drawing/2014/main" id="{A8B7E798-F254-6B82-620D-D3947125DE35}"/>
            </a:ext>
            <a:ext uri="{147F2762-F138-4A5C-976F-8EAC2B608ADB}">
              <a16:predDERef xmlns:a16="http://schemas.microsoft.com/office/drawing/2014/main" pred="{3549F1E4-9CA3-4F52-90BB-8EAC473F4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21</xdr:col>
      <xdr:colOff>0</xdr:colOff>
      <xdr:row>83</xdr:row>
      <xdr:rowOff>0</xdr:rowOff>
    </xdr:from>
    <xdr:to>
      <xdr:col>26</xdr:col>
      <xdr:colOff>266700</xdr:colOff>
      <xdr:row>95</xdr:row>
      <xdr:rowOff>152400</xdr:rowOff>
    </xdr:to>
    <xdr:graphicFrame macro="">
      <xdr:nvGraphicFramePr>
        <xdr:cNvPr id="23" name="Chart 22">
          <a:extLst>
            <a:ext uri="{FF2B5EF4-FFF2-40B4-BE49-F238E27FC236}">
              <a16:creationId xmlns:a16="http://schemas.microsoft.com/office/drawing/2014/main" id="{E620F845-6768-B142-B1C8-147A96C3D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C94F8A0-4DCA-4F5D-86A5-995BD39274A7}">
  <we:reference id="WA200009404" version="1.0.0.8" store="en-us" storeType="omex"/>
  <we:alternateReferences>
    <we:reference id="WA200009404" version="1.0.0.8" store="en-us" storeType="omex"/>
  </we:alternateReferences>
  <we:properties>
    <we:property name="claude.fileId" value="&quot;f0a414e4-d59f-4be1-a6d2-b3056eda516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3" Type="http://schemas.openxmlformats.org/officeDocument/2006/relationships/hyperlink" Target="javascript:void(0);" TargetMode="External"/><Relationship Id="rId18" Type="http://schemas.openxmlformats.org/officeDocument/2006/relationships/hyperlink" Target="javascript:void(0);" TargetMode="External"/><Relationship Id="rId26" Type="http://schemas.openxmlformats.org/officeDocument/2006/relationships/hyperlink" Target="javascript:void(0);" TargetMode="External"/><Relationship Id="rId39" Type="http://schemas.openxmlformats.org/officeDocument/2006/relationships/hyperlink" Target="javascript:void(0);" TargetMode="External"/><Relationship Id="rId21" Type="http://schemas.openxmlformats.org/officeDocument/2006/relationships/hyperlink" Target="javascript:void(0);" TargetMode="External"/><Relationship Id="rId34" Type="http://schemas.openxmlformats.org/officeDocument/2006/relationships/hyperlink" Target="javascript:void(0);" TargetMode="External"/><Relationship Id="rId42" Type="http://schemas.openxmlformats.org/officeDocument/2006/relationships/hyperlink" Target="javascript:void(0);" TargetMode="External"/><Relationship Id="rId47" Type="http://schemas.openxmlformats.org/officeDocument/2006/relationships/hyperlink" Target="javascript:void(0);" TargetMode="External"/><Relationship Id="rId50" Type="http://schemas.openxmlformats.org/officeDocument/2006/relationships/hyperlink" Target="javascript:void(0);" TargetMode="External"/><Relationship Id="rId7" Type="http://schemas.openxmlformats.org/officeDocument/2006/relationships/hyperlink" Target="javascript:void(0);" TargetMode="External"/><Relationship Id="rId2" Type="http://schemas.openxmlformats.org/officeDocument/2006/relationships/hyperlink" Target="javascript:void(0);" TargetMode="External"/><Relationship Id="rId16" Type="http://schemas.openxmlformats.org/officeDocument/2006/relationships/hyperlink" Target="javascript:void(0);" TargetMode="External"/><Relationship Id="rId29" Type="http://schemas.openxmlformats.org/officeDocument/2006/relationships/hyperlink" Target="javascript:void(0);" TargetMode="External"/><Relationship Id="rId11" Type="http://schemas.openxmlformats.org/officeDocument/2006/relationships/hyperlink" Target="javascript:void(0);" TargetMode="External"/><Relationship Id="rId24" Type="http://schemas.openxmlformats.org/officeDocument/2006/relationships/hyperlink" Target="javascript:void(0);" TargetMode="External"/><Relationship Id="rId32" Type="http://schemas.openxmlformats.org/officeDocument/2006/relationships/hyperlink" Target="javascript:void(0);" TargetMode="External"/><Relationship Id="rId37" Type="http://schemas.openxmlformats.org/officeDocument/2006/relationships/hyperlink" Target="javascript:void(0);" TargetMode="External"/><Relationship Id="rId40" Type="http://schemas.openxmlformats.org/officeDocument/2006/relationships/hyperlink" Target="javascript:void(0);" TargetMode="External"/><Relationship Id="rId45" Type="http://schemas.openxmlformats.org/officeDocument/2006/relationships/hyperlink" Target="javascript:void(0);" TargetMode="External"/><Relationship Id="rId5" Type="http://schemas.openxmlformats.org/officeDocument/2006/relationships/hyperlink" Target="javascript:void(0);" TargetMode="External"/><Relationship Id="rId15" Type="http://schemas.openxmlformats.org/officeDocument/2006/relationships/hyperlink" Target="javascript:void(0);" TargetMode="External"/><Relationship Id="rId23" Type="http://schemas.openxmlformats.org/officeDocument/2006/relationships/hyperlink" Target="javascript:void(0);" TargetMode="External"/><Relationship Id="rId28" Type="http://schemas.openxmlformats.org/officeDocument/2006/relationships/hyperlink" Target="javascript:void(0);" TargetMode="External"/><Relationship Id="rId36" Type="http://schemas.openxmlformats.org/officeDocument/2006/relationships/hyperlink" Target="javascript:void(0);" TargetMode="External"/><Relationship Id="rId49" Type="http://schemas.openxmlformats.org/officeDocument/2006/relationships/hyperlink" Target="javascript:void(0);" TargetMode="External"/><Relationship Id="rId10" Type="http://schemas.openxmlformats.org/officeDocument/2006/relationships/hyperlink" Target="javascript:void(0);" TargetMode="External"/><Relationship Id="rId19" Type="http://schemas.openxmlformats.org/officeDocument/2006/relationships/hyperlink" Target="javascript:void(0);" TargetMode="External"/><Relationship Id="rId31" Type="http://schemas.openxmlformats.org/officeDocument/2006/relationships/hyperlink" Target="javascript:void(0);" TargetMode="External"/><Relationship Id="rId44" Type="http://schemas.openxmlformats.org/officeDocument/2006/relationships/hyperlink" Target="javascript:void(0);" TargetMode="External"/><Relationship Id="rId4" Type="http://schemas.openxmlformats.org/officeDocument/2006/relationships/hyperlink" Target="javascript:void(0);" TargetMode="External"/><Relationship Id="rId9" Type="http://schemas.openxmlformats.org/officeDocument/2006/relationships/hyperlink" Target="javascript:void(0);" TargetMode="External"/><Relationship Id="rId14" Type="http://schemas.openxmlformats.org/officeDocument/2006/relationships/hyperlink" Target="javascript:void(0);" TargetMode="External"/><Relationship Id="rId22" Type="http://schemas.openxmlformats.org/officeDocument/2006/relationships/hyperlink" Target="javascript:void(0);" TargetMode="External"/><Relationship Id="rId27" Type="http://schemas.openxmlformats.org/officeDocument/2006/relationships/hyperlink" Target="javascript:void(0);" TargetMode="External"/><Relationship Id="rId30" Type="http://schemas.openxmlformats.org/officeDocument/2006/relationships/hyperlink" Target="javascript:void(0);" TargetMode="External"/><Relationship Id="rId35" Type="http://schemas.openxmlformats.org/officeDocument/2006/relationships/hyperlink" Target="javascript:void(0);" TargetMode="External"/><Relationship Id="rId43" Type="http://schemas.openxmlformats.org/officeDocument/2006/relationships/hyperlink" Target="javascript:void(0);" TargetMode="External"/><Relationship Id="rId48" Type="http://schemas.openxmlformats.org/officeDocument/2006/relationships/hyperlink" Target="javascript:void(0);" TargetMode="External"/><Relationship Id="rId8" Type="http://schemas.openxmlformats.org/officeDocument/2006/relationships/hyperlink" Target="javascript:void(0);" TargetMode="External"/><Relationship Id="rId3" Type="http://schemas.openxmlformats.org/officeDocument/2006/relationships/hyperlink" Target="javascript:void(0);" TargetMode="External"/><Relationship Id="rId12" Type="http://schemas.openxmlformats.org/officeDocument/2006/relationships/hyperlink" Target="javascript:void(0);" TargetMode="External"/><Relationship Id="rId17" Type="http://schemas.openxmlformats.org/officeDocument/2006/relationships/hyperlink" Target="javascript:void(0);" TargetMode="External"/><Relationship Id="rId25" Type="http://schemas.openxmlformats.org/officeDocument/2006/relationships/hyperlink" Target="javascript:void(0);" TargetMode="External"/><Relationship Id="rId33" Type="http://schemas.openxmlformats.org/officeDocument/2006/relationships/hyperlink" Target="javascript:void(0);" TargetMode="External"/><Relationship Id="rId38" Type="http://schemas.openxmlformats.org/officeDocument/2006/relationships/hyperlink" Target="javascript:void(0);" TargetMode="External"/><Relationship Id="rId46" Type="http://schemas.openxmlformats.org/officeDocument/2006/relationships/hyperlink" Target="javascript:void(0);" TargetMode="External"/><Relationship Id="rId20" Type="http://schemas.openxmlformats.org/officeDocument/2006/relationships/hyperlink" Target="javascript:void(0);" TargetMode="External"/><Relationship Id="rId41"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8" Type="http://schemas.openxmlformats.org/officeDocument/2006/relationships/hyperlink" Target="javascript:void(0);" TargetMode="External"/><Relationship Id="rId13" Type="http://schemas.openxmlformats.org/officeDocument/2006/relationships/hyperlink" Target="javascript:void(0);" TargetMode="External"/><Relationship Id="rId18" Type="http://schemas.openxmlformats.org/officeDocument/2006/relationships/hyperlink" Target="javascript:void(0);" TargetMode="External"/><Relationship Id="rId3" Type="http://schemas.openxmlformats.org/officeDocument/2006/relationships/hyperlink" Target="javascript:void(0);" TargetMode="External"/><Relationship Id="rId21" Type="http://schemas.openxmlformats.org/officeDocument/2006/relationships/printerSettings" Target="../printerSettings/printerSettings1.bin"/><Relationship Id="rId7" Type="http://schemas.openxmlformats.org/officeDocument/2006/relationships/hyperlink" Target="javascript:void(0);" TargetMode="External"/><Relationship Id="rId12" Type="http://schemas.openxmlformats.org/officeDocument/2006/relationships/hyperlink" Target="javascript:void(0);" TargetMode="External"/><Relationship Id="rId17" Type="http://schemas.openxmlformats.org/officeDocument/2006/relationships/hyperlink" Target="javascript:void(0);" TargetMode="External"/><Relationship Id="rId2" Type="http://schemas.openxmlformats.org/officeDocument/2006/relationships/hyperlink" Target="javascript:void(0);" TargetMode="External"/><Relationship Id="rId16" Type="http://schemas.openxmlformats.org/officeDocument/2006/relationships/hyperlink" Target="javascript:void(0);" TargetMode="External"/><Relationship Id="rId20"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11" Type="http://schemas.openxmlformats.org/officeDocument/2006/relationships/hyperlink" Target="javascript:void(0);" TargetMode="External"/><Relationship Id="rId5" Type="http://schemas.openxmlformats.org/officeDocument/2006/relationships/hyperlink" Target="javascript:void(0);" TargetMode="External"/><Relationship Id="rId15" Type="http://schemas.openxmlformats.org/officeDocument/2006/relationships/hyperlink" Target="javascript:void(0);" TargetMode="External"/><Relationship Id="rId23" Type="http://schemas.openxmlformats.org/officeDocument/2006/relationships/comments" Target="../comments2.xml"/><Relationship Id="rId10" Type="http://schemas.openxmlformats.org/officeDocument/2006/relationships/hyperlink" Target="javascript:void(0);" TargetMode="External"/><Relationship Id="rId19" Type="http://schemas.openxmlformats.org/officeDocument/2006/relationships/hyperlink" Target="javascript:void(0);" TargetMode="External"/><Relationship Id="rId4" Type="http://schemas.openxmlformats.org/officeDocument/2006/relationships/hyperlink" Target="javascript:void(0);" TargetMode="External"/><Relationship Id="rId9" Type="http://schemas.openxmlformats.org/officeDocument/2006/relationships/hyperlink" Target="javascript:void(0);" TargetMode="External"/><Relationship Id="rId14" Type="http://schemas.openxmlformats.org/officeDocument/2006/relationships/hyperlink" Target="javascript:void(0);" TargetMode="External"/><Relationship Id="rId2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7DBBC-83A8-6F4E-8B30-CC6FC116B851}">
  <sheetPr>
    <tabColor rgb="FF92D050"/>
  </sheetPr>
  <dimension ref="B1:AC129"/>
  <sheetViews>
    <sheetView showGridLines="0" topLeftCell="B1" zoomScaleNormal="100" workbookViewId="0">
      <selection activeCell="M36" sqref="M36"/>
    </sheetView>
  </sheetViews>
  <sheetFormatPr baseColWidth="10" defaultColWidth="8.83203125" defaultRowHeight="23.25" customHeight="1" x14ac:dyDescent="0.25"/>
  <cols>
    <col min="2" max="2" width="79.33203125" style="47" bestFit="1" customWidth="1"/>
    <col min="3" max="3" width="9.33203125" customWidth="1"/>
    <col min="4" max="5" width="10.1640625" bestFit="1" customWidth="1"/>
    <col min="6" max="7" width="10.5" bestFit="1" customWidth="1"/>
    <col min="8" max="9" width="1.6640625" customWidth="1"/>
    <col min="10" max="14" width="7.6640625" customWidth="1"/>
    <col min="15" max="16" width="1.6640625" customWidth="1"/>
    <col min="17" max="21" width="7.83203125" customWidth="1"/>
    <col min="22" max="22" width="9.33203125" customWidth="1"/>
  </cols>
  <sheetData>
    <row r="1" spans="2:23" ht="20.25" customHeight="1" x14ac:dyDescent="0.2">
      <c r="B1" s="627" t="s">
        <v>485</v>
      </c>
      <c r="C1" s="627"/>
      <c r="D1" s="627"/>
      <c r="E1" s="627"/>
      <c r="F1" s="627"/>
      <c r="G1" s="627"/>
      <c r="H1" s="627"/>
      <c r="I1" s="627"/>
      <c r="J1" s="627"/>
      <c r="K1" s="627"/>
      <c r="L1" s="627"/>
      <c r="M1" s="627"/>
      <c r="N1" s="627"/>
      <c r="O1" s="627"/>
      <c r="P1" s="627"/>
      <c r="Q1" s="627"/>
      <c r="R1" s="627"/>
      <c r="S1" s="627"/>
      <c r="T1" s="627"/>
      <c r="U1" s="627"/>
      <c r="V1" s="627"/>
      <c r="W1" s="106"/>
    </row>
    <row r="2" spans="2:23" ht="15.75" customHeight="1" x14ac:dyDescent="0.2">
      <c r="B2" s="628" t="s">
        <v>1</v>
      </c>
      <c r="C2" s="628"/>
      <c r="D2" s="628"/>
      <c r="E2" s="628"/>
      <c r="F2" s="628"/>
      <c r="G2" s="628"/>
      <c r="H2" s="628"/>
      <c r="I2" s="628"/>
      <c r="J2" s="628"/>
      <c r="K2" s="628"/>
      <c r="L2" s="628"/>
      <c r="M2" s="628"/>
      <c r="N2" s="628"/>
      <c r="O2" s="628"/>
      <c r="P2" s="628"/>
      <c r="Q2" s="628"/>
      <c r="R2" s="628"/>
      <c r="S2" s="628"/>
      <c r="T2" s="628"/>
      <c r="U2" s="628"/>
      <c r="V2" s="628"/>
      <c r="W2" s="107"/>
    </row>
    <row r="3" spans="2:23" ht="15.75" customHeight="1" x14ac:dyDescent="0.2">
      <c r="B3" s="629" t="s">
        <v>2</v>
      </c>
      <c r="C3" s="629"/>
      <c r="D3" s="629"/>
      <c r="E3" s="629"/>
      <c r="F3" s="629"/>
      <c r="G3" s="629"/>
      <c r="H3" s="629"/>
      <c r="I3" s="629"/>
      <c r="J3" s="629"/>
      <c r="K3" s="629"/>
      <c r="L3" s="629"/>
      <c r="M3" s="629"/>
      <c r="N3" s="629"/>
      <c r="O3" s="629"/>
      <c r="P3" s="629"/>
      <c r="Q3" s="629"/>
      <c r="R3" s="629"/>
      <c r="S3" s="629"/>
      <c r="T3" s="629"/>
      <c r="U3" s="629"/>
      <c r="V3" s="629"/>
      <c r="W3" s="5"/>
    </row>
    <row r="4" spans="2:23" s="109" customFormat="1" ht="16" x14ac:dyDescent="0.2">
      <c r="B4" s="106" t="s">
        <v>3</v>
      </c>
      <c r="U4" s="616" t="s">
        <v>4</v>
      </c>
      <c r="V4" s="616"/>
    </row>
    <row r="5" spans="2:23" s="109" customFormat="1" ht="16" x14ac:dyDescent="0.2">
      <c r="B5" s="106" t="s">
        <v>5</v>
      </c>
    </row>
    <row r="6" spans="2:23" ht="15" x14ac:dyDescent="0.2">
      <c r="B6" s="2"/>
      <c r="J6" s="620" t="s">
        <v>7</v>
      </c>
      <c r="K6" s="620"/>
      <c r="L6" s="620"/>
      <c r="M6" s="620"/>
      <c r="N6" s="620"/>
      <c r="O6" s="3"/>
      <c r="P6" s="3"/>
      <c r="Q6" s="620" t="s">
        <v>8</v>
      </c>
      <c r="R6" s="620"/>
      <c r="S6" s="620"/>
      <c r="T6" s="620"/>
      <c r="U6" s="620"/>
      <c r="V6" s="4"/>
    </row>
    <row r="7" spans="2:23" ht="15" x14ac:dyDescent="0.2">
      <c r="B7" s="5"/>
      <c r="J7" s="621" t="s">
        <v>9</v>
      </c>
      <c r="K7" s="621"/>
      <c r="L7" s="621"/>
      <c r="M7" s="621"/>
      <c r="N7" s="621"/>
      <c r="O7" s="6"/>
      <c r="P7" s="6"/>
      <c r="Q7" s="622" t="s">
        <v>10</v>
      </c>
      <c r="R7" s="622"/>
      <c r="S7" s="622"/>
      <c r="T7" s="622"/>
      <c r="U7" s="622"/>
    </row>
    <row r="8" spans="2:23" ht="15" x14ac:dyDescent="0.2">
      <c r="B8" s="7" t="s">
        <v>11</v>
      </c>
      <c r="C8" s="8">
        <v>2021</v>
      </c>
      <c r="D8" s="8">
        <v>2022</v>
      </c>
      <c r="E8" s="8">
        <v>2023</v>
      </c>
      <c r="F8" s="8">
        <v>2024</v>
      </c>
      <c r="G8" s="134">
        <v>2025</v>
      </c>
      <c r="H8" s="9"/>
      <c r="I8" s="8"/>
      <c r="J8" s="8">
        <v>2021</v>
      </c>
      <c r="K8" s="8">
        <v>2022</v>
      </c>
      <c r="L8" s="8">
        <v>2023</v>
      </c>
      <c r="M8" s="8">
        <v>2024</v>
      </c>
      <c r="N8" s="134">
        <v>2025</v>
      </c>
      <c r="O8" s="9"/>
      <c r="P8" s="8"/>
      <c r="Q8" s="8">
        <v>2021</v>
      </c>
      <c r="R8" s="8">
        <v>2022</v>
      </c>
      <c r="S8" s="8">
        <v>2023</v>
      </c>
      <c r="T8" s="8">
        <v>2024</v>
      </c>
      <c r="U8" s="134">
        <v>2025</v>
      </c>
    </row>
    <row r="9" spans="2:23" ht="15" x14ac:dyDescent="0.2">
      <c r="B9" s="10" t="s">
        <v>268</v>
      </c>
      <c r="C9" s="205">
        <v>5541.3519999999999</v>
      </c>
      <c r="D9" s="206">
        <v>6311.05</v>
      </c>
      <c r="E9" s="206">
        <v>7140.027</v>
      </c>
      <c r="F9" s="206">
        <v>7492.7089999999998</v>
      </c>
      <c r="G9" s="206">
        <v>8294.3430000000008</v>
      </c>
      <c r="H9" s="12"/>
      <c r="I9" s="11"/>
      <c r="J9" s="13">
        <f t="shared" ref="J9:N11" si="0">C9/C$9</f>
        <v>1</v>
      </c>
      <c r="K9" s="13">
        <f t="shared" si="0"/>
        <v>1</v>
      </c>
      <c r="L9" s="13">
        <f t="shared" si="0"/>
        <v>1</v>
      </c>
      <c r="M9" s="13">
        <f t="shared" si="0"/>
        <v>1</v>
      </c>
      <c r="N9" s="13">
        <f t="shared" si="0"/>
        <v>1</v>
      </c>
      <c r="O9" s="14"/>
      <c r="P9" s="13"/>
      <c r="Q9" s="13">
        <f t="shared" ref="Q9:U11" si="1">C9/$C9</f>
        <v>1</v>
      </c>
      <c r="R9" s="13">
        <f t="shared" si="1"/>
        <v>1.1389007592370959</v>
      </c>
      <c r="S9" s="13">
        <f t="shared" si="1"/>
        <v>1.2884990883091347</v>
      </c>
      <c r="T9" s="13">
        <f t="shared" si="1"/>
        <v>1.3521445668854821</v>
      </c>
      <c r="U9" s="13">
        <f t="shared" si="1"/>
        <v>1.4968085405872071</v>
      </c>
    </row>
    <row r="10" spans="2:23" ht="14.25" customHeight="1" x14ac:dyDescent="0.2">
      <c r="B10" s="5" t="s">
        <v>13</v>
      </c>
      <c r="C10" s="207">
        <v>2432.8389999999999</v>
      </c>
      <c r="D10" s="207">
        <v>3136.4830000000002</v>
      </c>
      <c r="E10" s="207">
        <v>3345.8209999999999</v>
      </c>
      <c r="F10" s="207">
        <v>3443.8310000000001</v>
      </c>
      <c r="G10" s="207">
        <v>3662.1480000000001</v>
      </c>
      <c r="H10" s="22"/>
      <c r="I10" s="23"/>
      <c r="J10" s="181">
        <f t="shared" si="0"/>
        <v>0.43903347053210118</v>
      </c>
      <c r="K10" s="181">
        <f t="shared" si="0"/>
        <v>0.49698275247383561</v>
      </c>
      <c r="L10" s="181">
        <f t="shared" si="0"/>
        <v>0.46860060893327155</v>
      </c>
      <c r="M10" s="181">
        <f t="shared" si="0"/>
        <v>0.45962428275274003</v>
      </c>
      <c r="N10" s="181">
        <f t="shared" si="0"/>
        <v>0.44152357817852478</v>
      </c>
      <c r="O10" s="19"/>
      <c r="P10" s="18"/>
      <c r="Q10" s="181">
        <f t="shared" si="1"/>
        <v>1</v>
      </c>
      <c r="R10" s="181">
        <f t="shared" si="1"/>
        <v>1.2892275238928677</v>
      </c>
      <c r="S10" s="181">
        <f t="shared" si="1"/>
        <v>1.3752743194268096</v>
      </c>
      <c r="T10" s="181">
        <f t="shared" si="1"/>
        <v>1.4155605858011977</v>
      </c>
      <c r="U10" s="181">
        <f t="shared" si="1"/>
        <v>1.5052981311134852</v>
      </c>
    </row>
    <row r="11" spans="2:23" ht="15" x14ac:dyDescent="0.2">
      <c r="B11" s="53" t="s">
        <v>14</v>
      </c>
      <c r="C11" s="208">
        <f>C9-C10</f>
        <v>3108.5129999999999</v>
      </c>
      <c r="D11" s="208">
        <f>D9-D10</f>
        <v>3174.567</v>
      </c>
      <c r="E11" s="208">
        <f>E9-E10</f>
        <v>3794.2060000000001</v>
      </c>
      <c r="F11" s="208">
        <f>F9-F10</f>
        <v>4048.8779999999997</v>
      </c>
      <c r="G11" s="208">
        <f>G9-G10</f>
        <v>4632.1950000000006</v>
      </c>
      <c r="H11" s="25"/>
      <c r="I11" s="24"/>
      <c r="J11" s="16">
        <f t="shared" si="0"/>
        <v>0.56096652946789882</v>
      </c>
      <c r="K11" s="16">
        <f t="shared" si="0"/>
        <v>0.50301724752616439</v>
      </c>
      <c r="L11" s="16">
        <f t="shared" si="0"/>
        <v>0.53139939106672851</v>
      </c>
      <c r="M11" s="16">
        <f t="shared" si="0"/>
        <v>0.54037571724725997</v>
      </c>
      <c r="N11" s="16">
        <f t="shared" si="0"/>
        <v>0.55847642182147517</v>
      </c>
      <c r="O11" s="17"/>
      <c r="P11" s="16"/>
      <c r="Q11" s="16">
        <f t="shared" si="1"/>
        <v>1</v>
      </c>
      <c r="R11" s="16">
        <f t="shared" si="1"/>
        <v>1.0212493883731546</v>
      </c>
      <c r="S11" s="16">
        <f t="shared" si="1"/>
        <v>1.2205855339836122</v>
      </c>
      <c r="T11" s="16">
        <f t="shared" si="1"/>
        <v>1.3025128091791798</v>
      </c>
      <c r="U11" s="16">
        <f t="shared" si="1"/>
        <v>1.4901642682530203</v>
      </c>
    </row>
    <row r="12" spans="2:23" ht="6" customHeight="1" x14ac:dyDescent="0.2">
      <c r="B12" s="5"/>
      <c r="C12" s="209"/>
      <c r="D12" s="209"/>
      <c r="E12" s="209"/>
      <c r="F12" s="209"/>
      <c r="G12" s="209"/>
      <c r="H12" s="28"/>
      <c r="I12" s="27"/>
      <c r="J12" s="18"/>
      <c r="K12" s="18"/>
      <c r="L12" s="18"/>
      <c r="M12" s="18"/>
      <c r="N12" s="18"/>
      <c r="O12" s="19"/>
      <c r="P12" s="18"/>
      <c r="Q12" s="18"/>
      <c r="R12" s="18"/>
      <c r="S12" s="18"/>
      <c r="T12" s="18"/>
      <c r="U12" s="18"/>
    </row>
    <row r="13" spans="2:23" ht="15" x14ac:dyDescent="0.2">
      <c r="B13" s="5" t="s">
        <v>15</v>
      </c>
      <c r="C13" s="209"/>
      <c r="D13" s="209"/>
      <c r="E13" s="209"/>
      <c r="F13" s="209"/>
      <c r="G13" s="209"/>
      <c r="H13" s="28"/>
      <c r="I13" s="27"/>
      <c r="J13" s="18"/>
      <c r="K13" s="18"/>
      <c r="L13" s="18"/>
      <c r="M13" s="18"/>
      <c r="N13" s="18"/>
      <c r="O13" s="19"/>
      <c r="P13" s="18"/>
      <c r="Q13" s="183"/>
      <c r="R13" s="18"/>
      <c r="S13" s="18"/>
      <c r="T13" s="18"/>
      <c r="U13" s="18"/>
    </row>
    <row r="14" spans="2:23" ht="15" x14ac:dyDescent="0.2">
      <c r="B14" s="5" t="s">
        <v>269</v>
      </c>
      <c r="C14" s="209"/>
      <c r="D14" s="209"/>
      <c r="E14" s="209"/>
      <c r="F14" s="209"/>
      <c r="G14" s="209"/>
      <c r="H14" s="34"/>
      <c r="I14" s="33"/>
      <c r="J14" s="18"/>
      <c r="K14" s="18"/>
      <c r="L14" s="18"/>
      <c r="M14" s="18"/>
      <c r="N14" s="18"/>
      <c r="O14" s="19"/>
      <c r="P14" s="18"/>
      <c r="Q14" s="18"/>
      <c r="R14" s="18"/>
      <c r="S14" s="18"/>
      <c r="T14" s="18"/>
      <c r="U14" s="18"/>
    </row>
    <row r="15" spans="2:23" ht="15" x14ac:dyDescent="0.2">
      <c r="B15" s="5" t="s">
        <v>270</v>
      </c>
      <c r="C15" s="209">
        <v>1311.046</v>
      </c>
      <c r="D15" s="209">
        <v>1589.846</v>
      </c>
      <c r="E15" s="209">
        <v>1840.8510000000001</v>
      </c>
      <c r="F15" s="209">
        <v>2118.5839999999998</v>
      </c>
      <c r="G15" s="209">
        <v>2212.8409999999999</v>
      </c>
      <c r="H15" s="34"/>
      <c r="I15" s="33"/>
      <c r="J15" s="18">
        <f t="shared" ref="J15:N16" si="2">C15/C$9</f>
        <v>0.23659316354564736</v>
      </c>
      <c r="K15" s="18">
        <f t="shared" si="2"/>
        <v>0.25191465762432558</v>
      </c>
      <c r="L15" s="18">
        <f t="shared" si="2"/>
        <v>0.25782129395309011</v>
      </c>
      <c r="M15" s="18">
        <f t="shared" si="2"/>
        <v>0.28275274003034145</v>
      </c>
      <c r="N15" s="18">
        <f t="shared" si="2"/>
        <v>0.2667891839052231</v>
      </c>
      <c r="O15" s="19"/>
      <c r="P15" s="18"/>
      <c r="Q15" s="18">
        <f t="shared" ref="Q15:U16" si="3">C15/$C15</f>
        <v>1</v>
      </c>
      <c r="R15" s="18">
        <f t="shared" si="3"/>
        <v>1.2126546284417175</v>
      </c>
      <c r="S15" s="18">
        <f t="shared" si="3"/>
        <v>1.4041086277674468</v>
      </c>
      <c r="T15" s="18">
        <f t="shared" si="3"/>
        <v>1.6159494022330259</v>
      </c>
      <c r="U15" s="18">
        <f t="shared" si="3"/>
        <v>1.6878439047905258</v>
      </c>
    </row>
    <row r="16" spans="2:23" ht="15" x14ac:dyDescent="0.2">
      <c r="B16" s="52" t="s">
        <v>20</v>
      </c>
      <c r="C16" s="210">
        <f>+C14+C15</f>
        <v>1311.046</v>
      </c>
      <c r="D16" s="210">
        <f>+D14+D15</f>
        <v>1589.846</v>
      </c>
      <c r="E16" s="210">
        <f>+E14+E15</f>
        <v>1840.8510000000001</v>
      </c>
      <c r="F16" s="210">
        <f>+F14+F15</f>
        <v>2118.5839999999998</v>
      </c>
      <c r="G16" s="210">
        <f>+G14+G15</f>
        <v>2212.8409999999999</v>
      </c>
      <c r="H16" s="34"/>
      <c r="I16" s="33"/>
      <c r="J16" s="181">
        <f t="shared" si="2"/>
        <v>0.23659316354564736</v>
      </c>
      <c r="K16" s="181">
        <f t="shared" si="2"/>
        <v>0.25191465762432558</v>
      </c>
      <c r="L16" s="181">
        <f t="shared" si="2"/>
        <v>0.25782129395309011</v>
      </c>
      <c r="M16" s="181">
        <f t="shared" si="2"/>
        <v>0.28275274003034145</v>
      </c>
      <c r="N16" s="181">
        <f t="shared" si="2"/>
        <v>0.2667891839052231</v>
      </c>
      <c r="O16" s="19"/>
      <c r="P16" s="18"/>
      <c r="Q16" s="181">
        <f t="shared" si="3"/>
        <v>1</v>
      </c>
      <c r="R16" s="181">
        <f t="shared" si="3"/>
        <v>1.2126546284417175</v>
      </c>
      <c r="S16" s="181">
        <f t="shared" si="3"/>
        <v>1.4041086277674468</v>
      </c>
      <c r="T16" s="181">
        <f t="shared" si="3"/>
        <v>1.6159494022330259</v>
      </c>
      <c r="U16" s="181">
        <f t="shared" si="3"/>
        <v>1.6878439047905258</v>
      </c>
    </row>
    <row r="17" spans="2:21" ht="6.75" customHeight="1" x14ac:dyDescent="0.2">
      <c r="B17" s="5"/>
      <c r="C17" s="209"/>
      <c r="D17" s="209"/>
      <c r="E17" s="209"/>
      <c r="F17" s="209"/>
      <c r="G17" s="209"/>
      <c r="H17" s="36"/>
      <c r="I17" s="35"/>
      <c r="J17" s="18"/>
      <c r="K17" s="18"/>
      <c r="L17" s="18"/>
      <c r="M17" s="18"/>
      <c r="N17" s="18"/>
      <c r="O17" s="19"/>
      <c r="P17" s="18"/>
      <c r="Q17" s="18"/>
      <c r="R17" s="18"/>
      <c r="S17" s="18"/>
      <c r="T17" s="18"/>
      <c r="U17" s="18"/>
    </row>
    <row r="18" spans="2:21" ht="15" x14ac:dyDescent="0.2">
      <c r="B18" s="10" t="s">
        <v>21</v>
      </c>
      <c r="C18" s="206">
        <f>C11-C16</f>
        <v>1797.4669999999999</v>
      </c>
      <c r="D18" s="206">
        <f>D11-D16</f>
        <v>1584.721</v>
      </c>
      <c r="E18" s="206">
        <f>E11-E16</f>
        <v>1953.355</v>
      </c>
      <c r="F18" s="206">
        <f>F11-F16</f>
        <v>1930.2939999999999</v>
      </c>
      <c r="G18" s="206">
        <f>G11-G16</f>
        <v>2419.3540000000007</v>
      </c>
      <c r="H18" s="38"/>
      <c r="I18" s="37"/>
      <c r="J18" s="16">
        <f t="shared" ref="J18:N20" si="4">C18/C$9</f>
        <v>0.32437336592225147</v>
      </c>
      <c r="K18" s="16">
        <f t="shared" si="4"/>
        <v>0.25110258990183881</v>
      </c>
      <c r="L18" s="16">
        <f t="shared" si="4"/>
        <v>0.27357809711363834</v>
      </c>
      <c r="M18" s="16">
        <f t="shared" si="4"/>
        <v>0.25762297721691846</v>
      </c>
      <c r="N18" s="16">
        <f t="shared" si="4"/>
        <v>0.29168723791625212</v>
      </c>
      <c r="O18" s="17"/>
      <c r="P18" s="16"/>
      <c r="Q18" s="16">
        <f t="shared" ref="Q18:U20" si="5">C18/$C18</f>
        <v>1</v>
      </c>
      <c r="R18" s="16">
        <f t="shared" si="5"/>
        <v>0.88164122067331419</v>
      </c>
      <c r="S18" s="16">
        <f t="shared" si="5"/>
        <v>1.0867264878854521</v>
      </c>
      <c r="T18" s="16">
        <f t="shared" si="5"/>
        <v>1.0738967669503807</v>
      </c>
      <c r="U18" s="16">
        <f t="shared" si="5"/>
        <v>1.3459796480269184</v>
      </c>
    </row>
    <row r="19" spans="2:21" ht="15" x14ac:dyDescent="0.2">
      <c r="B19" s="5" t="s">
        <v>271</v>
      </c>
      <c r="C19" s="209"/>
      <c r="D19" s="209"/>
      <c r="E19" s="209"/>
      <c r="F19" s="209"/>
      <c r="G19" s="209"/>
      <c r="H19" s="17"/>
      <c r="I19" s="16"/>
      <c r="J19" s="18"/>
      <c r="K19" s="18"/>
      <c r="L19" s="18"/>
      <c r="M19" s="18"/>
      <c r="N19" s="18"/>
      <c r="O19" s="19"/>
      <c r="P19" s="18"/>
      <c r="Q19" s="18"/>
      <c r="R19" s="18"/>
      <c r="S19" s="18"/>
      <c r="T19" s="18"/>
      <c r="U19" s="18"/>
    </row>
    <row r="20" spans="2:21" ht="15" x14ac:dyDescent="0.2">
      <c r="B20" s="5" t="s">
        <v>483</v>
      </c>
      <c r="C20" s="233">
        <v>-3.952</v>
      </c>
      <c r="D20" s="233">
        <v>12.757</v>
      </c>
      <c r="E20" s="233">
        <v>-115.127</v>
      </c>
      <c r="F20" s="233">
        <v>-59.164999999999999</v>
      </c>
      <c r="G20" s="233">
        <v>-63.174999999999997</v>
      </c>
      <c r="H20" s="17"/>
      <c r="I20" s="16"/>
      <c r="J20" s="18">
        <f t="shared" si="4"/>
        <v>-7.1318335308783853E-4</v>
      </c>
      <c r="K20" s="18">
        <f t="shared" si="4"/>
        <v>2.0213752069782364E-3</v>
      </c>
      <c r="L20" s="18">
        <f t="shared" si="4"/>
        <v>-1.6124168718129498E-2</v>
      </c>
      <c r="M20" s="18">
        <f t="shared" si="4"/>
        <v>-7.8963429648742523E-3</v>
      </c>
      <c r="N20" s="18">
        <f t="shared" si="4"/>
        <v>-7.6166370259826473E-3</v>
      </c>
      <c r="O20" s="19"/>
      <c r="P20" s="18"/>
      <c r="Q20" s="18">
        <f t="shared" si="5"/>
        <v>1</v>
      </c>
      <c r="R20" s="18">
        <f t="shared" si="5"/>
        <v>-3.2279858299595143</v>
      </c>
      <c r="S20" s="18">
        <f t="shared" si="5"/>
        <v>29.131325910931174</v>
      </c>
      <c r="T20" s="18">
        <f t="shared" si="5"/>
        <v>14.9709008097166</v>
      </c>
      <c r="U20" s="18">
        <f t="shared" si="5"/>
        <v>15.985576923076923</v>
      </c>
    </row>
    <row r="21" spans="2:21" ht="15" x14ac:dyDescent="0.2">
      <c r="B21" s="5" t="s">
        <v>273</v>
      </c>
      <c r="C21" s="209"/>
      <c r="D21" s="209"/>
      <c r="E21" s="209"/>
      <c r="F21" s="209"/>
      <c r="G21" s="209"/>
      <c r="H21" s="17"/>
      <c r="I21" s="16"/>
      <c r="J21" s="18"/>
      <c r="K21" s="18"/>
      <c r="L21" s="18"/>
      <c r="M21" s="18"/>
      <c r="N21" s="18"/>
      <c r="O21" s="19"/>
      <c r="P21" s="18"/>
      <c r="Q21" s="18"/>
      <c r="R21" s="18"/>
      <c r="S21" s="18"/>
      <c r="T21" s="18"/>
      <c r="U21" s="18"/>
    </row>
    <row r="22" spans="2:21" ht="15" x14ac:dyDescent="0.2">
      <c r="B22" s="5" t="s">
        <v>274</v>
      </c>
      <c r="C22" s="210"/>
      <c r="D22" s="210"/>
      <c r="E22" s="210"/>
      <c r="F22" s="210"/>
      <c r="G22" s="210"/>
      <c r="H22" s="17"/>
      <c r="I22" s="16"/>
      <c r="J22" s="181"/>
      <c r="K22" s="181"/>
      <c r="L22" s="181"/>
      <c r="M22" s="181"/>
      <c r="N22" s="181"/>
      <c r="O22" s="19"/>
      <c r="P22" s="18"/>
      <c r="Q22" s="181"/>
      <c r="R22" s="181"/>
      <c r="S22" s="181"/>
      <c r="T22" s="181"/>
      <c r="U22" s="181"/>
    </row>
    <row r="23" spans="2:21" ht="6.75" customHeight="1" x14ac:dyDescent="0.2">
      <c r="B23" s="5"/>
      <c r="C23" s="209"/>
      <c r="D23" s="209"/>
      <c r="E23" s="209"/>
      <c r="F23" s="209"/>
      <c r="G23" s="209"/>
      <c r="H23" s="32"/>
      <c r="I23" s="31"/>
      <c r="J23" s="18"/>
      <c r="K23" s="18"/>
      <c r="L23" s="18"/>
      <c r="M23" s="18"/>
      <c r="N23" s="18"/>
      <c r="O23" s="19"/>
      <c r="P23" s="18"/>
      <c r="Q23" s="18"/>
      <c r="R23" s="18"/>
      <c r="S23" s="18"/>
      <c r="T23" s="18"/>
      <c r="U23" s="18"/>
    </row>
    <row r="24" spans="2:21" ht="15" x14ac:dyDescent="0.2">
      <c r="B24" s="5" t="s">
        <v>24</v>
      </c>
      <c r="C24" s="206">
        <f>C18+C19-C20+C21+C22</f>
        <v>1801.4189999999999</v>
      </c>
      <c r="D24" s="206">
        <f>D18+D19-D20+D21+D22</f>
        <v>1571.9639999999999</v>
      </c>
      <c r="E24" s="206">
        <f>E18+E19-E20+E21+E22</f>
        <v>2068.482</v>
      </c>
      <c r="F24" s="206">
        <f>F18+F19-F20+F21+F22</f>
        <v>1989.4589999999998</v>
      </c>
      <c r="G24" s="206">
        <f>G18+G19-G20+G21+G22</f>
        <v>2482.5290000000009</v>
      </c>
      <c r="H24" s="32"/>
      <c r="I24" s="31"/>
      <c r="J24" s="16">
        <f t="shared" ref="J24:N26" si="6">C24/C$9</f>
        <v>0.32508654927533931</v>
      </c>
      <c r="K24" s="16">
        <f t="shared" si="6"/>
        <v>0.24908121469486058</v>
      </c>
      <c r="L24" s="16">
        <f t="shared" si="6"/>
        <v>0.28970226583176784</v>
      </c>
      <c r="M24" s="16">
        <f t="shared" si="6"/>
        <v>0.2655193201817927</v>
      </c>
      <c r="N24" s="16">
        <f t="shared" si="6"/>
        <v>0.29930387494223482</v>
      </c>
      <c r="O24" s="19"/>
      <c r="P24" s="18"/>
      <c r="Q24" s="16">
        <f t="shared" ref="Q24:U26" si="7">C24/$C24</f>
        <v>1</v>
      </c>
      <c r="R24" s="16">
        <f t="shared" si="7"/>
        <v>0.87262541363225332</v>
      </c>
      <c r="S24" s="16">
        <f t="shared" si="7"/>
        <v>1.1482514617643091</v>
      </c>
      <c r="T24" s="16">
        <f t="shared" si="7"/>
        <v>1.1043843769828119</v>
      </c>
      <c r="U24" s="16">
        <f t="shared" si="7"/>
        <v>1.3780963784660876</v>
      </c>
    </row>
    <row r="25" spans="2:21" ht="15" x14ac:dyDescent="0.2">
      <c r="B25" s="5" t="s">
        <v>25</v>
      </c>
      <c r="C25" s="209">
        <v>423.94400000000002</v>
      </c>
      <c r="D25" s="209">
        <v>380.34</v>
      </c>
      <c r="E25" s="209">
        <v>437.49400000000003</v>
      </c>
      <c r="F25" s="209">
        <v>480.411</v>
      </c>
      <c r="G25" s="209">
        <v>577.09699999999998</v>
      </c>
      <c r="H25" s="34"/>
      <c r="I25" s="33"/>
      <c r="J25" s="18">
        <f t="shared" si="6"/>
        <v>7.650551706514945E-2</v>
      </c>
      <c r="K25" s="18">
        <f t="shared" si="6"/>
        <v>6.026572440402151E-2</v>
      </c>
      <c r="L25" s="18">
        <f t="shared" si="6"/>
        <v>6.1273437761509869E-2</v>
      </c>
      <c r="M25" s="18">
        <f t="shared" si="6"/>
        <v>6.4117130399699226E-2</v>
      </c>
      <c r="N25" s="18">
        <f t="shared" si="6"/>
        <v>6.9577180495188101E-2</v>
      </c>
      <c r="O25" s="19"/>
      <c r="P25" s="18"/>
      <c r="Q25" s="18">
        <f t="shared" si="7"/>
        <v>1</v>
      </c>
      <c r="R25" s="18">
        <f t="shared" si="7"/>
        <v>0.89714679297265665</v>
      </c>
      <c r="S25" s="18">
        <f t="shared" si="7"/>
        <v>1.031961768535467</v>
      </c>
      <c r="T25" s="18">
        <f t="shared" si="7"/>
        <v>1.1331944785160304</v>
      </c>
      <c r="U25" s="18">
        <f t="shared" si="7"/>
        <v>1.3612576189308021</v>
      </c>
    </row>
    <row r="26" spans="2:21" ht="15" x14ac:dyDescent="0.2">
      <c r="B26" s="5" t="s">
        <v>26</v>
      </c>
      <c r="C26" s="209">
        <f>C25/C24</f>
        <v>0.23533891893002129</v>
      </c>
      <c r="D26" s="209">
        <f>D25/D24</f>
        <v>0.24195210577341464</v>
      </c>
      <c r="E26" s="209">
        <f>E25/E24</f>
        <v>0.21150486201958732</v>
      </c>
      <c r="F26" s="209">
        <f>F25/F24</f>
        <v>0.24147821091060437</v>
      </c>
      <c r="G26" s="209">
        <f>G25/G24</f>
        <v>0.23246334685314846</v>
      </c>
      <c r="H26" s="19"/>
      <c r="I26" s="18"/>
      <c r="J26" s="18">
        <f t="shared" si="6"/>
        <v>4.2469584846806573E-5</v>
      </c>
      <c r="K26" s="18">
        <f t="shared" si="6"/>
        <v>3.8337852777812669E-5</v>
      </c>
      <c r="L26" s="18">
        <f t="shared" si="6"/>
        <v>2.9622417677074234E-5</v>
      </c>
      <c r="M26" s="18">
        <f t="shared" si="6"/>
        <v>3.2228425114415143E-5</v>
      </c>
      <c r="N26" s="18">
        <f t="shared" si="6"/>
        <v>2.8026734227551048E-5</v>
      </c>
      <c r="O26" s="19"/>
      <c r="P26" s="18"/>
      <c r="Q26" s="18">
        <f t="shared" si="7"/>
        <v>1</v>
      </c>
      <c r="R26" s="18">
        <f t="shared" si="7"/>
        <v>1.0281006935591466</v>
      </c>
      <c r="S26" s="18">
        <f t="shared" si="7"/>
        <v>0.8987245415301619</v>
      </c>
      <c r="T26" s="18">
        <f t="shared" si="7"/>
        <v>1.0260870238059037</v>
      </c>
      <c r="U26" s="18">
        <f t="shared" si="7"/>
        <v>0.98778114520986693</v>
      </c>
    </row>
    <row r="27" spans="2:21" ht="9" customHeight="1" x14ac:dyDescent="0.2">
      <c r="B27" s="5"/>
      <c r="C27" s="209"/>
      <c r="D27" s="209"/>
      <c r="E27" s="209"/>
      <c r="F27" s="209"/>
      <c r="G27" s="209"/>
      <c r="H27" s="32"/>
      <c r="I27" s="31"/>
      <c r="J27" s="18"/>
      <c r="K27" s="18"/>
      <c r="L27" s="18"/>
      <c r="M27" s="18"/>
      <c r="N27" s="18"/>
      <c r="O27" s="19"/>
      <c r="P27" s="18"/>
      <c r="Q27" s="18"/>
      <c r="R27" s="18"/>
      <c r="S27" s="18"/>
      <c r="T27" s="18"/>
      <c r="U27" s="18"/>
    </row>
    <row r="28" spans="2:21" ht="16" thickBot="1" x14ac:dyDescent="0.25">
      <c r="B28" s="10" t="s">
        <v>27</v>
      </c>
      <c r="C28" s="211">
        <f>C24-C25</f>
        <v>1377.4749999999999</v>
      </c>
      <c r="D28" s="211">
        <f>D24-D25</f>
        <v>1191.624</v>
      </c>
      <c r="E28" s="211">
        <f>E24-E25</f>
        <v>1630.9879999999998</v>
      </c>
      <c r="F28" s="211">
        <f>F24-F25</f>
        <v>1509.0479999999998</v>
      </c>
      <c r="G28" s="211">
        <f>G24-G25</f>
        <v>1905.4320000000009</v>
      </c>
      <c r="H28" s="38"/>
      <c r="I28" s="37"/>
      <c r="J28" s="182">
        <f>C28/C$9</f>
        <v>0.24858103221018985</v>
      </c>
      <c r="K28" s="182">
        <f>D28/D$9</f>
        <v>0.18881549029083908</v>
      </c>
      <c r="L28" s="182">
        <f>E28/E$9</f>
        <v>0.22842882807025797</v>
      </c>
      <c r="M28" s="182">
        <f>F28/F$9</f>
        <v>0.20140218978209348</v>
      </c>
      <c r="N28" s="182">
        <f>G28/G$9</f>
        <v>0.22972669444704671</v>
      </c>
      <c r="O28" s="17"/>
      <c r="P28" s="16"/>
      <c r="Q28" s="182">
        <f>C28/$C28</f>
        <v>1</v>
      </c>
      <c r="R28" s="182">
        <f>D28/$C28</f>
        <v>0.86507849507250589</v>
      </c>
      <c r="S28" s="182">
        <f>E28/$C28</f>
        <v>1.1840418156409371</v>
      </c>
      <c r="T28" s="182">
        <f>F28/$C28</f>
        <v>1.0955175230040473</v>
      </c>
      <c r="U28" s="182">
        <f>G28/$C28</f>
        <v>1.3832788253870314</v>
      </c>
    </row>
    <row r="29" spans="2:21" ht="9.75" customHeight="1" thickTop="1" x14ac:dyDescent="0.2">
      <c r="B29" s="5"/>
      <c r="C29" s="31"/>
      <c r="D29" s="31"/>
      <c r="E29" s="31"/>
      <c r="F29" s="31"/>
      <c r="G29" s="31"/>
      <c r="H29" s="32"/>
      <c r="I29" s="31"/>
      <c r="J29" s="18"/>
      <c r="K29" s="18"/>
      <c r="L29" s="18"/>
      <c r="M29" s="18"/>
      <c r="N29" s="18"/>
      <c r="O29" s="19"/>
      <c r="P29" s="18"/>
      <c r="Q29" s="20"/>
      <c r="R29" s="20"/>
      <c r="S29" s="20"/>
      <c r="T29" s="20"/>
      <c r="U29" s="20"/>
    </row>
    <row r="30" spans="2:21" ht="15" x14ac:dyDescent="0.2">
      <c r="B30" s="10" t="s">
        <v>118</v>
      </c>
      <c r="C30" s="31">
        <v>528.76300000000003</v>
      </c>
      <c r="D30" s="31">
        <v>526.779</v>
      </c>
      <c r="E30" s="31">
        <v>1044.8869999999999</v>
      </c>
      <c r="F30" s="31">
        <v>1004.566</v>
      </c>
      <c r="G30" s="31">
        <v>975.88699999999994</v>
      </c>
      <c r="H30" s="40"/>
      <c r="I30" s="39"/>
      <c r="J30" s="18"/>
      <c r="K30" s="18"/>
      <c r="L30" s="18"/>
      <c r="M30" s="18"/>
      <c r="N30" s="18"/>
      <c r="O30" s="19"/>
      <c r="P30" s="18"/>
      <c r="Q30" s="20"/>
      <c r="R30" s="20"/>
      <c r="S30" s="20"/>
      <c r="T30" s="20"/>
      <c r="U30" s="20"/>
    </row>
    <row r="31" spans="2:21" ht="15" x14ac:dyDescent="0.2">
      <c r="B31" s="53" t="s">
        <v>30</v>
      </c>
      <c r="C31" s="41">
        <v>42</v>
      </c>
      <c r="D31" s="41">
        <v>44</v>
      </c>
      <c r="E31" s="41">
        <v>44</v>
      </c>
      <c r="F31" s="41">
        <v>55</v>
      </c>
      <c r="G31" s="41">
        <v>79</v>
      </c>
      <c r="H31" s="42"/>
      <c r="I31" s="41"/>
      <c r="J31" s="18"/>
      <c r="K31" s="18"/>
      <c r="L31" s="18"/>
      <c r="M31" s="18"/>
      <c r="N31" s="18"/>
      <c r="O31" s="19"/>
      <c r="P31" s="18"/>
      <c r="Q31" s="20"/>
      <c r="R31" s="20"/>
      <c r="S31" s="20"/>
      <c r="T31" s="20"/>
      <c r="U31" s="20"/>
    </row>
    <row r="32" spans="2:21" ht="15" x14ac:dyDescent="0.2">
      <c r="B32" s="52"/>
      <c r="C32" s="231"/>
      <c r="D32" s="231"/>
      <c r="E32" s="231"/>
      <c r="F32" s="231"/>
      <c r="G32" s="231"/>
      <c r="H32" s="42"/>
      <c r="I32" s="41"/>
      <c r="J32" s="18"/>
      <c r="K32" s="18"/>
      <c r="L32" s="18"/>
      <c r="M32" s="18"/>
      <c r="N32" s="18"/>
      <c r="O32" s="19"/>
      <c r="P32" s="18"/>
      <c r="Q32" s="20"/>
      <c r="R32" s="20"/>
      <c r="S32" s="20"/>
      <c r="T32" s="20"/>
      <c r="U32" s="20"/>
    </row>
    <row r="33" spans="2:22" ht="15" x14ac:dyDescent="0.2">
      <c r="B33" s="43"/>
      <c r="C33" s="44"/>
      <c r="D33" s="44"/>
      <c r="E33" s="44"/>
      <c r="F33" s="44"/>
      <c r="G33" s="44"/>
      <c r="H33" s="44"/>
      <c r="I33" s="44"/>
      <c r="J33" s="45"/>
      <c r="K33" s="45"/>
      <c r="L33" s="45"/>
      <c r="M33" s="45"/>
      <c r="N33" s="45"/>
      <c r="O33" s="44"/>
      <c r="P33" s="44"/>
      <c r="Q33" s="46"/>
      <c r="R33" s="46"/>
      <c r="S33" s="46"/>
      <c r="T33" s="46"/>
      <c r="U33" s="46"/>
    </row>
    <row r="34" spans="2:22" ht="15" x14ac:dyDescent="0.2">
      <c r="B34" s="1"/>
      <c r="C34" s="54"/>
      <c r="D34" s="54"/>
      <c r="E34" s="54"/>
      <c r="F34" s="54"/>
      <c r="G34" s="54"/>
      <c r="H34" s="54"/>
      <c r="I34" s="54"/>
      <c r="J34" s="69"/>
      <c r="K34" s="69"/>
      <c r="L34" s="69"/>
      <c r="M34" s="69"/>
      <c r="N34" s="69"/>
      <c r="O34" s="69"/>
      <c r="P34" s="69"/>
      <c r="Q34" s="70"/>
      <c r="R34" s="70"/>
      <c r="S34" s="70"/>
      <c r="T34" s="70"/>
      <c r="U34" s="70"/>
    </row>
    <row r="35" spans="2:22" ht="15" x14ac:dyDescent="0.2">
      <c r="B35" s="5" t="s">
        <v>119</v>
      </c>
      <c r="C35" s="209">
        <v>5.1550000000000002</v>
      </c>
      <c r="D35" s="209">
        <v>61.241</v>
      </c>
      <c r="E35" s="209">
        <v>68.897999999999996</v>
      </c>
      <c r="F35" s="209">
        <v>80.433999999999997</v>
      </c>
      <c r="G35" s="209">
        <v>114.441</v>
      </c>
    </row>
    <row r="36" spans="2:22" ht="15" x14ac:dyDescent="0.2">
      <c r="B36" s="5" t="s">
        <v>120</v>
      </c>
      <c r="C36" s="209"/>
      <c r="D36" s="209"/>
      <c r="E36" s="209"/>
      <c r="F36" s="209"/>
      <c r="G36" s="209"/>
    </row>
    <row r="37" spans="2:22" ht="15" x14ac:dyDescent="0.2">
      <c r="B37" s="5" t="s">
        <v>121</v>
      </c>
      <c r="C37" s="209"/>
      <c r="D37" s="209"/>
      <c r="E37" s="209"/>
      <c r="F37" s="209"/>
      <c r="G37" s="209"/>
    </row>
    <row r="38" spans="2:22" ht="15" x14ac:dyDescent="0.2">
      <c r="B38" s="5" t="s">
        <v>122</v>
      </c>
      <c r="C38" s="209"/>
      <c r="D38" s="209"/>
      <c r="E38" s="209"/>
      <c r="F38" s="209"/>
      <c r="G38" s="209"/>
    </row>
    <row r="39" spans="2:22" ht="15" x14ac:dyDescent="0.2">
      <c r="B39"/>
      <c r="C39" s="191"/>
      <c r="D39" s="191"/>
      <c r="E39" s="191"/>
    </row>
    <row r="40" spans="2:22" ht="17.25" customHeight="1" x14ac:dyDescent="0.25"/>
    <row r="41" spans="2:22" ht="18" x14ac:dyDescent="0.2">
      <c r="B41" s="627" t="s">
        <v>485</v>
      </c>
      <c r="C41" s="627"/>
      <c r="D41" s="627"/>
      <c r="E41" s="627"/>
      <c r="F41" s="627"/>
      <c r="G41" s="627"/>
      <c r="H41" s="627"/>
      <c r="I41" s="627"/>
      <c r="J41" s="627"/>
      <c r="K41" s="627"/>
      <c r="L41" s="627"/>
      <c r="M41" s="627"/>
      <c r="N41" s="627"/>
      <c r="O41" s="627"/>
      <c r="P41" s="627"/>
      <c r="Q41" s="627"/>
      <c r="R41" s="627"/>
      <c r="S41" s="627"/>
      <c r="T41" s="627"/>
      <c r="U41" s="627"/>
      <c r="V41" s="627"/>
    </row>
    <row r="42" spans="2:22" ht="14.25" customHeight="1" x14ac:dyDescent="0.2">
      <c r="B42" s="630" t="s">
        <v>32</v>
      </c>
      <c r="C42" s="631"/>
      <c r="D42" s="631"/>
      <c r="E42" s="631"/>
      <c r="F42" s="631"/>
      <c r="G42" s="631"/>
      <c r="H42" s="631"/>
      <c r="I42" s="631"/>
      <c r="J42" s="631"/>
      <c r="K42" s="631"/>
      <c r="L42" s="631"/>
      <c r="M42" s="631"/>
      <c r="N42" s="631"/>
      <c r="O42" s="631"/>
      <c r="P42" s="631"/>
      <c r="Q42" s="631"/>
      <c r="R42" s="631"/>
      <c r="S42" s="631"/>
      <c r="T42" s="631"/>
      <c r="U42" s="631"/>
      <c r="V42" s="631"/>
    </row>
    <row r="43" spans="2:22" ht="16" x14ac:dyDescent="0.2">
      <c r="B43" s="632" t="s">
        <v>33</v>
      </c>
      <c r="C43" s="633"/>
      <c r="D43" s="633"/>
      <c r="E43" s="633"/>
      <c r="F43" s="633"/>
      <c r="G43" s="633"/>
      <c r="H43" s="633"/>
      <c r="I43" s="633"/>
      <c r="J43" s="633"/>
      <c r="K43" s="633"/>
      <c r="L43" s="633"/>
      <c r="M43" s="633"/>
      <c r="N43" s="633"/>
      <c r="O43" s="633"/>
      <c r="P43" s="633"/>
      <c r="Q43" s="633"/>
      <c r="R43" s="633"/>
      <c r="S43" s="633"/>
      <c r="T43" s="633"/>
      <c r="U43" s="633"/>
      <c r="V43" s="633"/>
    </row>
    <row r="44" spans="2:22" s="109" customFormat="1" ht="16" x14ac:dyDescent="0.2">
      <c r="B44" s="106" t="s">
        <v>34</v>
      </c>
      <c r="U44" s="616" t="s">
        <v>35</v>
      </c>
      <c r="V44" s="616"/>
    </row>
    <row r="45" spans="2:22" s="109" customFormat="1" ht="16" x14ac:dyDescent="0.2">
      <c r="B45" s="106" t="str">
        <f>B5</f>
        <v>FIN320 Section B</v>
      </c>
    </row>
    <row r="46" spans="2:22" ht="6" customHeight="1" x14ac:dyDescent="0.2">
      <c r="B46" s="1"/>
      <c r="U46" s="613"/>
      <c r="V46" s="613"/>
    </row>
    <row r="47" spans="2:22" ht="15" x14ac:dyDescent="0.2">
      <c r="B47" s="48"/>
      <c r="C47" s="55"/>
      <c r="D47" s="55"/>
      <c r="E47" s="55"/>
      <c r="F47" s="55"/>
      <c r="G47" s="55"/>
      <c r="H47" s="55"/>
      <c r="I47" s="55"/>
      <c r="J47" s="614" t="s">
        <v>7</v>
      </c>
      <c r="K47" s="614"/>
      <c r="L47" s="614"/>
      <c r="M47" s="614"/>
      <c r="N47" s="614"/>
      <c r="O47" s="71"/>
      <c r="P47" s="71"/>
      <c r="Q47" s="614" t="s">
        <v>8</v>
      </c>
      <c r="R47" s="614"/>
      <c r="S47" s="614"/>
      <c r="T47" s="614"/>
      <c r="U47" s="614"/>
      <c r="V47" s="71"/>
    </row>
    <row r="48" spans="2:22" ht="15" x14ac:dyDescent="0.2">
      <c r="B48" s="49"/>
      <c r="C48" s="55"/>
      <c r="D48" s="55"/>
      <c r="E48" s="55"/>
      <c r="F48" s="55"/>
      <c r="G48" s="72"/>
      <c r="H48" s="72"/>
      <c r="I48" s="72"/>
      <c r="J48" s="615" t="s">
        <v>36</v>
      </c>
      <c r="K48" s="615"/>
      <c r="L48" s="615"/>
      <c r="M48" s="615"/>
      <c r="N48" s="615"/>
      <c r="O48" s="73"/>
      <c r="P48" s="73"/>
      <c r="Q48" s="615" t="s">
        <v>275</v>
      </c>
      <c r="R48" s="615"/>
      <c r="S48" s="615"/>
      <c r="T48" s="615"/>
      <c r="U48" s="615"/>
    </row>
    <row r="49" spans="2:29" ht="15" x14ac:dyDescent="0.2">
      <c r="B49" s="131" t="s">
        <v>38</v>
      </c>
      <c r="C49" s="8">
        <v>2021</v>
      </c>
      <c r="D49" s="8">
        <v>2022</v>
      </c>
      <c r="E49" s="8">
        <v>2023</v>
      </c>
      <c r="F49" s="8">
        <v>2024</v>
      </c>
      <c r="G49" s="134">
        <v>2025</v>
      </c>
      <c r="H49" s="9"/>
      <c r="I49" s="8"/>
      <c r="J49" s="8">
        <v>2021</v>
      </c>
      <c r="K49" s="8">
        <v>2022</v>
      </c>
      <c r="L49" s="8">
        <v>2023</v>
      </c>
      <c r="M49" s="8">
        <v>2024</v>
      </c>
      <c r="N49" s="134">
        <v>2025</v>
      </c>
      <c r="O49" s="9"/>
      <c r="P49" s="8"/>
      <c r="Q49" s="8">
        <v>2021</v>
      </c>
      <c r="R49" s="8">
        <v>2022</v>
      </c>
      <c r="S49" s="8">
        <v>2023</v>
      </c>
      <c r="T49" s="8">
        <v>2024</v>
      </c>
      <c r="U49" s="134">
        <v>2025</v>
      </c>
    </row>
    <row r="50" spans="2:29" ht="15" x14ac:dyDescent="0.2">
      <c r="B50" s="50" t="s">
        <v>39</v>
      </c>
      <c r="C50" s="56"/>
      <c r="D50" s="56"/>
      <c r="E50" s="56"/>
      <c r="F50" s="56"/>
      <c r="G50" s="56"/>
      <c r="H50" s="74"/>
      <c r="I50" s="56"/>
      <c r="J50" s="75"/>
      <c r="K50" s="76"/>
      <c r="L50" s="76"/>
      <c r="M50" s="76"/>
      <c r="N50" s="76"/>
      <c r="O50" s="77"/>
      <c r="P50" s="76"/>
      <c r="Q50" s="78"/>
      <c r="R50" s="56"/>
      <c r="S50" s="56"/>
      <c r="T50" s="56"/>
      <c r="U50" s="56"/>
    </row>
    <row r="51" spans="2:29" ht="15" x14ac:dyDescent="0.2">
      <c r="B51" s="51" t="s">
        <v>40</v>
      </c>
      <c r="C51" s="56"/>
      <c r="D51" s="56"/>
      <c r="E51" s="56"/>
      <c r="F51" s="56"/>
      <c r="G51" s="56"/>
      <c r="H51" s="74"/>
      <c r="I51" s="56"/>
      <c r="J51" s="76"/>
      <c r="K51" s="76"/>
      <c r="L51" s="76"/>
      <c r="M51" s="76"/>
      <c r="N51" s="76"/>
      <c r="O51" s="77"/>
      <c r="P51" s="76"/>
      <c r="Q51" s="56"/>
      <c r="R51" s="56"/>
      <c r="S51" s="56"/>
      <c r="T51" s="56"/>
      <c r="U51" s="56"/>
    </row>
    <row r="52" spans="2:29" ht="15" x14ac:dyDescent="0.2">
      <c r="B52" s="51" t="s">
        <v>41</v>
      </c>
      <c r="C52" s="79">
        <v>1326.462</v>
      </c>
      <c r="D52" s="79">
        <v>1307.1410000000001</v>
      </c>
      <c r="E52" s="79">
        <v>2297.6750000000002</v>
      </c>
      <c r="F52" s="79">
        <v>1533.287</v>
      </c>
      <c r="G52" s="79">
        <v>2088.1170000000002</v>
      </c>
      <c r="H52" s="80"/>
      <c r="I52" s="79"/>
      <c r="J52" s="81">
        <f t="shared" ref="J52:N65" si="8">C52/C$67</f>
        <v>0.16995499170765008</v>
      </c>
      <c r="K52" s="81">
        <f t="shared" si="8"/>
        <v>0.15761780418793686</v>
      </c>
      <c r="L52" s="81">
        <f t="shared" si="8"/>
        <v>0.23720330165977013</v>
      </c>
      <c r="M52" s="81">
        <f t="shared" si="8"/>
        <v>0.19863574574668072</v>
      </c>
      <c r="N52" s="81">
        <f t="shared" si="8"/>
        <v>0.20904279681187554</v>
      </c>
      <c r="O52" s="82"/>
      <c r="P52" s="81"/>
      <c r="Q52" s="147">
        <f t="shared" ref="Q52:U65" si="9">C52/$C52</f>
        <v>1</v>
      </c>
      <c r="R52" s="147">
        <f t="shared" si="9"/>
        <v>0.98543418507277258</v>
      </c>
      <c r="S52" s="147">
        <f t="shared" si="9"/>
        <v>1.7321830553758797</v>
      </c>
      <c r="T52" s="147">
        <f t="shared" si="9"/>
        <v>1.1559222955501176</v>
      </c>
      <c r="U52" s="147">
        <f t="shared" si="9"/>
        <v>1.5742003917187226</v>
      </c>
    </row>
    <row r="53" spans="2:29" ht="15" x14ac:dyDescent="0.2">
      <c r="B53" s="51" t="s">
        <v>42</v>
      </c>
      <c r="C53" s="79">
        <v>1749.7270000000001</v>
      </c>
      <c r="D53" s="79">
        <v>1362.3140000000001</v>
      </c>
      <c r="E53" s="79">
        <v>955.60500000000002</v>
      </c>
      <c r="F53" s="79">
        <v>0</v>
      </c>
      <c r="G53" s="79">
        <v>677.08399999999995</v>
      </c>
      <c r="H53" s="85"/>
      <c r="I53" s="84"/>
      <c r="J53" s="81">
        <f t="shared" si="8"/>
        <v>0.22418647332200356</v>
      </c>
      <c r="K53" s="81">
        <f t="shared" si="8"/>
        <v>0.16427068028199332</v>
      </c>
      <c r="L53" s="81">
        <f t="shared" si="8"/>
        <v>9.8653056277578255E-2</v>
      </c>
      <c r="M53" s="81">
        <f t="shared" si="8"/>
        <v>0</v>
      </c>
      <c r="N53" s="81">
        <f t="shared" si="8"/>
        <v>6.7783334476263502E-2</v>
      </c>
      <c r="O53" s="82"/>
      <c r="P53" s="81"/>
      <c r="Q53" s="147">
        <f t="shared" si="9"/>
        <v>1</v>
      </c>
      <c r="R53" s="147">
        <f t="shared" si="9"/>
        <v>0.77858660236711208</v>
      </c>
      <c r="S53" s="147">
        <f t="shared" si="9"/>
        <v>0.54614519865098954</v>
      </c>
      <c r="T53" s="147">
        <f t="shared" si="9"/>
        <v>0</v>
      </c>
      <c r="U53" s="147">
        <f t="shared" si="9"/>
        <v>0.38696550947662117</v>
      </c>
    </row>
    <row r="54" spans="2:29" ht="15" x14ac:dyDescent="0.2">
      <c r="B54" s="51" t="s">
        <v>276</v>
      </c>
      <c r="C54" s="79">
        <f>SUM(C52:C53)</f>
        <v>3076.1890000000003</v>
      </c>
      <c r="D54" s="79">
        <f>SUM(D52:D53)</f>
        <v>2669.4549999999999</v>
      </c>
      <c r="E54" s="79">
        <f>SUM(E52:E53)</f>
        <v>3253.28</v>
      </c>
      <c r="F54" s="79">
        <f>SUM(F52:F53)</f>
        <v>1533.287</v>
      </c>
      <c r="G54" s="79">
        <f>SUM(G52:G53)</f>
        <v>2765.201</v>
      </c>
      <c r="H54" s="85"/>
      <c r="I54" s="84"/>
      <c r="J54" s="81">
        <f t="shared" si="8"/>
        <v>0.39414146502965364</v>
      </c>
      <c r="K54" s="81">
        <f t="shared" si="8"/>
        <v>0.32188848446993013</v>
      </c>
      <c r="L54" s="81">
        <f t="shared" si="8"/>
        <v>0.33585635793734842</v>
      </c>
      <c r="M54" s="81">
        <f t="shared" si="8"/>
        <v>0.19863574574668072</v>
      </c>
      <c r="N54" s="81">
        <f t="shared" si="8"/>
        <v>0.27682613128813904</v>
      </c>
      <c r="O54" s="82"/>
      <c r="P54" s="81"/>
      <c r="Q54" s="147">
        <f t="shared" si="9"/>
        <v>1</v>
      </c>
      <c r="R54" s="147">
        <f t="shared" si="9"/>
        <v>0.86777990559097629</v>
      </c>
      <c r="S54" s="147">
        <f t="shared" si="9"/>
        <v>1.0575683093594055</v>
      </c>
      <c r="T54" s="147">
        <f t="shared" si="9"/>
        <v>0.49843718965252132</v>
      </c>
      <c r="U54" s="147">
        <f t="shared" si="9"/>
        <v>0.89890478120817663</v>
      </c>
    </row>
    <row r="55" spans="2:29" ht="15" x14ac:dyDescent="0.2">
      <c r="B55" s="51" t="s">
        <v>277</v>
      </c>
      <c r="C55" s="79"/>
      <c r="D55" s="79"/>
      <c r="E55" s="79"/>
      <c r="F55" s="79"/>
      <c r="G55" s="79"/>
      <c r="H55" s="85"/>
      <c r="I55" s="84"/>
      <c r="J55" s="81"/>
      <c r="K55" s="81"/>
      <c r="L55" s="81"/>
      <c r="M55" s="81"/>
      <c r="N55" s="81"/>
      <c r="O55" s="82"/>
      <c r="P55" s="81"/>
      <c r="Q55" s="147"/>
      <c r="R55" s="147"/>
      <c r="S55" s="147"/>
      <c r="T55" s="147"/>
      <c r="U55" s="147"/>
    </row>
    <row r="56" spans="2:29" ht="15" x14ac:dyDescent="0.2">
      <c r="B56" s="51" t="s">
        <v>43</v>
      </c>
      <c r="C56" s="79">
        <v>896.65800000000002</v>
      </c>
      <c r="D56" s="79">
        <v>1016.203</v>
      </c>
      <c r="E56" s="79">
        <v>1193.9639999999999</v>
      </c>
      <c r="F56" s="79">
        <v>1221.646</v>
      </c>
      <c r="G56" s="79">
        <v>1618.0719999999999</v>
      </c>
      <c r="H56" s="86"/>
      <c r="I56" s="61"/>
      <c r="J56" s="81">
        <f t="shared" si="8"/>
        <v>0.11488569062257201</v>
      </c>
      <c r="K56" s="81">
        <f t="shared" si="8"/>
        <v>0.12253588975419942</v>
      </c>
      <c r="L56" s="81">
        <f t="shared" si="8"/>
        <v>0.12326034050198821</v>
      </c>
      <c r="M56" s="81">
        <f t="shared" si="8"/>
        <v>0.15826297636936171</v>
      </c>
      <c r="N56" s="81">
        <f t="shared" si="8"/>
        <v>0.16198627582792777</v>
      </c>
      <c r="O56" s="82"/>
      <c r="P56" s="81"/>
      <c r="Q56" s="147">
        <f t="shared" si="9"/>
        <v>1</v>
      </c>
      <c r="R56" s="147">
        <f t="shared" si="9"/>
        <v>1.1333228499606316</v>
      </c>
      <c r="S56" s="147">
        <f t="shared" si="9"/>
        <v>1.3315712345175084</v>
      </c>
      <c r="T56" s="147">
        <f t="shared" si="9"/>
        <v>1.362443651871728</v>
      </c>
      <c r="U56" s="147">
        <f t="shared" si="9"/>
        <v>1.8045587057718773</v>
      </c>
    </row>
    <row r="57" spans="2:29" ht="15" x14ac:dyDescent="0.2">
      <c r="B57" s="51" t="s">
        <v>44</v>
      </c>
      <c r="C57" s="79">
        <v>593.35699999999997</v>
      </c>
      <c r="D57" s="79">
        <v>935.63099999999997</v>
      </c>
      <c r="E57" s="79">
        <v>971.40599999999995</v>
      </c>
      <c r="F57" s="79">
        <v>737.10699999999997</v>
      </c>
      <c r="G57" s="79">
        <v>799.62300000000005</v>
      </c>
      <c r="H57" s="86"/>
      <c r="I57" s="61"/>
      <c r="J57" s="81">
        <f t="shared" si="8"/>
        <v>7.6024781723619775E-2</v>
      </c>
      <c r="K57" s="81">
        <f t="shared" si="8"/>
        <v>0.11282034895253346</v>
      </c>
      <c r="L57" s="81">
        <f t="shared" si="8"/>
        <v>0.10028429192645202</v>
      </c>
      <c r="M57" s="81">
        <f t="shared" si="8"/>
        <v>9.5491449833004893E-2</v>
      </c>
      <c r="N57" s="81">
        <f t="shared" si="8"/>
        <v>8.0050796155149526E-2</v>
      </c>
      <c r="O57" s="82"/>
      <c r="P57" s="81"/>
      <c r="Q57" s="147">
        <f t="shared" si="9"/>
        <v>1</v>
      </c>
      <c r="R57" s="147">
        <f t="shared" si="9"/>
        <v>1.5768432832173549</v>
      </c>
      <c r="S57" s="147">
        <f t="shared" si="9"/>
        <v>1.6371358221104664</v>
      </c>
      <c r="T57" s="147">
        <f t="shared" si="9"/>
        <v>1.2422656174950326</v>
      </c>
      <c r="U57" s="147">
        <f t="shared" si="9"/>
        <v>1.3476254598833419</v>
      </c>
    </row>
    <row r="58" spans="2:29" ht="15" x14ac:dyDescent="0.2">
      <c r="B58" s="51" t="s">
        <v>124</v>
      </c>
      <c r="C58" s="79">
        <v>115.90600000000001</v>
      </c>
      <c r="D58" s="79">
        <v>143.608</v>
      </c>
      <c r="E58" s="79">
        <v>170.346</v>
      </c>
      <c r="F58" s="79">
        <v>149.464</v>
      </c>
      <c r="G58" s="79">
        <v>178.18799999999999</v>
      </c>
      <c r="H58" s="86"/>
      <c r="I58" s="61"/>
      <c r="J58" s="192">
        <f t="shared" si="8"/>
        <v>1.4850635200154163E-2</v>
      </c>
      <c r="K58" s="192">
        <f t="shared" si="8"/>
        <v>1.7316553932453526E-2</v>
      </c>
      <c r="L58" s="192">
        <f t="shared" si="8"/>
        <v>1.7585878605344621E-2</v>
      </c>
      <c r="M58" s="192">
        <f t="shared" si="8"/>
        <v>1.9362906684972796E-2</v>
      </c>
      <c r="N58" s="192">
        <f t="shared" si="8"/>
        <v>1.7838520484395499E-2</v>
      </c>
      <c r="O58" s="194"/>
      <c r="P58" s="192"/>
      <c r="Q58" s="193">
        <f t="shared" si="9"/>
        <v>1</v>
      </c>
      <c r="R58" s="193">
        <f t="shared" si="9"/>
        <v>1.2390040204993702</v>
      </c>
      <c r="S58" s="193">
        <f t="shared" si="9"/>
        <v>1.4696909564647214</v>
      </c>
      <c r="T58" s="193">
        <f t="shared" si="9"/>
        <v>1.2895277207392197</v>
      </c>
      <c r="U58" s="193">
        <f t="shared" si="9"/>
        <v>1.5373492312736181</v>
      </c>
    </row>
    <row r="59" spans="2:29" ht="15" x14ac:dyDescent="0.2">
      <c r="B59" s="121" t="s">
        <v>47</v>
      </c>
      <c r="C59" s="87">
        <f>SUM(C54:C58)</f>
        <v>4682.1099999999997</v>
      </c>
      <c r="D59" s="87">
        <f>SUM(D54:D58)</f>
        <v>4764.8969999999999</v>
      </c>
      <c r="E59" s="87">
        <f>SUM(E54:E58)</f>
        <v>5588.996000000001</v>
      </c>
      <c r="F59" s="87">
        <f>SUM(F54:F58)</f>
        <v>3641.5039999999999</v>
      </c>
      <c r="G59" s="87">
        <f>SUM(G54:G58)</f>
        <v>5361.0840000000007</v>
      </c>
      <c r="H59" s="88"/>
      <c r="I59" s="87"/>
      <c r="J59" s="196">
        <f t="shared" si="8"/>
        <v>0.59990257257599955</v>
      </c>
      <c r="K59" s="196">
        <f t="shared" si="8"/>
        <v>0.57456127710911653</v>
      </c>
      <c r="L59" s="196">
        <f t="shared" si="8"/>
        <v>0.57698686897113338</v>
      </c>
      <c r="M59" s="196">
        <f t="shared" si="8"/>
        <v>0.47175307863402011</v>
      </c>
      <c r="N59" s="196">
        <f t="shared" si="8"/>
        <v>0.53670172375561187</v>
      </c>
      <c r="O59" s="195"/>
      <c r="P59" s="196"/>
      <c r="Q59" s="199">
        <f t="shared" si="9"/>
        <v>1</v>
      </c>
      <c r="R59" s="199">
        <f t="shared" si="9"/>
        <v>1.0176815581009417</v>
      </c>
      <c r="S59" s="199">
        <f t="shared" si="9"/>
        <v>1.19369173300072</v>
      </c>
      <c r="T59" s="199">
        <f t="shared" si="9"/>
        <v>0.77774849373466237</v>
      </c>
      <c r="U59" s="199">
        <f t="shared" si="9"/>
        <v>1.145014534045548</v>
      </c>
    </row>
    <row r="60" spans="2:29" ht="15" x14ac:dyDescent="0.2">
      <c r="B60" s="51" t="s">
        <v>278</v>
      </c>
      <c r="C60" s="79">
        <v>99.418999999999997</v>
      </c>
      <c r="D60" s="79">
        <v>61.442999999999998</v>
      </c>
      <c r="E60" s="79">
        <v>76.430999999999997</v>
      </c>
      <c r="F60" s="79">
        <v>0</v>
      </c>
      <c r="G60" s="79">
        <v>487.32900000000001</v>
      </c>
      <c r="H60" s="118"/>
      <c r="I60" s="113"/>
      <c r="J60" s="81">
        <f t="shared" si="8"/>
        <v>1.2738212870465089E-2</v>
      </c>
      <c r="K60" s="81">
        <f t="shared" si="8"/>
        <v>7.4089258486417335E-3</v>
      </c>
      <c r="L60" s="81">
        <f t="shared" si="8"/>
        <v>7.8904481918277772E-3</v>
      </c>
      <c r="M60" s="81">
        <f t="shared" si="8"/>
        <v>0</v>
      </c>
      <c r="N60" s="81">
        <f t="shared" si="8"/>
        <v>4.8786833844815448E-2</v>
      </c>
      <c r="O60" s="119"/>
      <c r="P60" s="114"/>
      <c r="Q60" s="147">
        <f t="shared" si="9"/>
        <v>1</v>
      </c>
      <c r="R60" s="147">
        <f t="shared" si="9"/>
        <v>0.61802070026856037</v>
      </c>
      <c r="S60" s="147">
        <f t="shared" si="9"/>
        <v>0.7687765919995172</v>
      </c>
      <c r="T60" s="147">
        <f t="shared" si="9"/>
        <v>0</v>
      </c>
      <c r="U60" s="147">
        <f t="shared" si="9"/>
        <v>4.9017692795139762</v>
      </c>
    </row>
    <row r="61" spans="2:29" ht="15" x14ac:dyDescent="0.2">
      <c r="B61" s="51" t="s">
        <v>279</v>
      </c>
      <c r="C61" s="79">
        <v>225.221</v>
      </c>
      <c r="D61" s="79">
        <v>177.03899999999999</v>
      </c>
      <c r="E61" s="79">
        <v>175.00299999999999</v>
      </c>
      <c r="F61" s="79">
        <v>184.26</v>
      </c>
      <c r="G61" s="79">
        <v>188.64599999999999</v>
      </c>
      <c r="H61" s="118"/>
      <c r="I61" s="113"/>
      <c r="J61" s="81">
        <f t="shared" si="8"/>
        <v>2.8856788349299611E-2</v>
      </c>
      <c r="K61" s="81">
        <f t="shared" si="8"/>
        <v>2.1347734051359531E-2</v>
      </c>
      <c r="L61" s="81">
        <f t="shared" si="8"/>
        <v>1.8066649722160336E-2</v>
      </c>
      <c r="M61" s="81">
        <f t="shared" si="8"/>
        <v>2.3870692513067275E-2</v>
      </c>
      <c r="N61" s="81">
        <f t="shared" si="8"/>
        <v>1.888547789581382E-2</v>
      </c>
      <c r="O61" s="119"/>
      <c r="P61" s="114"/>
      <c r="Q61" s="147">
        <f t="shared" si="9"/>
        <v>1</v>
      </c>
      <c r="R61" s="147">
        <f t="shared" si="9"/>
        <v>0.78606790663392834</v>
      </c>
      <c r="S61" s="147">
        <f t="shared" si="9"/>
        <v>0.7770278970433484</v>
      </c>
      <c r="T61" s="147">
        <f t="shared" si="9"/>
        <v>0.81812974811407457</v>
      </c>
      <c r="U61" s="147">
        <f t="shared" si="9"/>
        <v>0.83760395345016669</v>
      </c>
    </row>
    <row r="62" spans="2:29" ht="15" x14ac:dyDescent="0.2">
      <c r="B62" s="51" t="s">
        <v>126</v>
      </c>
      <c r="C62" s="79">
        <v>313.75299999999999</v>
      </c>
      <c r="D62" s="79">
        <v>516.89700000000005</v>
      </c>
      <c r="E62" s="79">
        <v>890.79600000000005</v>
      </c>
      <c r="F62" s="79">
        <v>1047.0239999999999</v>
      </c>
      <c r="G62" s="79">
        <v>1081.5440000000001</v>
      </c>
      <c r="H62" s="86"/>
      <c r="I62" s="61"/>
      <c r="J62" s="81">
        <f t="shared" si="8"/>
        <v>4.0200087536054807E-2</v>
      </c>
      <c r="K62" s="81">
        <f t="shared" si="8"/>
        <v>6.2328524720234466E-2</v>
      </c>
      <c r="L62" s="81">
        <f t="shared" si="8"/>
        <v>9.196241953510248E-2</v>
      </c>
      <c r="M62" s="81">
        <f t="shared" si="8"/>
        <v>0.13564087679258521</v>
      </c>
      <c r="N62" s="81">
        <f t="shared" si="8"/>
        <v>0.10827409701424927</v>
      </c>
      <c r="O62" s="82"/>
      <c r="P62" s="81"/>
      <c r="Q62" s="147">
        <f t="shared" si="9"/>
        <v>1</v>
      </c>
      <c r="R62" s="147">
        <f t="shared" si="9"/>
        <v>1.6474647254368884</v>
      </c>
      <c r="S62" s="147">
        <f t="shared" si="9"/>
        <v>2.8391632908689322</v>
      </c>
      <c r="T62" s="147">
        <f t="shared" si="9"/>
        <v>3.3370963783613221</v>
      </c>
      <c r="U62" s="147">
        <f t="shared" si="9"/>
        <v>3.4471192307324556</v>
      </c>
      <c r="AA62" s="191"/>
      <c r="AB62" s="191"/>
      <c r="AC62" s="191"/>
    </row>
    <row r="63" spans="2:29" ht="15" x14ac:dyDescent="0.2">
      <c r="B63" s="51" t="s">
        <v>280</v>
      </c>
      <c r="C63" s="79">
        <v>1072.386</v>
      </c>
      <c r="D63" s="79">
        <v>1220.4100000000001</v>
      </c>
      <c r="E63" s="79">
        <v>1427.1389999999999</v>
      </c>
      <c r="F63" s="79">
        <v>1414.252</v>
      </c>
      <c r="G63" s="79">
        <v>1379.268</v>
      </c>
      <c r="H63" s="86"/>
      <c r="I63" s="61"/>
      <c r="J63" s="81">
        <f t="shared" si="8"/>
        <v>0.1374011119333988</v>
      </c>
      <c r="K63" s="81">
        <f t="shared" si="8"/>
        <v>0.14715959824456584</v>
      </c>
      <c r="L63" s="81">
        <f t="shared" si="8"/>
        <v>0.14733244811708474</v>
      </c>
      <c r="M63" s="81">
        <f t="shared" si="8"/>
        <v>0.18321488455438198</v>
      </c>
      <c r="N63" s="81">
        <f t="shared" si="8"/>
        <v>0.13807944682846887</v>
      </c>
      <c r="O63" s="82"/>
      <c r="P63" s="81"/>
      <c r="Q63" s="147">
        <f t="shared" si="9"/>
        <v>1</v>
      </c>
      <c r="R63" s="147">
        <f t="shared" si="9"/>
        <v>1.1380323875917815</v>
      </c>
      <c r="S63" s="147">
        <f t="shared" si="9"/>
        <v>1.3308071906943955</v>
      </c>
      <c r="T63" s="147">
        <f t="shared" si="9"/>
        <v>1.3187900625334534</v>
      </c>
      <c r="U63" s="147">
        <f t="shared" si="9"/>
        <v>1.2861674807392116</v>
      </c>
    </row>
    <row r="64" spans="2:29" ht="15" x14ac:dyDescent="0.2">
      <c r="B64" s="51" t="s">
        <v>281</v>
      </c>
      <c r="C64" s="79">
        <v>1331.643</v>
      </c>
      <c r="D64" s="79">
        <v>1417.941</v>
      </c>
      <c r="E64" s="79">
        <v>1417.941</v>
      </c>
      <c r="F64" s="79">
        <v>1331.643</v>
      </c>
      <c r="G64" s="79">
        <v>1331.643</v>
      </c>
      <c r="H64" s="86"/>
      <c r="I64" s="61"/>
      <c r="J64" s="81">
        <f t="shared" si="8"/>
        <v>0.17061881533172477</v>
      </c>
      <c r="K64" s="81">
        <f t="shared" si="8"/>
        <v>0.17097830064855082</v>
      </c>
      <c r="L64" s="81">
        <f t="shared" si="8"/>
        <v>0.14638288128597651</v>
      </c>
      <c r="M64" s="81">
        <f t="shared" si="8"/>
        <v>0.17251297400509308</v>
      </c>
      <c r="N64" s="81">
        <f t="shared" si="8"/>
        <v>0.13331167605788199</v>
      </c>
      <c r="O64" s="82"/>
      <c r="P64" s="81"/>
      <c r="Q64" s="147">
        <f t="shared" si="9"/>
        <v>1</v>
      </c>
      <c r="R64" s="147">
        <f t="shared" si="9"/>
        <v>1.0648056573721336</v>
      </c>
      <c r="S64" s="147">
        <f t="shared" si="9"/>
        <v>1.0648056573721336</v>
      </c>
      <c r="T64" s="147">
        <f t="shared" si="9"/>
        <v>1</v>
      </c>
      <c r="U64" s="147">
        <f t="shared" si="9"/>
        <v>1</v>
      </c>
    </row>
    <row r="65" spans="2:25" ht="15" x14ac:dyDescent="0.2">
      <c r="B65" s="51" t="s">
        <v>282</v>
      </c>
      <c r="C65" s="79">
        <v>80.251999999999995</v>
      </c>
      <c r="D65" s="79">
        <v>134.47800000000001</v>
      </c>
      <c r="E65" s="79">
        <v>110.21599999999999</v>
      </c>
      <c r="F65" s="79">
        <v>100.40600000000001</v>
      </c>
      <c r="G65" s="79">
        <v>159.43100000000001</v>
      </c>
      <c r="H65" s="86"/>
      <c r="I65" s="61"/>
      <c r="J65" s="81">
        <f t="shared" si="8"/>
        <v>1.0282411403057407E-2</v>
      </c>
      <c r="K65" s="81">
        <f t="shared" si="8"/>
        <v>1.6215639377531097E-2</v>
      </c>
      <c r="L65" s="81">
        <f t="shared" si="8"/>
        <v>1.1378284176714819E-2</v>
      </c>
      <c r="M65" s="81">
        <f t="shared" si="8"/>
        <v>1.3007493500852237E-2</v>
      </c>
      <c r="N65" s="81">
        <f t="shared" si="8"/>
        <v>1.5960744603158793E-2</v>
      </c>
      <c r="O65" s="82"/>
      <c r="P65" s="81"/>
      <c r="Q65" s="147">
        <f t="shared" si="9"/>
        <v>1</v>
      </c>
      <c r="R65" s="147">
        <f t="shared" si="9"/>
        <v>1.6756965558490755</v>
      </c>
      <c r="S65" s="147">
        <f t="shared" si="9"/>
        <v>1.3733738723022479</v>
      </c>
      <c r="T65" s="147">
        <f t="shared" si="9"/>
        <v>1.251133928126402</v>
      </c>
      <c r="U65" s="147">
        <f t="shared" si="9"/>
        <v>1.986629616707372</v>
      </c>
    </row>
    <row r="66" spans="2:25" ht="15" x14ac:dyDescent="0.2">
      <c r="B66" s="51"/>
      <c r="C66" s="79"/>
      <c r="D66" s="79"/>
      <c r="E66" s="79"/>
      <c r="F66" s="79"/>
      <c r="G66" s="79"/>
      <c r="H66" s="86"/>
      <c r="I66" s="61"/>
      <c r="J66" s="81"/>
      <c r="K66" s="81"/>
      <c r="L66" s="81"/>
      <c r="M66" s="81"/>
      <c r="N66" s="81"/>
      <c r="O66" s="82"/>
      <c r="P66" s="81"/>
      <c r="Q66" s="83"/>
      <c r="R66" s="83"/>
      <c r="S66" s="83"/>
      <c r="T66" s="83"/>
      <c r="U66" s="83"/>
    </row>
    <row r="67" spans="2:25" ht="16" thickBot="1" x14ac:dyDescent="0.25">
      <c r="B67" s="121" t="s">
        <v>54</v>
      </c>
      <c r="C67" s="188">
        <f>SUM(C59:C65)</f>
        <v>7804.7839999999997</v>
      </c>
      <c r="D67" s="188">
        <f>SUM(D59:D65)</f>
        <v>8293.1049999999996</v>
      </c>
      <c r="E67" s="188">
        <f>SUM(E59:E65)</f>
        <v>9686.5220000000008</v>
      </c>
      <c r="F67" s="188">
        <f>SUM(F59:F65)</f>
        <v>7719.0890000000009</v>
      </c>
      <c r="G67" s="188">
        <f>SUM(G59:G65)</f>
        <v>9988.9449999999997</v>
      </c>
      <c r="H67" s="88"/>
      <c r="I67" s="87"/>
      <c r="J67" s="200">
        <f>C67/C$67</f>
        <v>1</v>
      </c>
      <c r="K67" s="200">
        <f>D67/D$67</f>
        <v>1</v>
      </c>
      <c r="L67" s="200">
        <f>E67/E$67</f>
        <v>1</v>
      </c>
      <c r="M67" s="200">
        <f>F67/F$67</f>
        <v>1</v>
      </c>
      <c r="N67" s="200">
        <f>G67/G$67</f>
        <v>1</v>
      </c>
      <c r="O67" s="197"/>
      <c r="P67" s="198"/>
      <c r="Q67" s="201">
        <f>C67/$C67</f>
        <v>1</v>
      </c>
      <c r="R67" s="201">
        <f>D67/$C67</f>
        <v>1.0625668820559289</v>
      </c>
      <c r="S67" s="201">
        <f>E67/$C67</f>
        <v>1.2411005865120677</v>
      </c>
      <c r="T67" s="201">
        <f>F67/$C67</f>
        <v>0.98902019581835976</v>
      </c>
      <c r="U67" s="201">
        <f>G67/$C67</f>
        <v>1.2798490003054537</v>
      </c>
    </row>
    <row r="68" spans="2:25" ht="8.25" customHeight="1" thickTop="1" x14ac:dyDescent="0.2">
      <c r="B68" s="111"/>
      <c r="C68" s="113"/>
      <c r="D68" s="113"/>
      <c r="E68" s="113"/>
      <c r="F68" s="113"/>
      <c r="G68" s="113"/>
      <c r="H68" s="118"/>
      <c r="I68" s="113"/>
      <c r="J68" s="114"/>
      <c r="K68" s="114"/>
      <c r="L68" s="114"/>
      <c r="M68" s="114"/>
      <c r="N68" s="114"/>
      <c r="O68" s="119"/>
      <c r="P68" s="114"/>
      <c r="Q68" s="120"/>
      <c r="R68" s="120"/>
      <c r="S68" s="120"/>
      <c r="T68" s="120"/>
      <c r="U68" s="120"/>
    </row>
    <row r="69" spans="2:25" ht="15" x14ac:dyDescent="0.2">
      <c r="B69" s="50" t="s">
        <v>55</v>
      </c>
      <c r="C69" s="79"/>
      <c r="D69" s="79"/>
      <c r="E69" s="79"/>
      <c r="F69" s="79"/>
      <c r="G69" s="79"/>
      <c r="H69" s="86"/>
      <c r="I69" s="61"/>
      <c r="J69" s="81"/>
      <c r="K69" s="81"/>
      <c r="L69" s="81"/>
      <c r="M69" s="81"/>
      <c r="N69" s="81"/>
      <c r="O69" s="82"/>
      <c r="P69" s="81"/>
      <c r="Q69" s="83"/>
      <c r="R69" s="83"/>
      <c r="S69" s="83"/>
      <c r="T69" s="83"/>
      <c r="U69" s="83"/>
    </row>
    <row r="70" spans="2:25" ht="15" x14ac:dyDescent="0.2">
      <c r="B70" s="51" t="s">
        <v>56</v>
      </c>
      <c r="C70" s="79"/>
      <c r="D70" s="79"/>
      <c r="E70" s="79"/>
      <c r="F70" s="79"/>
      <c r="G70" s="79"/>
      <c r="H70" s="86"/>
      <c r="I70" s="61"/>
      <c r="J70" s="81"/>
      <c r="K70" s="81"/>
      <c r="L70" s="81"/>
      <c r="M70" s="81"/>
      <c r="N70" s="81"/>
      <c r="O70" s="82"/>
      <c r="P70" s="81"/>
      <c r="Q70" s="83"/>
      <c r="R70" s="83"/>
      <c r="S70" s="83"/>
      <c r="T70" s="83"/>
      <c r="U70" s="83"/>
    </row>
    <row r="71" spans="2:25" ht="15" x14ac:dyDescent="0.2">
      <c r="B71" s="51" t="s">
        <v>283</v>
      </c>
      <c r="C71" s="79">
        <v>892.14699999999993</v>
      </c>
      <c r="D71" s="79">
        <v>945.34999999999991</v>
      </c>
      <c r="E71" s="79">
        <v>1104.82</v>
      </c>
      <c r="F71" s="79">
        <v>1047.704</v>
      </c>
      <c r="G71" s="79">
        <v>1370.1519999999998</v>
      </c>
      <c r="H71" s="86"/>
      <c r="I71" s="61"/>
      <c r="J71" s="81">
        <f t="shared" ref="J71:N81" si="10">C71/C$67</f>
        <v>0.11430771178292698</v>
      </c>
      <c r="K71" s="81">
        <f t="shared" si="10"/>
        <v>0.11399228636318966</v>
      </c>
      <c r="L71" s="81">
        <f t="shared" si="10"/>
        <v>0.114057450135353</v>
      </c>
      <c r="M71" s="81">
        <f t="shared" si="10"/>
        <v>0.13572897008960511</v>
      </c>
      <c r="N71" s="81">
        <f t="shared" si="10"/>
        <v>0.13716683793934192</v>
      </c>
      <c r="O71" s="82"/>
      <c r="P71" s="81"/>
      <c r="Q71" s="147">
        <f t="shared" ref="Q71:U81" si="11">C71/$C71</f>
        <v>1</v>
      </c>
      <c r="R71" s="147">
        <f t="shared" si="11"/>
        <v>1.0596347911274711</v>
      </c>
      <c r="S71" s="147">
        <f t="shared" si="11"/>
        <v>1.2383833605896786</v>
      </c>
      <c r="T71" s="147">
        <f t="shared" si="11"/>
        <v>1.1743625209746824</v>
      </c>
      <c r="U71" s="147">
        <f t="shared" si="11"/>
        <v>1.5357917473241516</v>
      </c>
    </row>
    <row r="72" spans="2:25" ht="15" x14ac:dyDescent="0.2">
      <c r="B72" s="51" t="s">
        <v>60</v>
      </c>
      <c r="C72" s="79">
        <v>42.53</v>
      </c>
      <c r="D72" s="79">
        <v>43.311</v>
      </c>
      <c r="E72" s="79">
        <v>41.914000000000001</v>
      </c>
      <c r="F72" s="79">
        <v>45.808999999999997</v>
      </c>
      <c r="G72" s="79">
        <v>45.323</v>
      </c>
      <c r="H72" s="86"/>
      <c r="I72" s="61"/>
      <c r="J72" s="81"/>
      <c r="K72" s="81"/>
      <c r="L72" s="81"/>
      <c r="M72" s="81"/>
      <c r="N72" s="81"/>
      <c r="O72" s="82"/>
      <c r="P72" s="81"/>
      <c r="Q72" s="147"/>
      <c r="R72" s="147"/>
      <c r="S72" s="147"/>
      <c r="T72" s="147"/>
      <c r="U72" s="147"/>
    </row>
    <row r="73" spans="2:25" ht="15" x14ac:dyDescent="0.2">
      <c r="B73" s="51" t="s">
        <v>284</v>
      </c>
      <c r="C73" s="79"/>
      <c r="D73" s="79"/>
      <c r="E73" s="79"/>
      <c r="F73" s="79"/>
      <c r="G73" s="79"/>
      <c r="H73" s="86"/>
      <c r="I73" s="61"/>
      <c r="J73" s="81"/>
      <c r="K73" s="81"/>
      <c r="L73" s="81"/>
      <c r="M73" s="81"/>
      <c r="N73" s="81"/>
      <c r="O73" s="82"/>
      <c r="P73" s="81"/>
      <c r="Q73" s="147"/>
      <c r="R73" s="147"/>
      <c r="S73" s="147"/>
      <c r="T73" s="147"/>
      <c r="U73" s="147"/>
    </row>
    <row r="74" spans="2:25" ht="15" x14ac:dyDescent="0.2">
      <c r="B74" s="51" t="s">
        <v>285</v>
      </c>
      <c r="C74" s="79"/>
      <c r="D74" s="79"/>
      <c r="E74" s="79"/>
      <c r="F74" s="79"/>
      <c r="G74" s="79"/>
      <c r="H74" s="86"/>
      <c r="I74" s="61"/>
      <c r="J74" s="81"/>
      <c r="K74" s="81"/>
      <c r="L74" s="81"/>
      <c r="M74" s="81"/>
      <c r="N74" s="81"/>
      <c r="O74" s="82"/>
      <c r="P74" s="81"/>
      <c r="Q74" s="147"/>
      <c r="R74" s="147"/>
      <c r="S74" s="147"/>
      <c r="T74" s="147"/>
      <c r="U74" s="147"/>
    </row>
    <row r="75" spans="2:25" ht="15" x14ac:dyDescent="0.2">
      <c r="B75" s="51" t="s">
        <v>286</v>
      </c>
      <c r="C75" s="79">
        <v>30.399000000000001</v>
      </c>
      <c r="D75" s="79">
        <v>13.317</v>
      </c>
      <c r="E75" s="79">
        <v>14.955</v>
      </c>
      <c r="F75" s="79">
        <v>4.0060000000000002</v>
      </c>
      <c r="G75" s="79">
        <v>32.305</v>
      </c>
      <c r="H75" s="86"/>
      <c r="I75" s="61"/>
      <c r="J75" s="81">
        <f t="shared" si="10"/>
        <v>3.8949188087716458E-3</v>
      </c>
      <c r="K75" s="81">
        <f t="shared" si="10"/>
        <v>1.6057917993320958E-3</v>
      </c>
      <c r="L75" s="81">
        <f t="shared" si="10"/>
        <v>1.5438977994371972E-3</v>
      </c>
      <c r="M75" s="81">
        <f t="shared" si="10"/>
        <v>5.1897315862014289E-4</v>
      </c>
      <c r="N75" s="81">
        <f t="shared" si="10"/>
        <v>3.2340752702112187E-3</v>
      </c>
      <c r="O75" s="82"/>
      <c r="P75" s="81"/>
      <c r="Q75" s="147">
        <f t="shared" si="11"/>
        <v>1</v>
      </c>
      <c r="R75" s="147">
        <f t="shared" si="11"/>
        <v>0.43807362084279089</v>
      </c>
      <c r="S75" s="147">
        <f t="shared" si="11"/>
        <v>0.49195697226882462</v>
      </c>
      <c r="T75" s="147">
        <f t="shared" si="11"/>
        <v>0.13178065067929867</v>
      </c>
      <c r="U75" s="147">
        <f t="shared" si="11"/>
        <v>1.0626994309023323</v>
      </c>
    </row>
    <row r="76" spans="2:25" ht="15" x14ac:dyDescent="0.2">
      <c r="B76" s="121" t="s">
        <v>63</v>
      </c>
      <c r="C76" s="87">
        <f>SUM(C71:C75)</f>
        <v>965.07599999999991</v>
      </c>
      <c r="D76" s="87">
        <f>SUM(D71:D75)</f>
        <v>1001.978</v>
      </c>
      <c r="E76" s="87">
        <f>SUM(E71:E75)</f>
        <v>1161.6889999999999</v>
      </c>
      <c r="F76" s="87">
        <f>SUM(F71:F75)</f>
        <v>1097.519</v>
      </c>
      <c r="G76" s="87">
        <f>SUM(G71:G75)</f>
        <v>1447.78</v>
      </c>
      <c r="H76" s="88"/>
      <c r="I76" s="87"/>
      <c r="J76" s="198">
        <f t="shared" si="10"/>
        <v>0.12365185250482268</v>
      </c>
      <c r="K76" s="198">
        <f t="shared" si="10"/>
        <v>0.12082060940986518</v>
      </c>
      <c r="L76" s="198">
        <f t="shared" si="10"/>
        <v>0.11992839122236028</v>
      </c>
      <c r="M76" s="198">
        <f t="shared" si="10"/>
        <v>0.14218245184114342</v>
      </c>
      <c r="N76" s="198">
        <f t="shared" si="10"/>
        <v>0.1449382292123943</v>
      </c>
      <c r="O76" s="197"/>
      <c r="P76" s="198"/>
      <c r="Q76" s="187">
        <f t="shared" si="11"/>
        <v>1</v>
      </c>
      <c r="R76" s="187">
        <f t="shared" si="11"/>
        <v>1.0382374030646291</v>
      </c>
      <c r="S76" s="187">
        <f t="shared" si="11"/>
        <v>1.2037279965515668</v>
      </c>
      <c r="T76" s="187">
        <f t="shared" si="11"/>
        <v>1.137235823914386</v>
      </c>
      <c r="U76" s="187">
        <f t="shared" si="11"/>
        <v>1.5001720071787095</v>
      </c>
    </row>
    <row r="77" spans="2:25" ht="15" x14ac:dyDescent="0.2">
      <c r="B77" s="51" t="s">
        <v>287</v>
      </c>
      <c r="C77" s="79"/>
      <c r="D77" s="79"/>
      <c r="E77" s="79"/>
      <c r="F77" s="237">
        <v>373.95100000000002</v>
      </c>
      <c r="G77" s="79"/>
      <c r="H77" s="86"/>
      <c r="I77" s="61"/>
      <c r="J77" s="81">
        <f t="shared" si="10"/>
        <v>0</v>
      </c>
      <c r="K77" s="81">
        <f t="shared" si="10"/>
        <v>0</v>
      </c>
      <c r="L77" s="81">
        <f t="shared" si="10"/>
        <v>0</v>
      </c>
      <c r="M77" s="81">
        <f t="shared" si="10"/>
        <v>4.8444965461597864E-2</v>
      </c>
      <c r="N77" s="81">
        <f t="shared" si="10"/>
        <v>0</v>
      </c>
      <c r="O77" s="82"/>
      <c r="P77" s="81"/>
      <c r="Q77" s="147"/>
      <c r="R77" s="147"/>
      <c r="S77" s="147"/>
      <c r="T77" s="147"/>
      <c r="U77" s="147"/>
      <c r="X77" s="191"/>
      <c r="Y77" s="191"/>
    </row>
    <row r="78" spans="2:25" ht="15" x14ac:dyDescent="0.2">
      <c r="B78" s="51" t="s">
        <v>60</v>
      </c>
      <c r="C78" s="79">
        <v>243.249</v>
      </c>
      <c r="D78" s="79">
        <v>223.8</v>
      </c>
      <c r="E78" s="79">
        <v>204.251</v>
      </c>
      <c r="F78" s="79">
        <v>179.00800000000001</v>
      </c>
      <c r="G78" s="79">
        <v>159.99100000000001</v>
      </c>
      <c r="H78" s="86"/>
      <c r="I78" s="61"/>
      <c r="J78" s="81"/>
      <c r="K78" s="81"/>
      <c r="L78" s="81"/>
      <c r="M78" s="81"/>
      <c r="N78" s="81"/>
      <c r="O78" s="82"/>
      <c r="P78" s="81"/>
      <c r="Q78" s="147"/>
      <c r="R78" s="147"/>
      <c r="S78" s="147"/>
      <c r="T78" s="147"/>
      <c r="U78" s="147"/>
      <c r="X78" s="191"/>
      <c r="Y78" s="191"/>
    </row>
    <row r="79" spans="2:25" ht="15" x14ac:dyDescent="0.2">
      <c r="B79" s="51" t="s">
        <v>288</v>
      </c>
      <c r="C79" s="79">
        <v>29.507999999999999</v>
      </c>
      <c r="D79" s="79">
        <v>42.286000000000001</v>
      </c>
      <c r="E79" s="79">
        <v>91.837999999999994</v>
      </c>
      <c r="F79" s="79">
        <v>110.893</v>
      </c>
      <c r="G79" s="79">
        <v>127.066</v>
      </c>
      <c r="H79" s="86"/>
      <c r="I79" s="61"/>
      <c r="J79" s="81">
        <f t="shared" si="10"/>
        <v>3.7807580581346004E-3</v>
      </c>
      <c r="K79" s="81">
        <f t="shared" si="10"/>
        <v>5.0989345968729446E-3</v>
      </c>
      <c r="L79" s="81">
        <f t="shared" si="10"/>
        <v>9.481008766614063E-3</v>
      </c>
      <c r="M79" s="81">
        <f t="shared" si="10"/>
        <v>1.4366073509451696E-2</v>
      </c>
      <c r="N79" s="81">
        <f t="shared" si="10"/>
        <v>1.2720662692606678E-2</v>
      </c>
      <c r="O79" s="82"/>
      <c r="P79" s="81"/>
      <c r="Q79" s="147">
        <f t="shared" si="11"/>
        <v>1</v>
      </c>
      <c r="R79" s="147">
        <f t="shared" si="11"/>
        <v>1.4330351091229498</v>
      </c>
      <c r="S79" s="147">
        <f t="shared" si="11"/>
        <v>3.1123085265012875</v>
      </c>
      <c r="T79" s="147">
        <f t="shared" si="11"/>
        <v>3.7580656093262848</v>
      </c>
      <c r="U79" s="147">
        <f t="shared" si="11"/>
        <v>4.3061542632506438</v>
      </c>
    </row>
    <row r="80" spans="2:25" ht="15" x14ac:dyDescent="0.2">
      <c r="B80" s="51" t="s">
        <v>289</v>
      </c>
      <c r="C80" s="79"/>
      <c r="D80" s="79"/>
      <c r="E80" s="79"/>
      <c r="F80" s="79"/>
      <c r="G80" s="79"/>
      <c r="H80" s="86"/>
      <c r="I80" s="61"/>
      <c r="J80" s="81"/>
      <c r="K80" s="81"/>
      <c r="L80" s="81"/>
      <c r="M80" s="81"/>
      <c r="N80" s="81"/>
      <c r="O80" s="82"/>
      <c r="P80" s="81"/>
      <c r="Q80" s="147"/>
      <c r="R80" s="147"/>
      <c r="S80" s="147"/>
      <c r="T80" s="147"/>
      <c r="U80" s="147"/>
    </row>
    <row r="81" spans="2:22" ht="15" x14ac:dyDescent="0.2">
      <c r="B81" s="121" t="s">
        <v>67</v>
      </c>
      <c r="C81" s="87">
        <f>SUM(C76:C80)</f>
        <v>1237.8329999999999</v>
      </c>
      <c r="D81" s="87">
        <f>SUM(D76:D80)</f>
        <v>1268.0640000000001</v>
      </c>
      <c r="E81" s="87">
        <f>SUM(E76:E80)</f>
        <v>1457.7779999999998</v>
      </c>
      <c r="F81" s="87">
        <f>SUM(F76:F80)</f>
        <v>1761.3710000000001</v>
      </c>
      <c r="G81" s="87">
        <f>SUM(G76:G80)</f>
        <v>1734.837</v>
      </c>
      <c r="H81" s="88"/>
      <c r="I81" s="87"/>
      <c r="J81" s="198">
        <f t="shared" si="10"/>
        <v>0.15859926424613416</v>
      </c>
      <c r="K81" s="198">
        <f t="shared" si="10"/>
        <v>0.15290581754361005</v>
      </c>
      <c r="L81" s="198">
        <f t="shared" si="10"/>
        <v>0.15049550292664382</v>
      </c>
      <c r="M81" s="198">
        <f t="shared" si="10"/>
        <v>0.22818379215474779</v>
      </c>
      <c r="N81" s="198">
        <f t="shared" si="10"/>
        <v>0.17367569848467482</v>
      </c>
      <c r="O81" s="197"/>
      <c r="P81" s="198"/>
      <c r="Q81" s="187">
        <f t="shared" si="11"/>
        <v>1</v>
      </c>
      <c r="R81" s="187">
        <f t="shared" si="11"/>
        <v>1.0244225190312426</v>
      </c>
      <c r="S81" s="187">
        <f t="shared" si="11"/>
        <v>1.1776855197752847</v>
      </c>
      <c r="T81" s="187">
        <f t="shared" si="11"/>
        <v>1.4229471988547731</v>
      </c>
      <c r="U81" s="187">
        <f t="shared" si="11"/>
        <v>1.4015113508849741</v>
      </c>
    </row>
    <row r="82" spans="2:22" ht="15" x14ac:dyDescent="0.2">
      <c r="B82" s="51" t="s">
        <v>68</v>
      </c>
      <c r="C82" s="79"/>
      <c r="D82" s="79"/>
      <c r="E82" s="79"/>
      <c r="F82" s="79"/>
      <c r="G82" s="79"/>
      <c r="H82" s="86"/>
      <c r="I82" s="61"/>
      <c r="J82" s="81"/>
      <c r="K82" s="81"/>
      <c r="L82" s="81"/>
      <c r="M82" s="81"/>
      <c r="N82" s="81"/>
      <c r="O82" s="82"/>
      <c r="P82" s="81"/>
      <c r="Q82" s="83"/>
      <c r="R82" s="83"/>
      <c r="S82" s="83"/>
      <c r="T82" s="83"/>
      <c r="U82" s="83"/>
    </row>
    <row r="83" spans="2:22" ht="15" x14ac:dyDescent="0.2">
      <c r="B83" s="179" t="s">
        <v>290</v>
      </c>
      <c r="C83" s="79">
        <v>3.2</v>
      </c>
      <c r="D83" s="79">
        <v>3.2090000000000001</v>
      </c>
      <c r="E83" s="79">
        <v>5.6130000000000004</v>
      </c>
      <c r="F83" s="79">
        <v>5.6319999999999997</v>
      </c>
      <c r="G83" s="79">
        <v>5.665</v>
      </c>
      <c r="H83" s="86"/>
      <c r="I83" s="61"/>
      <c r="J83" s="81">
        <f t="shared" ref="J83:N91" si="12">C83/C$67</f>
        <v>4.1000494055953379E-4</v>
      </c>
      <c r="K83" s="81">
        <f t="shared" si="12"/>
        <v>3.869479525461212E-4</v>
      </c>
      <c r="L83" s="81">
        <f t="shared" si="12"/>
        <v>5.794649514036101E-4</v>
      </c>
      <c r="M83" s="81">
        <f t="shared" si="12"/>
        <v>7.2961977767065501E-4</v>
      </c>
      <c r="N83" s="81">
        <f t="shared" si="12"/>
        <v>5.6712695885301201E-4</v>
      </c>
      <c r="O83" s="82"/>
      <c r="P83" s="81"/>
      <c r="Q83" s="147">
        <f t="shared" ref="Q83:U91" si="13">C83/$C83</f>
        <v>1</v>
      </c>
      <c r="R83" s="147">
        <f t="shared" si="13"/>
        <v>1.0028124999999999</v>
      </c>
      <c r="S83" s="147">
        <f t="shared" si="13"/>
        <v>1.7540625000000001</v>
      </c>
      <c r="T83" s="147">
        <f t="shared" si="13"/>
        <v>1.7599999999999998</v>
      </c>
      <c r="U83" s="147">
        <f t="shared" si="13"/>
        <v>1.7703125</v>
      </c>
    </row>
    <row r="84" spans="2:22" ht="15" x14ac:dyDescent="0.2">
      <c r="B84" s="179" t="s">
        <v>291</v>
      </c>
      <c r="C84" s="79">
        <v>4652.62</v>
      </c>
      <c r="D84" s="79">
        <v>4780.0129999999999</v>
      </c>
      <c r="E84" s="79">
        <v>4975.1149999999998</v>
      </c>
      <c r="F84" s="79">
        <v>5144.9219999999996</v>
      </c>
      <c r="G84" s="79">
        <v>5430.8469999999998</v>
      </c>
      <c r="H84" s="86"/>
      <c r="I84" s="61"/>
      <c r="J84" s="81">
        <f t="shared" si="12"/>
        <v>0.59612412079565558</v>
      </c>
      <c r="K84" s="81">
        <f t="shared" si="12"/>
        <v>0.57638399610278657</v>
      </c>
      <c r="L84" s="81">
        <f t="shared" si="12"/>
        <v>0.51361210969220938</v>
      </c>
      <c r="M84" s="81">
        <f t="shared" si="12"/>
        <v>0.66651932630910193</v>
      </c>
      <c r="N84" s="81">
        <f t="shared" si="12"/>
        <v>0.543685744590645</v>
      </c>
      <c r="O84" s="82"/>
      <c r="P84" s="81"/>
      <c r="Q84" s="147">
        <f t="shared" si="13"/>
        <v>1</v>
      </c>
      <c r="R84" s="147">
        <f t="shared" si="13"/>
        <v>1.0273809165588421</v>
      </c>
      <c r="S84" s="147">
        <f t="shared" si="13"/>
        <v>1.0693147087017638</v>
      </c>
      <c r="T84" s="147">
        <f t="shared" si="13"/>
        <v>1.1058117791695861</v>
      </c>
      <c r="U84" s="147">
        <f t="shared" si="13"/>
        <v>1.1672664004367432</v>
      </c>
    </row>
    <row r="85" spans="2:22" ht="15" x14ac:dyDescent="0.2">
      <c r="B85" s="179" t="s">
        <v>292</v>
      </c>
      <c r="C85" s="79">
        <v>7809.549</v>
      </c>
      <c r="D85" s="79">
        <v>9001.1730000000007</v>
      </c>
      <c r="E85" s="79">
        <v>5939.7359999999999</v>
      </c>
      <c r="F85" s="79">
        <v>7448.7839999999997</v>
      </c>
      <c r="G85" s="79">
        <v>9354.2160000000003</v>
      </c>
      <c r="H85" s="86"/>
      <c r="I85" s="61"/>
      <c r="J85" s="81">
        <f t="shared" si="12"/>
        <v>1.0006105229818019</v>
      </c>
      <c r="K85" s="81">
        <f t="shared" si="12"/>
        <v>1.0853803249808125</v>
      </c>
      <c r="L85" s="81">
        <f t="shared" si="12"/>
        <v>0.61319594380728182</v>
      </c>
      <c r="M85" s="81">
        <f t="shared" si="12"/>
        <v>0.96498226668976073</v>
      </c>
      <c r="N85" s="81">
        <f t="shared" si="12"/>
        <v>0.93645685305104798</v>
      </c>
      <c r="O85" s="82"/>
      <c r="P85" s="81"/>
      <c r="Q85" s="147">
        <f t="shared" si="13"/>
        <v>1</v>
      </c>
      <c r="R85" s="147">
        <f t="shared" si="13"/>
        <v>1.1525855078186975</v>
      </c>
      <c r="S85" s="147">
        <f t="shared" si="13"/>
        <v>0.76057349790621709</v>
      </c>
      <c r="T85" s="147">
        <f t="shared" si="13"/>
        <v>0.95380463071555088</v>
      </c>
      <c r="U85" s="147">
        <f t="shared" si="13"/>
        <v>1.1977920876096686</v>
      </c>
    </row>
    <row r="86" spans="2:22" ht="15" x14ac:dyDescent="0.2">
      <c r="B86" s="179" t="s">
        <v>293</v>
      </c>
      <c r="C86" s="79">
        <v>-69.165000000000006</v>
      </c>
      <c r="D86" s="79">
        <v>-159.07300000000001</v>
      </c>
      <c r="E86" s="79">
        <v>-125.337</v>
      </c>
      <c r="F86" s="79">
        <v>-269.48700000000002</v>
      </c>
      <c r="G86" s="79">
        <v>-60.841000000000001</v>
      </c>
      <c r="H86" s="86"/>
      <c r="I86" s="61"/>
      <c r="J86" s="81">
        <f t="shared" si="12"/>
        <v>-8.861872410562549E-3</v>
      </c>
      <c r="K86" s="81">
        <f t="shared" si="12"/>
        <v>-1.9181356078332545E-2</v>
      </c>
      <c r="L86" s="81">
        <f t="shared" si="12"/>
        <v>-1.2939319190107657E-2</v>
      </c>
      <c r="M86" s="81">
        <f t="shared" si="12"/>
        <v>-3.4911762255882786E-2</v>
      </c>
      <c r="N86" s="81">
        <f t="shared" si="12"/>
        <v>-6.0908334163417661E-3</v>
      </c>
      <c r="O86" s="82"/>
      <c r="P86" s="81"/>
      <c r="Q86" s="147">
        <f t="shared" si="13"/>
        <v>1</v>
      </c>
      <c r="R86" s="147">
        <f t="shared" si="13"/>
        <v>2.2999060218318514</v>
      </c>
      <c r="S86" s="147">
        <f t="shared" si="13"/>
        <v>1.8121448709607459</v>
      </c>
      <c r="T86" s="147">
        <f t="shared" si="13"/>
        <v>3.8962914769030581</v>
      </c>
      <c r="U86" s="147">
        <f t="shared" si="13"/>
        <v>0.87965011205089272</v>
      </c>
    </row>
    <row r="87" spans="2:22" ht="15" x14ac:dyDescent="0.2">
      <c r="B87" s="179" t="s">
        <v>294</v>
      </c>
      <c r="C87" s="79">
        <v>-5829.2529999999997</v>
      </c>
      <c r="D87" s="79">
        <v>-6600.2809999999999</v>
      </c>
      <c r="E87" s="79">
        <v>-2566.3829999999998</v>
      </c>
      <c r="F87" s="79">
        <v>-6372.1329999999998</v>
      </c>
      <c r="G87" s="79">
        <v>-6475.7790000000005</v>
      </c>
      <c r="H87" s="86"/>
      <c r="I87" s="61"/>
      <c r="J87" s="81">
        <f t="shared" si="12"/>
        <v>-0.74688204055358864</v>
      </c>
      <c r="K87" s="81">
        <f t="shared" si="12"/>
        <v>-0.79587573050142257</v>
      </c>
      <c r="L87" s="81">
        <f t="shared" si="12"/>
        <v>-0.26494370218743113</v>
      </c>
      <c r="M87" s="81">
        <f t="shared" si="12"/>
        <v>-0.82550324267539854</v>
      </c>
      <c r="N87" s="81">
        <f t="shared" si="12"/>
        <v>-0.64829458966887898</v>
      </c>
      <c r="O87" s="82"/>
      <c r="P87" s="81"/>
      <c r="Q87" s="147">
        <f t="shared" si="13"/>
        <v>1</v>
      </c>
      <c r="R87" s="147">
        <f t="shared" si="13"/>
        <v>1.1322687486715708</v>
      </c>
      <c r="S87" s="147">
        <f t="shared" si="13"/>
        <v>0.44025932653806582</v>
      </c>
      <c r="T87" s="147">
        <f t="shared" si="13"/>
        <v>1.0931302861618803</v>
      </c>
      <c r="U87" s="147">
        <f t="shared" si="13"/>
        <v>1.1109106089579575</v>
      </c>
    </row>
    <row r="88" spans="2:22" ht="15" x14ac:dyDescent="0.2">
      <c r="B88" s="180" t="s">
        <v>74</v>
      </c>
      <c r="C88" s="190">
        <f>SUM(C83:C87)</f>
        <v>6566.9509999999982</v>
      </c>
      <c r="D88" s="190">
        <f>SUM(D83:D87)</f>
        <v>7025.0410000000002</v>
      </c>
      <c r="E88" s="190">
        <f>SUM(E83:E87)</f>
        <v>8228.7440000000006</v>
      </c>
      <c r="F88" s="190">
        <f>SUM(F83:F87)</f>
        <v>5957.7180000000008</v>
      </c>
      <c r="G88" s="190">
        <f>SUM(G83:G87)</f>
        <v>8254.1079999999984</v>
      </c>
      <c r="H88" s="86"/>
      <c r="I88" s="61"/>
      <c r="J88" s="202">
        <f t="shared" si="12"/>
        <v>0.84140073575386565</v>
      </c>
      <c r="K88" s="202">
        <f t="shared" si="12"/>
        <v>0.84709418245639001</v>
      </c>
      <c r="L88" s="202">
        <f t="shared" si="12"/>
        <v>0.84950449707335618</v>
      </c>
      <c r="M88" s="202">
        <f t="shared" si="12"/>
        <v>0.77181620784525218</v>
      </c>
      <c r="N88" s="202">
        <f t="shared" si="12"/>
        <v>0.8263243015153251</v>
      </c>
      <c r="O88" s="185"/>
      <c r="P88" s="202"/>
      <c r="Q88" s="184">
        <f t="shared" si="13"/>
        <v>1</v>
      </c>
      <c r="R88" s="184">
        <f t="shared" si="13"/>
        <v>1.0697568780397482</v>
      </c>
      <c r="S88" s="184">
        <f t="shared" si="13"/>
        <v>1.2530539667495619</v>
      </c>
      <c r="T88" s="184">
        <f t="shared" si="13"/>
        <v>0.90722741802093576</v>
      </c>
      <c r="U88" s="184">
        <f t="shared" si="13"/>
        <v>1.2569163375819312</v>
      </c>
    </row>
    <row r="89" spans="2:22" ht="15" x14ac:dyDescent="0.2">
      <c r="B89" s="179" t="s">
        <v>295</v>
      </c>
      <c r="C89" s="79"/>
      <c r="D89" s="79"/>
      <c r="E89" s="79"/>
      <c r="F89" s="79"/>
      <c r="G89" s="79"/>
      <c r="H89" s="86"/>
      <c r="I89" s="61"/>
      <c r="J89" s="81"/>
      <c r="K89" s="81"/>
      <c r="L89" s="81"/>
      <c r="M89" s="81"/>
      <c r="N89" s="81"/>
      <c r="O89" s="82"/>
      <c r="P89" s="81"/>
      <c r="Q89" s="147"/>
      <c r="R89" s="147"/>
      <c r="S89" s="147"/>
      <c r="T89" s="147"/>
      <c r="U89" s="147"/>
    </row>
    <row r="90" spans="2:22" ht="15" x14ac:dyDescent="0.2">
      <c r="B90" s="121" t="s">
        <v>296</v>
      </c>
      <c r="C90" s="189">
        <f>SUM(C88:C89)</f>
        <v>6566.9509999999982</v>
      </c>
      <c r="D90" s="189">
        <f>SUM(D88:D89)</f>
        <v>7025.0410000000002</v>
      </c>
      <c r="E90" s="189">
        <f>SUM(E88:E89)</f>
        <v>8228.7440000000006</v>
      </c>
      <c r="F90" s="189">
        <f>SUM(F88:F89)</f>
        <v>5957.7180000000008</v>
      </c>
      <c r="G90" s="189">
        <f>SUM(G88:G89)</f>
        <v>8254.1079999999984</v>
      </c>
      <c r="H90" s="88"/>
      <c r="I90" s="87"/>
      <c r="J90" s="198">
        <f t="shared" si="12"/>
        <v>0.84140073575386565</v>
      </c>
      <c r="K90" s="198">
        <f t="shared" si="12"/>
        <v>0.84709418245639001</v>
      </c>
      <c r="L90" s="198">
        <f t="shared" si="12"/>
        <v>0.84950449707335618</v>
      </c>
      <c r="M90" s="198">
        <f t="shared" si="12"/>
        <v>0.77181620784525218</v>
      </c>
      <c r="N90" s="198">
        <f t="shared" si="12"/>
        <v>0.8263243015153251</v>
      </c>
      <c r="O90" s="197"/>
      <c r="P90" s="198"/>
      <c r="Q90" s="187">
        <f t="shared" si="13"/>
        <v>1</v>
      </c>
      <c r="R90" s="187">
        <f t="shared" si="13"/>
        <v>1.0697568780397482</v>
      </c>
      <c r="S90" s="187">
        <f t="shared" si="13"/>
        <v>1.2530539667495619</v>
      </c>
      <c r="T90" s="187">
        <f t="shared" si="13"/>
        <v>0.90722741802093576</v>
      </c>
      <c r="U90" s="187">
        <f t="shared" si="13"/>
        <v>1.2569163375819312</v>
      </c>
    </row>
    <row r="91" spans="2:22" ht="16" thickBot="1" x14ac:dyDescent="0.25">
      <c r="B91" s="122" t="s">
        <v>75</v>
      </c>
      <c r="C91" s="188">
        <f>C90+C81</f>
        <v>7804.7839999999978</v>
      </c>
      <c r="D91" s="188">
        <f>D90+D81</f>
        <v>8293.1049999999996</v>
      </c>
      <c r="E91" s="188">
        <f>E90+E81</f>
        <v>9686.5220000000008</v>
      </c>
      <c r="F91" s="188">
        <f>F90+F81</f>
        <v>7719.0890000000009</v>
      </c>
      <c r="G91" s="188">
        <f>G90+G81</f>
        <v>9988.9449999999979</v>
      </c>
      <c r="H91" s="97"/>
      <c r="I91" s="96"/>
      <c r="J91" s="203">
        <f t="shared" si="12"/>
        <v>0.99999999999999978</v>
      </c>
      <c r="K91" s="203">
        <f t="shared" si="12"/>
        <v>1</v>
      </c>
      <c r="L91" s="203">
        <f t="shared" si="12"/>
        <v>1</v>
      </c>
      <c r="M91" s="203">
        <f t="shared" si="12"/>
        <v>1</v>
      </c>
      <c r="N91" s="203">
        <f t="shared" si="12"/>
        <v>0.99999999999999978</v>
      </c>
      <c r="O91" s="195"/>
      <c r="P91" s="196"/>
      <c r="Q91" s="204">
        <f t="shared" si="13"/>
        <v>1</v>
      </c>
      <c r="R91" s="204">
        <f t="shared" si="13"/>
        <v>1.0625668820559291</v>
      </c>
      <c r="S91" s="204">
        <f t="shared" si="13"/>
        <v>1.2411005865120679</v>
      </c>
      <c r="T91" s="204">
        <f t="shared" si="13"/>
        <v>0.98902019581835998</v>
      </c>
      <c r="U91" s="204">
        <f t="shared" si="13"/>
        <v>1.2798490003054537</v>
      </c>
    </row>
    <row r="92" spans="2:22" ht="16" thickTop="1" x14ac:dyDescent="0.2">
      <c r="B92" s="51"/>
      <c r="C92" s="115"/>
      <c r="D92" s="115"/>
      <c r="E92" s="56"/>
      <c r="F92" s="56"/>
      <c r="G92" s="56"/>
      <c r="H92" s="56"/>
      <c r="I92" s="56"/>
      <c r="J92" s="76"/>
      <c r="K92" s="76"/>
      <c r="L92" s="76"/>
      <c r="M92" s="76"/>
      <c r="N92" s="76"/>
      <c r="O92" s="76"/>
      <c r="P92" s="76"/>
      <c r="Q92" s="116"/>
      <c r="R92" s="116"/>
      <c r="S92" s="116"/>
      <c r="T92" s="116"/>
      <c r="U92" s="116"/>
      <c r="V92" s="117"/>
    </row>
    <row r="93" spans="2:22" ht="24" thickBot="1" x14ac:dyDescent="0.3"/>
    <row r="94" spans="2:22" ht="16" thickBot="1" x14ac:dyDescent="0.25">
      <c r="B94" s="500" t="s">
        <v>151</v>
      </c>
      <c r="C94" s="515">
        <v>2021</v>
      </c>
      <c r="D94" s="515">
        <v>2022</v>
      </c>
      <c r="E94" s="515">
        <v>2023</v>
      </c>
      <c r="F94" s="515">
        <v>2024</v>
      </c>
      <c r="G94" s="516">
        <v>2025</v>
      </c>
    </row>
    <row r="95" spans="2:22" ht="15" x14ac:dyDescent="0.2">
      <c r="B95" s="476" t="str">
        <f>'FINANCIAL RATIOS'!B15</f>
        <v xml:space="preserve">Current Ratio = Current Assets / Current Liabilities </v>
      </c>
      <c r="C95" s="480">
        <f>'FINANCIAL RATIOS'!C16</f>
        <v>4.851545370520042</v>
      </c>
      <c r="D95" s="480">
        <f>'FINANCIAL RATIOS'!D16</f>
        <v>4.7554906395150391</v>
      </c>
      <c r="E95" s="480">
        <f>'FINANCIAL RATIOS'!E16</f>
        <v>4.8110948799549638</v>
      </c>
      <c r="F95" s="480">
        <f>'FINANCIAL RATIOS'!F16</f>
        <v>3.317941648390597</v>
      </c>
      <c r="G95" s="483">
        <f>'FINANCIAL RATIOS'!G16</f>
        <v>3.7029686830872102</v>
      </c>
    </row>
    <row r="96" spans="2:22" ht="15" x14ac:dyDescent="0.2">
      <c r="B96" s="477" t="str">
        <f>'FINANCIAL RATIOS'!B23</f>
        <v xml:space="preserve">Quick Ratio = (Current Assets - Inventories) / Current Liabilities </v>
      </c>
      <c r="C96" s="479">
        <f>'FINANCIAL RATIOS'!C24</f>
        <v>4.2367160721020936</v>
      </c>
      <c r="D96" s="479">
        <f>'FINANCIAL RATIOS'!D24</f>
        <v>3.8217066642181767</v>
      </c>
      <c r="E96" s="479">
        <f>'FINANCIAL RATIOS'!E24</f>
        <v>3.974893452550555</v>
      </c>
      <c r="F96" s="479">
        <f>'FINANCIAL RATIOS'!F24</f>
        <v>2.6463295851825799</v>
      </c>
      <c r="G96" s="484">
        <f>'FINANCIAL RATIOS'!G24</f>
        <v>3.1506589398941838</v>
      </c>
    </row>
    <row r="97" spans="2:7" ht="15" x14ac:dyDescent="0.2">
      <c r="B97" s="477" t="str">
        <f>'FINANCIAL RATIOS'!B31</f>
        <v xml:space="preserve">Cash Ratio = Cash / Current Liabilities </v>
      </c>
      <c r="C97" s="479">
        <f>'FINANCIAL RATIOS'!C32</f>
        <v>1.3744637728013132</v>
      </c>
      <c r="D97" s="479">
        <f>'FINANCIAL RATIOS'!D32</f>
        <v>1.3045605791743933</v>
      </c>
      <c r="E97" s="479">
        <f>'FINANCIAL RATIOS'!E32</f>
        <v>1.977874456932966</v>
      </c>
      <c r="F97" s="479">
        <f>'FINANCIAL RATIOS'!F32</f>
        <v>1.3970482515564651</v>
      </c>
      <c r="G97" s="484">
        <f>'FINANCIAL RATIOS'!G32</f>
        <v>1.4422888836701711</v>
      </c>
    </row>
    <row r="98" spans="2:7" ht="15" x14ac:dyDescent="0.2">
      <c r="B98" s="477" t="str">
        <f>'FINANCIAL RATIOS'!B39</f>
        <v xml:space="preserve">NWC Ratio = (Current Assets - Current Liabilities) / Total Assets </v>
      </c>
      <c r="C98" s="481">
        <f>'FINANCIAL RATIOS'!C40</f>
        <v>0.47625072007117686</v>
      </c>
      <c r="D98" s="481">
        <f>'FINANCIAL RATIOS'!D40</f>
        <v>0.45374066769925137</v>
      </c>
      <c r="E98" s="481">
        <f>'FINANCIAL RATIOS'!E40</f>
        <v>0.45705847774877301</v>
      </c>
      <c r="F98" s="481">
        <f>'FINANCIAL RATIOS'!F40</f>
        <v>0.32957062679287663</v>
      </c>
      <c r="G98" s="485">
        <f>'FINANCIAL RATIOS'!G40</f>
        <v>0.39176349454321763</v>
      </c>
    </row>
    <row r="99" spans="2:7" ht="16" thickBot="1" x14ac:dyDescent="0.25">
      <c r="B99" s="477" t="str">
        <f>'FINANCIAL RATIOS'!B47</f>
        <v>Interval Measure = Current Assets / Average Daily Costs (COGS + Oper. Exp.)</v>
      </c>
      <c r="C99" s="479">
        <f>'FINANCIAL RATIOS'!C48</f>
        <v>456.46972329545378</v>
      </c>
      <c r="D99" s="479">
        <f>'FINANCIAL RATIOS'!D48</f>
        <v>367.97848922493546</v>
      </c>
      <c r="E99" s="479">
        <f>'FINANCIAL RATIOS'!E48</f>
        <v>393.31261741633176</v>
      </c>
      <c r="F99" s="479">
        <f>'FINANCIAL RATIOS'!F48</f>
        <v>238.95177903842128</v>
      </c>
      <c r="G99" s="484">
        <f>'FINANCIAL RATIOS'!G48</f>
        <v>333.07222532671983</v>
      </c>
    </row>
    <row r="100" spans="2:7" ht="24" thickBot="1" x14ac:dyDescent="0.3">
      <c r="B100" s="519"/>
      <c r="C100" s="512"/>
      <c r="D100" s="512"/>
      <c r="E100" s="512"/>
      <c r="F100" s="512"/>
      <c r="G100" s="512"/>
    </row>
    <row r="101" spans="2:7" ht="16" thickBot="1" x14ac:dyDescent="0.25">
      <c r="B101" s="489" t="s">
        <v>156</v>
      </c>
      <c r="C101" s="517">
        <v>2021</v>
      </c>
      <c r="D101" s="517">
        <v>2022</v>
      </c>
      <c r="E101" s="517">
        <v>2023</v>
      </c>
      <c r="F101" s="517">
        <v>2024</v>
      </c>
      <c r="G101" s="518">
        <v>2025</v>
      </c>
    </row>
    <row r="102" spans="2:7" ht="15" x14ac:dyDescent="0.2">
      <c r="B102" s="490" t="str">
        <f>'FINANCIAL RATIOS'!B58</f>
        <v>Total Debt Ratio = Financial Debt / Total Assets</v>
      </c>
      <c r="C102" s="495">
        <f>'FINANCIAL RATIOS'!C59</f>
        <v>0</v>
      </c>
      <c r="D102" s="495">
        <f>'FINANCIAL RATIOS'!D59</f>
        <v>0</v>
      </c>
      <c r="E102" s="495">
        <f>'FINANCIAL RATIOS'!E59</f>
        <v>0</v>
      </c>
      <c r="F102" s="495">
        <f>'FINANCIAL RATIOS'!F59</f>
        <v>4.8444965461597864E-2</v>
      </c>
      <c r="G102" s="491">
        <f>'FINANCIAL RATIOS'!G59</f>
        <v>0</v>
      </c>
    </row>
    <row r="103" spans="2:7" ht="15" x14ac:dyDescent="0.2">
      <c r="B103" s="492" t="str">
        <f>'FINANCIAL RATIOS'!B66</f>
        <v xml:space="preserve">Debt-to-Equity Ratio = (Short-term Debt + Long-term Debt) / Total Equity </v>
      </c>
      <c r="C103" s="487">
        <f>'FINANCIAL RATIOS'!C67</f>
        <v>0</v>
      </c>
      <c r="D103" s="487">
        <f>'FINANCIAL RATIOS'!D67</f>
        <v>0</v>
      </c>
      <c r="E103" s="487">
        <f>'FINANCIAL RATIOS'!E67</f>
        <v>0</v>
      </c>
      <c r="F103" s="487">
        <f>'FINANCIAL RATIOS'!F67</f>
        <v>6.2767489162796897E-2</v>
      </c>
      <c r="G103" s="493">
        <f>'FINANCIAL RATIOS'!G67</f>
        <v>0</v>
      </c>
    </row>
    <row r="104" spans="2:7" ht="15" x14ac:dyDescent="0.2">
      <c r="B104" s="492" t="str">
        <f>'FINANCIAL RATIOS'!B74</f>
        <v>Times Interest Earned = EBIT / Interest Expenses</v>
      </c>
      <c r="C104" s="488">
        <f>'FINANCIAL RATIOS'!C75</f>
        <v>-454.82464574898785</v>
      </c>
      <c r="D104" s="488">
        <f>'FINANCIAL RATIOS'!D75</f>
        <v>124.223641922082</v>
      </c>
      <c r="E104" s="488">
        <f>'FINANCIAL RATIOS'!E75</f>
        <v>-16.966958228738697</v>
      </c>
      <c r="F104" s="488">
        <f>'FINANCIAL RATIOS'!F75</f>
        <v>-32.625606355108594</v>
      </c>
      <c r="G104" s="494">
        <f>'FINANCIAL RATIOS'!G75</f>
        <v>-38.296066481994472</v>
      </c>
    </row>
    <row r="105" spans="2:7" ht="16" thickBot="1" x14ac:dyDescent="0.25">
      <c r="B105" s="492" t="str">
        <f>'FINANCIAL RATIOS'!B82</f>
        <v>Cash Coverage Ratio = (EBIT+Depreciation) / Interest Expenses</v>
      </c>
      <c r="C105" s="488">
        <f>'FINANCIAL RATIOS'!C83</f>
        <v>-456.12904858299589</v>
      </c>
      <c r="D105" s="488">
        <f>'FINANCIAL RATIOS'!D83</f>
        <v>129.02422199576702</v>
      </c>
      <c r="E105" s="488">
        <f>'FINANCIAL RATIOS'!E83</f>
        <v>-17.565410372892543</v>
      </c>
      <c r="F105" s="488">
        <f>'FINANCIAL RATIOS'!F83</f>
        <v>-33.985092537817962</v>
      </c>
      <c r="G105" s="494">
        <f>'FINANCIAL RATIOS'!G83</f>
        <v>-40.107558369608242</v>
      </c>
    </row>
    <row r="106" spans="2:7" ht="24" thickBot="1" x14ac:dyDescent="0.3">
      <c r="B106" s="519"/>
      <c r="C106" s="512"/>
      <c r="D106" s="512"/>
      <c r="E106" s="512"/>
      <c r="F106" s="512"/>
      <c r="G106" s="512"/>
    </row>
    <row r="107" spans="2:7" ht="16" thickBot="1" x14ac:dyDescent="0.25">
      <c r="B107" s="489" t="s">
        <v>477</v>
      </c>
      <c r="C107" s="517">
        <v>2021</v>
      </c>
      <c r="D107" s="517">
        <v>2022</v>
      </c>
      <c r="E107" s="517">
        <v>2023</v>
      </c>
      <c r="F107" s="517">
        <v>2024</v>
      </c>
      <c r="G107" s="518">
        <v>2025</v>
      </c>
    </row>
    <row r="108" spans="2:7" ht="15" x14ac:dyDescent="0.2">
      <c r="B108" s="490" t="str">
        <f>'FINANCIAL RATIOS'!B93</f>
        <v xml:space="preserve">Assets Turnover Ratio = Sales / Total Assets </v>
      </c>
      <c r="C108" s="497">
        <f>'FINANCIAL RATIOS'!C94</f>
        <v>0.70999428043107926</v>
      </c>
      <c r="D108" s="497">
        <f>'FINANCIAL RATIOS'!D94</f>
        <v>0.76099964970900535</v>
      </c>
      <c r="E108" s="497">
        <f>'FINANCIAL RATIOS'!E94</f>
        <v>0.73710945992792865</v>
      </c>
      <c r="F108" s="497">
        <f>'FINANCIAL RATIOS'!F94</f>
        <v>0.97067270503034742</v>
      </c>
      <c r="G108" s="496">
        <f>'FINANCIAL RATIOS'!G94</f>
        <v>0.83035225441725835</v>
      </c>
    </row>
    <row r="109" spans="2:7" ht="15" x14ac:dyDescent="0.2">
      <c r="B109" s="492" t="str">
        <f>'FINANCIAL RATIOS'!B100</f>
        <v>Inventory Turnover = COGS / Inventories</v>
      </c>
      <c r="C109" s="488">
        <f>'FINANCIAL RATIOS'!C101</f>
        <v>4.1001269050504163</v>
      </c>
      <c r="D109" s="488">
        <f>'FINANCIAL RATIOS'!D101</f>
        <v>3.352264942055148</v>
      </c>
      <c r="E109" s="488">
        <f>'FINANCIAL RATIOS'!E101</f>
        <v>3.4443075294984795</v>
      </c>
      <c r="F109" s="488">
        <f>'FINANCIAL RATIOS'!F101</f>
        <v>4.6720910261332484</v>
      </c>
      <c r="G109" s="494">
        <f>'FINANCIAL RATIOS'!G101</f>
        <v>4.5798432511320959</v>
      </c>
    </row>
    <row r="110" spans="2:7" ht="15" x14ac:dyDescent="0.2">
      <c r="B110" s="492" t="str">
        <f>'FINANCIAL RATIOS'!B107</f>
        <v>Days Sales in Inventory = 365 / Inventory Turnover</v>
      </c>
      <c r="C110" s="488">
        <f>'FINANCIAL RATIOS'!C108</f>
        <v>89.021634806084577</v>
      </c>
      <c r="D110" s="488">
        <f>'FINANCIAL RATIOS'!D108</f>
        <v>108.88160879558409</v>
      </c>
      <c r="E110" s="488">
        <f>'FINANCIAL RATIOS'!E108</f>
        <v>105.97195426772682</v>
      </c>
      <c r="F110" s="488">
        <f>'FINANCIAL RATIOS'!F108</f>
        <v>78.123477894240452</v>
      </c>
      <c r="G110" s="494">
        <f>'FINANCIAL RATIOS'!G108</f>
        <v>79.69705074726636</v>
      </c>
    </row>
    <row r="111" spans="2:7" ht="15" x14ac:dyDescent="0.2">
      <c r="B111" s="492" t="str">
        <f>'FINANCIAL RATIOS'!B114</f>
        <v xml:space="preserve">Receivables Turnover = Sales / Accounts Receivables </v>
      </c>
      <c r="C111" s="488">
        <f>'FINANCIAL RATIOS'!C115</f>
        <v>6.1800062008034278</v>
      </c>
      <c r="D111" s="488">
        <f>'FINANCIAL RATIOS'!D115</f>
        <v>6.2104225238461215</v>
      </c>
      <c r="E111" s="488">
        <f>'FINANCIAL RATIOS'!E115</f>
        <v>5.9801024151481954</v>
      </c>
      <c r="F111" s="488">
        <f>'FINANCIAL RATIOS'!F115</f>
        <v>6.1332898401009786</v>
      </c>
      <c r="G111" s="494">
        <f>'FINANCIAL RATIOS'!G115</f>
        <v>5.1260654655664277</v>
      </c>
    </row>
    <row r="112" spans="2:7" ht="15" x14ac:dyDescent="0.2">
      <c r="B112" s="502" t="str">
        <f>'FINANCIAL RATIOS'!B121</f>
        <v>Days Sales in Receivables = 365 / Receivables Turnover</v>
      </c>
      <c r="C112" s="508">
        <f>'FINANCIAL RATIOS'!C122</f>
        <v>59.061429412894185</v>
      </c>
      <c r="D112" s="508">
        <f>'FINANCIAL RATIOS'!D122</f>
        <v>58.772168656562691</v>
      </c>
      <c r="E112" s="508">
        <f>'FINANCIAL RATIOS'!E122</f>
        <v>61.035743982480739</v>
      </c>
      <c r="F112" s="508">
        <f>'FINANCIAL RATIOS'!F122</f>
        <v>59.51129157691831</v>
      </c>
      <c r="G112" s="509">
        <f>'FINANCIAL RATIOS'!G122</f>
        <v>71.204709040848684</v>
      </c>
    </row>
    <row r="113" spans="2:7" ht="16" thickBot="1" x14ac:dyDescent="0.25">
      <c r="B113" s="502" t="str">
        <f>'FINANCIAL RATIOS'!B128</f>
        <v>Operating Cycle = Days Sales in Inventory + Days Sales in Receivables</v>
      </c>
      <c r="C113" s="508">
        <f>'FINANCIAL RATIOS'!C129</f>
        <v>148.08306421897876</v>
      </c>
      <c r="D113" s="508">
        <f>'FINANCIAL RATIOS'!D129</f>
        <v>167.65377745214678</v>
      </c>
      <c r="E113" s="508">
        <f>'FINANCIAL RATIOS'!E129</f>
        <v>167.00769825020757</v>
      </c>
      <c r="F113" s="508">
        <f>'FINANCIAL RATIOS'!F129</f>
        <v>137.63476947115876</v>
      </c>
      <c r="G113" s="509">
        <f>'FINANCIAL RATIOS'!G129</f>
        <v>150.90175978811504</v>
      </c>
    </row>
    <row r="114" spans="2:7" ht="24" thickBot="1" x14ac:dyDescent="0.3">
      <c r="B114" s="520"/>
      <c r="C114" s="510"/>
      <c r="D114" s="510"/>
      <c r="E114" s="510"/>
      <c r="F114" s="510"/>
      <c r="G114" s="510"/>
    </row>
    <row r="115" spans="2:7" ht="16" thickBot="1" x14ac:dyDescent="0.25">
      <c r="B115" s="501" t="s">
        <v>167</v>
      </c>
      <c r="C115" s="515">
        <v>2021</v>
      </c>
      <c r="D115" s="515">
        <v>2022</v>
      </c>
      <c r="E115" s="515">
        <v>2023</v>
      </c>
      <c r="F115" s="515">
        <v>2024</v>
      </c>
      <c r="G115" s="516">
        <v>2025</v>
      </c>
    </row>
    <row r="116" spans="2:7" ht="15" x14ac:dyDescent="0.2">
      <c r="B116" s="503" t="str">
        <f>'FINANCIAL RATIOS'!B139</f>
        <v xml:space="preserve">Gross Profit Margin = Gross Profits / Sales </v>
      </c>
      <c r="C116" s="510">
        <f>'FINANCIAL RATIOS'!C140</f>
        <v>0.56096652946789882</v>
      </c>
      <c r="D116" s="510">
        <f>'FINANCIAL RATIOS'!D140</f>
        <v>0.50301724752616439</v>
      </c>
      <c r="E116" s="510">
        <f>'FINANCIAL RATIOS'!E140</f>
        <v>0.53139939106672851</v>
      </c>
      <c r="F116" s="510">
        <f>'FINANCIAL RATIOS'!F140</f>
        <v>0.54037571724725997</v>
      </c>
      <c r="G116" s="511">
        <f>'FINANCIAL RATIOS'!G140</f>
        <v>0.55847642182147517</v>
      </c>
    </row>
    <row r="117" spans="2:7" ht="15" x14ac:dyDescent="0.2">
      <c r="B117" s="502" t="str">
        <f>'FINANCIAL RATIOS'!B147</f>
        <v>Operating Profit Margin = Operating Profits / Sales</v>
      </c>
      <c r="C117" s="508">
        <f>'FINANCIAL RATIOS'!C148</f>
        <v>0.32437336592225147</v>
      </c>
      <c r="D117" s="508">
        <f>'FINANCIAL RATIOS'!D148</f>
        <v>0.25110258990183881</v>
      </c>
      <c r="E117" s="508">
        <f>'FINANCIAL RATIOS'!E148</f>
        <v>0.27357809711363834</v>
      </c>
      <c r="F117" s="508">
        <f>'FINANCIAL RATIOS'!F148</f>
        <v>0.25762297721691846</v>
      </c>
      <c r="G117" s="509">
        <f>'FINANCIAL RATIOS'!G148</f>
        <v>0.29168723791625212</v>
      </c>
    </row>
    <row r="118" spans="2:7" ht="15" x14ac:dyDescent="0.2">
      <c r="B118" s="504" t="str">
        <f>'FINANCIAL RATIOS'!B155</f>
        <v xml:space="preserve">Net Profit Margin = Net Income / Sales </v>
      </c>
      <c r="C118" s="508">
        <f>'FINANCIAL RATIOS'!C156</f>
        <v>0.24858103221018985</v>
      </c>
      <c r="D118" s="508">
        <f>'FINANCIAL RATIOS'!D156</f>
        <v>0.18881549029083908</v>
      </c>
      <c r="E118" s="508">
        <f>'FINANCIAL RATIOS'!E156</f>
        <v>0.22842882807025797</v>
      </c>
      <c r="F118" s="508">
        <f>'FINANCIAL RATIOS'!F156</f>
        <v>0.20140218978209348</v>
      </c>
      <c r="G118" s="509">
        <f>'FINANCIAL RATIOS'!G156</f>
        <v>0.22972669444704671</v>
      </c>
    </row>
    <row r="119" spans="2:7" ht="15" x14ac:dyDescent="0.2">
      <c r="B119" s="505" t="str">
        <f>'FINANCIAL RATIOS'!B163</f>
        <v xml:space="preserve">Return on Assets (ROA) = Net Income / Total Assets </v>
      </c>
      <c r="C119" s="508">
        <f>'FINANCIAL RATIOS'!C164</f>
        <v>0.17649111109288868</v>
      </c>
      <c r="D119" s="508">
        <f>'FINANCIAL RATIOS'!D164</f>
        <v>0.14368852197096263</v>
      </c>
      <c r="E119" s="508">
        <f>'FINANCIAL RATIOS'!E164</f>
        <v>0.16837705009083753</v>
      </c>
      <c r="F119" s="508">
        <f>'FINANCIAL RATIOS'!F164</f>
        <v>0.19549560835482005</v>
      </c>
      <c r="G119" s="509">
        <f>'FINANCIAL RATIOS'!G164</f>
        <v>0.1907540786339299</v>
      </c>
    </row>
    <row r="120" spans="2:7" ht="15" x14ac:dyDescent="0.2">
      <c r="B120" s="505" t="str">
        <f>'FINANCIAL RATIOS'!B170</f>
        <v>Return on Equity (ROE) -based  on BV of equity = Net Income / Total Equity</v>
      </c>
      <c r="C120" s="508">
        <f>'FINANCIAL RATIOS'!C171</f>
        <v>0.20975868405291898</v>
      </c>
      <c r="D120" s="508">
        <f>'FINANCIAL RATIOS'!D171</f>
        <v>0.16962520218743207</v>
      </c>
      <c r="E120" s="508">
        <f>'FINANCIAL RATIOS'!E171</f>
        <v>0.19820619039795134</v>
      </c>
      <c r="F120" s="508">
        <f>'FINANCIAL RATIOS'!F171</f>
        <v>0.25329295545710617</v>
      </c>
      <c r="G120" s="509">
        <f>'FINANCIAL RATIOS'!G171</f>
        <v>0.23084650697567821</v>
      </c>
    </row>
    <row r="121" spans="2:7" ht="16" thickBot="1" x14ac:dyDescent="0.25">
      <c r="B121" s="502" t="str">
        <f>'FINANCIAL RATIOS'!B178</f>
        <v xml:space="preserve">Return on Equity (ROE) - based on MV of equity = Net Income / Market Value of Equity </v>
      </c>
      <c r="C121" s="508">
        <f>'FINANCIAL RATIOS'!C179</f>
        <v>6.2025943209951917E-2</v>
      </c>
      <c r="D121" s="508">
        <f>'FINANCIAL RATIOS'!D179</f>
        <v>5.1411243873357972E-2</v>
      </c>
      <c r="E121" s="508">
        <f>'FINANCIAL RATIOS'!E179</f>
        <v>3.5475519449384561E-2</v>
      </c>
      <c r="F121" s="508">
        <f>'FINANCIAL RATIOS'!F179</f>
        <v>2.7312527363693731E-2</v>
      </c>
      <c r="G121" s="509">
        <f>'FINANCIAL RATIOS'!G179</f>
        <v>2.4715353729543796E-2</v>
      </c>
    </row>
    <row r="122" spans="2:7" ht="24" thickBot="1" x14ac:dyDescent="0.3">
      <c r="B122" s="519"/>
      <c r="C122" s="510"/>
      <c r="D122" s="510"/>
      <c r="E122" s="510"/>
      <c r="F122" s="510"/>
      <c r="G122" s="510"/>
    </row>
    <row r="123" spans="2:7" ht="16" thickBot="1" x14ac:dyDescent="0.25">
      <c r="B123" s="501" t="s">
        <v>174</v>
      </c>
      <c r="C123" s="515">
        <v>2021</v>
      </c>
      <c r="D123" s="515">
        <v>2022</v>
      </c>
      <c r="E123" s="515">
        <v>2023</v>
      </c>
      <c r="F123" s="515">
        <v>2024</v>
      </c>
      <c r="G123" s="516">
        <v>2025</v>
      </c>
    </row>
    <row r="124" spans="2:7" ht="15" x14ac:dyDescent="0.2">
      <c r="B124" s="503" t="str">
        <f>'FINANCIAL RATIOS'!B189</f>
        <v xml:space="preserve">Earnings Per Share (EPS) = Net Income / Number of shares outstanding </v>
      </c>
      <c r="C124" s="510">
        <f>'FINANCIAL RATIOS'!C190</f>
        <v>2.6050896148179805</v>
      </c>
      <c r="D124" s="510">
        <f>'FINANCIAL RATIOS'!D190</f>
        <v>2.2620947304277506</v>
      </c>
      <c r="E124" s="510">
        <f>'FINANCIAL RATIOS'!E190</f>
        <v>1.5609228557729209</v>
      </c>
      <c r="F124" s="510">
        <f>'FINANCIAL RATIOS'!F190</f>
        <v>1.5021890050031552</v>
      </c>
      <c r="G124" s="511">
        <f>'FINANCIAL RATIOS'!G190</f>
        <v>1.9525129446339597</v>
      </c>
    </row>
    <row r="125" spans="2:7" ht="15" x14ac:dyDescent="0.2">
      <c r="B125" s="502" t="str">
        <f>'FINANCIAL RATIOS'!B196</f>
        <v>Price-Earnings Ratio (P/E Ratio) = Price per share / EPS</v>
      </c>
      <c r="C125" s="508">
        <f>'FINANCIAL RATIOS'!C197</f>
        <v>16.122286066897768</v>
      </c>
      <c r="D125" s="508">
        <f>'FINANCIAL RATIOS'!D197</f>
        <v>19.450997965801292</v>
      </c>
      <c r="E125" s="508">
        <f>'FINANCIAL RATIOS'!E197</f>
        <v>28.188452643428402</v>
      </c>
      <c r="F125" s="508">
        <f>'FINANCIAL RATIOS'!F197</f>
        <v>36.613235629350434</v>
      </c>
      <c r="G125" s="509">
        <f>'FINANCIAL RATIOS'!G197</f>
        <v>40.460679258036997</v>
      </c>
    </row>
    <row r="126" spans="2:7" ht="15" x14ac:dyDescent="0.2">
      <c r="B126" s="506" t="str">
        <f>'FINANCIAL RATIOS'!B203</f>
        <v>Market-to-Book Ratio = Market Value of Equity / Book Value of Equity</v>
      </c>
      <c r="C126" s="508">
        <f>'FINANCIAL RATIOS'!C204</f>
        <v>3.3817895093171866</v>
      </c>
      <c r="D126" s="508">
        <f>'FINANCIAL RATIOS'!D204</f>
        <v>3.2993794626963737</v>
      </c>
      <c r="E126" s="508">
        <f>'FINANCIAL RATIOS'!E204</f>
        <v>5.5871258116670051</v>
      </c>
      <c r="F126" s="508">
        <f>'FINANCIAL RATIOS'!F204</f>
        <v>9.2738746614055909</v>
      </c>
      <c r="G126" s="509">
        <f>'FINANCIAL RATIOS'!G204</f>
        <v>9.3402064765811161</v>
      </c>
    </row>
    <row r="127" spans="2:7" ht="16" thickBot="1" x14ac:dyDescent="0.25">
      <c r="B127" s="507" t="str">
        <f>'FINANCIAL RATIOS'!J21</f>
        <v>Free Cash Flow = Operating Cash Flow + Capital Expenditure</v>
      </c>
      <c r="C127" s="513">
        <f>'FINANCIAL RATIOS'!K23</f>
        <v>0</v>
      </c>
      <c r="D127" s="513">
        <f>'FINANCIAL RATIOS'!L23</f>
        <v>0</v>
      </c>
      <c r="E127" s="513">
        <f>'FINANCIAL RATIOS'!M23</f>
        <v>0</v>
      </c>
      <c r="F127" s="513">
        <f>'FINANCIAL RATIOS'!N23</f>
        <v>0</v>
      </c>
      <c r="G127" s="514">
        <f>'FINANCIAL RATIOS'!O23</f>
        <v>0</v>
      </c>
    </row>
    <row r="128" spans="2:7" ht="23" x14ac:dyDescent="0.25"/>
    <row r="129" ht="23" x14ac:dyDescent="0.25"/>
  </sheetData>
  <mergeCells count="17">
    <mergeCell ref="U44:V44"/>
    <mergeCell ref="B1:V1"/>
    <mergeCell ref="B2:V2"/>
    <mergeCell ref="B3:V3"/>
    <mergeCell ref="U4:V4"/>
    <mergeCell ref="J6:N6"/>
    <mergeCell ref="Q6:U6"/>
    <mergeCell ref="J7:N7"/>
    <mergeCell ref="Q7:U7"/>
    <mergeCell ref="B41:V41"/>
    <mergeCell ref="B42:V42"/>
    <mergeCell ref="B43:V43"/>
    <mergeCell ref="U46:V46"/>
    <mergeCell ref="J47:N47"/>
    <mergeCell ref="Q47:U47"/>
    <mergeCell ref="J48:N48"/>
    <mergeCell ref="Q48:U48"/>
  </mergeCells>
  <pageMargins left="0.7" right="0.7" top="0.75" bottom="0.75" header="0.3" footer="0.3"/>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24F6-2DAD-3E4C-B46E-6A09A5630ADF}">
  <dimension ref="B2:O38"/>
  <sheetViews>
    <sheetView topLeftCell="A2" zoomScale="135" workbookViewId="0">
      <selection activeCell="C28" sqref="C28"/>
    </sheetView>
  </sheetViews>
  <sheetFormatPr baseColWidth="10" defaultColWidth="11.5" defaultRowHeight="15" x14ac:dyDescent="0.2"/>
  <cols>
    <col min="2" max="2" width="33.1640625" customWidth="1"/>
    <col min="3" max="3" width="18" customWidth="1"/>
    <col min="9" max="9" width="34.6640625" customWidth="1"/>
  </cols>
  <sheetData>
    <row r="2" spans="2:15" x14ac:dyDescent="0.2">
      <c r="I2" s="136" t="s">
        <v>76</v>
      </c>
      <c r="J2" s="634" t="s">
        <v>77</v>
      </c>
      <c r="K2" s="634" t="s">
        <v>78</v>
      </c>
      <c r="L2" s="634" t="s">
        <v>79</v>
      </c>
      <c r="M2" s="634" t="s">
        <v>80</v>
      </c>
      <c r="N2" s="634" t="s">
        <v>81</v>
      </c>
      <c r="O2" s="634" t="s">
        <v>82</v>
      </c>
    </row>
    <row r="3" spans="2:15" x14ac:dyDescent="0.2">
      <c r="I3" s="136" t="s">
        <v>83</v>
      </c>
      <c r="J3" s="634"/>
      <c r="K3" s="634"/>
      <c r="L3" s="634"/>
      <c r="M3" s="634"/>
      <c r="N3" s="634"/>
      <c r="O3" s="634"/>
    </row>
    <row r="4" spans="2:15" x14ac:dyDescent="0.2">
      <c r="I4" s="137" t="s">
        <v>84</v>
      </c>
      <c r="J4" s="138"/>
      <c r="K4" s="138"/>
      <c r="L4" s="138"/>
      <c r="M4" s="138"/>
      <c r="N4" s="138"/>
      <c r="O4" s="138"/>
    </row>
    <row r="5" spans="2:15" x14ac:dyDescent="0.2">
      <c r="I5" s="137" t="s">
        <v>85</v>
      </c>
      <c r="J5" s="139">
        <v>2088117</v>
      </c>
      <c r="K5" s="139">
        <v>1533287</v>
      </c>
      <c r="L5" s="139">
        <v>2297675</v>
      </c>
      <c r="M5" s="139">
        <v>1307141</v>
      </c>
      <c r="N5" s="139">
        <v>1326462</v>
      </c>
      <c r="O5" s="139">
        <v>1180413</v>
      </c>
    </row>
    <row r="6" spans="2:15" x14ac:dyDescent="0.2">
      <c r="B6" s="136" t="s">
        <v>86</v>
      </c>
      <c r="C6" s="634" t="s">
        <v>87</v>
      </c>
      <c r="I6" s="137" t="s">
        <v>88</v>
      </c>
      <c r="J6" s="140">
        <v>677084</v>
      </c>
      <c r="K6" s="138">
        <v>0</v>
      </c>
      <c r="L6" s="140">
        <v>955605</v>
      </c>
      <c r="M6" s="140">
        <v>1362314</v>
      </c>
      <c r="N6" s="140">
        <v>1749727</v>
      </c>
      <c r="O6" s="140">
        <v>881354</v>
      </c>
    </row>
    <row r="7" spans="2:15" x14ac:dyDescent="0.2">
      <c r="B7" s="136" t="s">
        <v>89</v>
      </c>
      <c r="C7" s="634"/>
      <c r="I7" s="137" t="s">
        <v>90</v>
      </c>
      <c r="J7" s="140">
        <v>1618072</v>
      </c>
      <c r="K7" s="140">
        <v>1221646</v>
      </c>
      <c r="L7" s="140">
        <v>1193964</v>
      </c>
      <c r="M7" s="140">
        <v>1016203</v>
      </c>
      <c r="N7" s="140">
        <v>896658</v>
      </c>
      <c r="O7" s="140">
        <v>666012</v>
      </c>
    </row>
    <row r="8" spans="2:15" x14ac:dyDescent="0.2">
      <c r="B8" s="136" t="s">
        <v>77</v>
      </c>
      <c r="C8" s="136" t="s">
        <v>77</v>
      </c>
      <c r="D8" s="136" t="s">
        <v>78</v>
      </c>
      <c r="E8" s="136" t="s">
        <v>79</v>
      </c>
      <c r="F8" s="136" t="s">
        <v>80</v>
      </c>
      <c r="G8" s="136" t="s">
        <v>81</v>
      </c>
      <c r="I8" s="137" t="s">
        <v>91</v>
      </c>
      <c r="J8" s="140">
        <v>799623</v>
      </c>
      <c r="K8" s="140">
        <v>737107</v>
      </c>
      <c r="L8" s="140">
        <v>971406</v>
      </c>
      <c r="M8" s="140">
        <v>935631</v>
      </c>
      <c r="N8" s="140">
        <v>593357</v>
      </c>
      <c r="O8" s="140">
        <v>333085</v>
      </c>
    </row>
    <row r="9" spans="2:15" x14ac:dyDescent="0.2">
      <c r="B9" s="137" t="s">
        <v>92</v>
      </c>
      <c r="C9" s="138"/>
      <c r="D9" s="138"/>
      <c r="E9" s="138"/>
      <c r="F9" s="138"/>
      <c r="G9" s="138"/>
      <c r="I9" s="137" t="s">
        <v>93</v>
      </c>
      <c r="J9" s="140">
        <v>103551</v>
      </c>
      <c r="K9" s="140">
        <v>107262</v>
      </c>
      <c r="L9" s="140">
        <v>116195</v>
      </c>
      <c r="M9" s="140">
        <v>109823</v>
      </c>
      <c r="N9" s="140">
        <v>82668</v>
      </c>
      <c r="O9" s="140">
        <v>55358</v>
      </c>
    </row>
    <row r="10" spans="2:15" x14ac:dyDescent="0.2">
      <c r="B10" s="137" t="s">
        <v>94</v>
      </c>
      <c r="C10" s="139">
        <v>8294343</v>
      </c>
      <c r="D10" s="139">
        <v>7492709</v>
      </c>
      <c r="E10" s="139">
        <v>7140027</v>
      </c>
      <c r="F10" s="139">
        <v>6311050</v>
      </c>
      <c r="G10" s="139">
        <v>5541352</v>
      </c>
      <c r="I10" s="137" t="s">
        <v>45</v>
      </c>
      <c r="J10" s="140">
        <v>74637</v>
      </c>
      <c r="K10" s="140">
        <v>42202</v>
      </c>
      <c r="L10" s="140">
        <v>54151</v>
      </c>
      <c r="M10" s="140">
        <v>33785</v>
      </c>
      <c r="N10" s="140">
        <v>33238</v>
      </c>
      <c r="O10" s="140">
        <v>24733</v>
      </c>
    </row>
    <row r="11" spans="2:15" x14ac:dyDescent="0.2">
      <c r="B11" s="137" t="s">
        <v>95</v>
      </c>
      <c r="C11" s="140">
        <v>3662148</v>
      </c>
      <c r="D11" s="140">
        <v>3443831</v>
      </c>
      <c r="E11" s="140">
        <v>3345821</v>
      </c>
      <c r="F11" s="140">
        <v>3136483</v>
      </c>
      <c r="G11" s="140">
        <v>2432839</v>
      </c>
      <c r="I11" s="137" t="s">
        <v>96</v>
      </c>
      <c r="J11" s="140">
        <v>5361084</v>
      </c>
      <c r="K11" s="140">
        <v>3641504</v>
      </c>
      <c r="L11" s="140">
        <v>5588996</v>
      </c>
      <c r="M11" s="140">
        <v>4764897</v>
      </c>
      <c r="N11" s="140">
        <v>4682110</v>
      </c>
      <c r="O11" s="140">
        <v>3140955</v>
      </c>
    </row>
    <row r="12" spans="2:15" x14ac:dyDescent="0.2">
      <c r="B12" s="137" t="s">
        <v>97</v>
      </c>
      <c r="C12" s="140">
        <v>4632195</v>
      </c>
      <c r="D12" s="140">
        <v>4048878</v>
      </c>
      <c r="E12" s="140">
        <v>3794206</v>
      </c>
      <c r="F12" s="140">
        <v>3174567</v>
      </c>
      <c r="G12" s="140">
        <v>3108513</v>
      </c>
      <c r="I12" s="137" t="s">
        <v>48</v>
      </c>
      <c r="J12" s="140">
        <v>487329</v>
      </c>
      <c r="K12" s="138">
        <v>0</v>
      </c>
      <c r="L12" s="140">
        <v>76431</v>
      </c>
      <c r="M12" s="140">
        <v>61443</v>
      </c>
      <c r="N12" s="140">
        <v>99419</v>
      </c>
      <c r="O12" s="140">
        <v>44291</v>
      </c>
    </row>
    <row r="13" spans="2:15" x14ac:dyDescent="0.2">
      <c r="B13" s="137" t="s">
        <v>98</v>
      </c>
      <c r="C13" s="140">
        <v>2212841</v>
      </c>
      <c r="D13" s="140">
        <v>2118584</v>
      </c>
      <c r="E13" s="140">
        <v>1840851</v>
      </c>
      <c r="F13" s="140">
        <v>1589846</v>
      </c>
      <c r="G13" s="140">
        <v>1311046</v>
      </c>
      <c r="I13" s="137" t="s">
        <v>49</v>
      </c>
      <c r="J13" s="140">
        <v>1081544</v>
      </c>
      <c r="K13" s="140">
        <v>1047024</v>
      </c>
      <c r="L13" s="140">
        <v>890796</v>
      </c>
      <c r="M13" s="140">
        <v>516897</v>
      </c>
      <c r="N13" s="140">
        <v>313753</v>
      </c>
      <c r="O13" s="140">
        <v>314656</v>
      </c>
    </row>
    <row r="14" spans="2:15" x14ac:dyDescent="0.2">
      <c r="B14" s="137" t="s">
        <v>99</v>
      </c>
      <c r="C14" s="140">
        <v>2419354</v>
      </c>
      <c r="D14" s="140">
        <v>1930294</v>
      </c>
      <c r="E14" s="140">
        <v>1953355</v>
      </c>
      <c r="F14" s="140">
        <v>1584721</v>
      </c>
      <c r="G14" s="140">
        <v>1797467</v>
      </c>
      <c r="I14" s="137" t="s">
        <v>50</v>
      </c>
      <c r="J14" s="140">
        <v>188646</v>
      </c>
      <c r="K14" s="140">
        <v>184260</v>
      </c>
      <c r="L14" s="140">
        <v>175003</v>
      </c>
      <c r="M14" s="140">
        <v>177039</v>
      </c>
      <c r="N14" s="140">
        <v>225221</v>
      </c>
      <c r="O14" s="140">
        <v>241650</v>
      </c>
    </row>
    <row r="15" spans="2:15" x14ac:dyDescent="0.2">
      <c r="B15" s="137" t="s">
        <v>100</v>
      </c>
      <c r="C15" s="140">
        <v>63175</v>
      </c>
      <c r="D15" s="140">
        <v>59165</v>
      </c>
      <c r="E15" s="140">
        <v>115127</v>
      </c>
      <c r="F15" s="140">
        <v>-12757</v>
      </c>
      <c r="G15" s="140">
        <v>3952</v>
      </c>
      <c r="I15" s="137" t="s">
        <v>51</v>
      </c>
      <c r="J15" s="140">
        <v>1331643</v>
      </c>
      <c r="K15" s="140">
        <v>1331643</v>
      </c>
      <c r="L15" s="140">
        <v>1417941</v>
      </c>
      <c r="M15" s="140">
        <v>1417941</v>
      </c>
      <c r="N15" s="140">
        <v>1331643</v>
      </c>
      <c r="O15" s="140">
        <v>1331643</v>
      </c>
    </row>
    <row r="16" spans="2:15" x14ac:dyDescent="0.2">
      <c r="B16" s="137" t="s">
        <v>101</v>
      </c>
      <c r="C16" s="140">
        <v>2482529</v>
      </c>
      <c r="D16" s="140">
        <v>1989459</v>
      </c>
      <c r="E16" s="140">
        <v>2068482</v>
      </c>
      <c r="F16" s="140">
        <v>1571964</v>
      </c>
      <c r="G16" s="140">
        <v>1801419</v>
      </c>
      <c r="I16" s="137" t="s">
        <v>52</v>
      </c>
      <c r="J16" s="140">
        <v>1379268</v>
      </c>
      <c r="K16" s="140">
        <v>1414252</v>
      </c>
      <c r="L16" s="140">
        <v>1427139</v>
      </c>
      <c r="M16" s="140">
        <v>1220410</v>
      </c>
      <c r="N16" s="140">
        <v>1072386</v>
      </c>
      <c r="O16" s="140">
        <v>1059046</v>
      </c>
    </row>
    <row r="17" spans="2:15" x14ac:dyDescent="0.2">
      <c r="B17" s="137" t="s">
        <v>102</v>
      </c>
      <c r="C17" s="140">
        <v>577097</v>
      </c>
      <c r="D17" s="140">
        <v>480411</v>
      </c>
      <c r="E17" s="140">
        <v>437494</v>
      </c>
      <c r="F17" s="140">
        <v>380340</v>
      </c>
      <c r="G17" s="140">
        <v>423944</v>
      </c>
      <c r="I17" s="137" t="s">
        <v>53</v>
      </c>
      <c r="J17" s="140">
        <v>159431</v>
      </c>
      <c r="K17" s="140">
        <v>100406</v>
      </c>
      <c r="L17" s="140">
        <v>110216</v>
      </c>
      <c r="M17" s="140">
        <v>134478</v>
      </c>
      <c r="N17" s="140">
        <v>80252</v>
      </c>
      <c r="O17" s="140">
        <v>70475</v>
      </c>
    </row>
    <row r="18" spans="2:15" x14ac:dyDescent="0.2">
      <c r="B18" s="137" t="s">
        <v>103</v>
      </c>
      <c r="C18" s="139">
        <v>1905432</v>
      </c>
      <c r="D18" s="139">
        <v>1509048</v>
      </c>
      <c r="E18" s="139">
        <v>1630988</v>
      </c>
      <c r="F18" s="139">
        <v>1191624</v>
      </c>
      <c r="G18" s="139">
        <v>1377475</v>
      </c>
      <c r="I18" s="137" t="s">
        <v>54</v>
      </c>
      <c r="J18" s="140">
        <v>9988945</v>
      </c>
      <c r="K18" s="140">
        <v>7719089</v>
      </c>
      <c r="L18" s="140">
        <v>9686522</v>
      </c>
      <c r="M18" s="140">
        <v>8293105</v>
      </c>
      <c r="N18" s="140">
        <v>7804784</v>
      </c>
      <c r="O18" s="140">
        <v>6202716</v>
      </c>
    </row>
    <row r="19" spans="2:15" x14ac:dyDescent="0.2">
      <c r="B19" s="137" t="s">
        <v>104</v>
      </c>
      <c r="C19" s="138"/>
      <c r="D19" s="138"/>
      <c r="E19" s="138"/>
      <c r="F19" s="138"/>
      <c r="G19" s="138"/>
      <c r="I19" s="137" t="s">
        <v>105</v>
      </c>
      <c r="J19" s="138"/>
      <c r="K19" s="138"/>
      <c r="L19" s="138"/>
      <c r="M19" s="138"/>
      <c r="N19" s="138"/>
      <c r="O19" s="138"/>
    </row>
    <row r="20" spans="2:15" x14ac:dyDescent="0.2">
      <c r="B20" s="137" t="s">
        <v>106</v>
      </c>
      <c r="C20" s="141">
        <v>1.95</v>
      </c>
      <c r="D20" s="141">
        <v>1.5</v>
      </c>
      <c r="E20" s="141">
        <v>1.56</v>
      </c>
      <c r="F20" s="141">
        <v>2.2599999999999998</v>
      </c>
      <c r="G20" s="141">
        <v>2.61</v>
      </c>
      <c r="I20" s="137" t="s">
        <v>57</v>
      </c>
      <c r="J20" s="140">
        <v>565974</v>
      </c>
      <c r="K20" s="140">
        <v>466775</v>
      </c>
      <c r="L20" s="140">
        <v>564379</v>
      </c>
      <c r="M20" s="140">
        <v>444265</v>
      </c>
      <c r="N20" s="140">
        <v>404263</v>
      </c>
      <c r="O20" s="140">
        <v>296800</v>
      </c>
    </row>
    <row r="21" spans="2:15" x14ac:dyDescent="0.2">
      <c r="B21" s="137" t="s">
        <v>107</v>
      </c>
      <c r="C21" s="141">
        <v>1.94</v>
      </c>
      <c r="D21" s="141">
        <v>1.49</v>
      </c>
      <c r="E21" s="141">
        <v>1.54</v>
      </c>
      <c r="F21" s="141">
        <v>2.23</v>
      </c>
      <c r="G21" s="141">
        <v>2.57</v>
      </c>
      <c r="I21" s="137" t="s">
        <v>58</v>
      </c>
      <c r="J21" s="140">
        <v>306085</v>
      </c>
      <c r="K21" s="140">
        <v>220764</v>
      </c>
      <c r="L21" s="140">
        <v>183988</v>
      </c>
      <c r="M21" s="140">
        <v>172991</v>
      </c>
      <c r="N21" s="140">
        <v>210964</v>
      </c>
      <c r="O21" s="140">
        <v>142653</v>
      </c>
    </row>
    <row r="22" spans="2:15" x14ac:dyDescent="0.2">
      <c r="B22" s="137" t="s">
        <v>108</v>
      </c>
      <c r="C22" s="140">
        <v>975887</v>
      </c>
      <c r="D22" s="140">
        <v>1004566</v>
      </c>
      <c r="E22" s="140">
        <v>1044887</v>
      </c>
      <c r="F22" s="140">
        <v>526779</v>
      </c>
      <c r="G22" s="140">
        <v>528763</v>
      </c>
      <c r="I22" s="137" t="s">
        <v>59</v>
      </c>
      <c r="J22" s="140">
        <v>384070</v>
      </c>
      <c r="K22" s="140">
        <v>267711</v>
      </c>
      <c r="L22" s="140">
        <v>269061</v>
      </c>
      <c r="M22" s="140">
        <v>255631</v>
      </c>
      <c r="N22" s="140">
        <v>211461</v>
      </c>
      <c r="O22" s="140">
        <v>186658</v>
      </c>
    </row>
    <row r="23" spans="2:15" x14ac:dyDescent="0.2">
      <c r="B23" s="137" t="s">
        <v>109</v>
      </c>
      <c r="C23" s="140">
        <v>984451</v>
      </c>
      <c r="D23" s="140">
        <v>1013107</v>
      </c>
      <c r="E23" s="140">
        <v>1057981</v>
      </c>
      <c r="F23" s="140">
        <v>533221</v>
      </c>
      <c r="G23" s="140">
        <v>535639</v>
      </c>
      <c r="I23" s="137" t="s">
        <v>60</v>
      </c>
      <c r="J23" s="140">
        <v>45323</v>
      </c>
      <c r="K23" s="140">
        <v>45809</v>
      </c>
      <c r="L23" s="140">
        <v>41914</v>
      </c>
      <c r="M23" s="140">
        <v>43311</v>
      </c>
      <c r="N23" s="140">
        <v>42530</v>
      </c>
      <c r="O23" s="140">
        <v>45429</v>
      </c>
    </row>
    <row r="24" spans="2:15" x14ac:dyDescent="0.2">
      <c r="B24" s="635"/>
      <c r="C24" s="635"/>
      <c r="D24" s="635"/>
      <c r="E24" s="635"/>
      <c r="F24" s="140"/>
      <c r="G24" s="140"/>
      <c r="I24" s="137" t="s">
        <v>61</v>
      </c>
      <c r="J24" s="140">
        <v>114023</v>
      </c>
      <c r="K24" s="140">
        <v>92454</v>
      </c>
      <c r="L24" s="140">
        <v>87392</v>
      </c>
      <c r="M24" s="140">
        <v>72463</v>
      </c>
      <c r="N24" s="140">
        <v>65459</v>
      </c>
      <c r="O24" s="140">
        <v>55015</v>
      </c>
    </row>
    <row r="25" spans="2:15" x14ac:dyDescent="0.2">
      <c r="B25" s="635"/>
      <c r="C25" s="635"/>
      <c r="D25" s="635"/>
      <c r="E25" s="635"/>
      <c r="I25" s="137" t="s">
        <v>62</v>
      </c>
      <c r="J25" s="140">
        <v>32305</v>
      </c>
      <c r="K25" s="140">
        <v>4006</v>
      </c>
      <c r="L25" s="140">
        <v>14955</v>
      </c>
      <c r="M25" s="140">
        <v>13317</v>
      </c>
      <c r="N25" s="140">
        <v>30399</v>
      </c>
      <c r="O25" s="140">
        <v>23433</v>
      </c>
    </row>
    <row r="26" spans="2:15" x14ac:dyDescent="0.2">
      <c r="I26" s="137" t="s">
        <v>110</v>
      </c>
      <c r="J26" s="140">
        <v>1447780</v>
      </c>
      <c r="K26" s="140">
        <v>1097519</v>
      </c>
      <c r="L26" s="140">
        <v>1161689</v>
      </c>
      <c r="M26" s="140">
        <v>1001978</v>
      </c>
      <c r="N26" s="140">
        <v>965076</v>
      </c>
      <c r="O26" s="140">
        <v>749988</v>
      </c>
    </row>
    <row r="27" spans="2:15" x14ac:dyDescent="0.2">
      <c r="I27" s="137" t="s">
        <v>64</v>
      </c>
      <c r="J27" s="140">
        <v>159991</v>
      </c>
      <c r="K27" s="140">
        <v>179008</v>
      </c>
      <c r="L27" s="140">
        <v>204251</v>
      </c>
      <c r="M27" s="140">
        <v>223800</v>
      </c>
      <c r="N27" s="140">
        <v>243249</v>
      </c>
      <c r="O27" s="140">
        <v>264436</v>
      </c>
    </row>
    <row r="28" spans="2:15" x14ac:dyDescent="0.2">
      <c r="I28" s="137" t="s">
        <v>65</v>
      </c>
      <c r="J28" s="140">
        <v>127066</v>
      </c>
      <c r="K28" s="140">
        <v>110893</v>
      </c>
      <c r="L28" s="140">
        <v>91838</v>
      </c>
      <c r="M28" s="140">
        <v>42286</v>
      </c>
      <c r="N28" s="140">
        <v>29508</v>
      </c>
      <c r="O28" s="140">
        <v>27432</v>
      </c>
    </row>
    <row r="29" spans="2:15" x14ac:dyDescent="0.2">
      <c r="I29" s="137" t="s">
        <v>66</v>
      </c>
      <c r="J29" s="138"/>
      <c r="K29" s="140">
        <v>373951</v>
      </c>
      <c r="L29" s="138"/>
      <c r="M29" s="138"/>
      <c r="N29" s="138"/>
      <c r="O29" s="138"/>
    </row>
    <row r="30" spans="2:15" x14ac:dyDescent="0.2">
      <c r="I30" s="137" t="s">
        <v>111</v>
      </c>
      <c r="J30" s="138"/>
      <c r="K30" s="138"/>
      <c r="L30" s="138"/>
      <c r="M30" s="138"/>
      <c r="N30" s="138"/>
      <c r="O30" s="138"/>
    </row>
    <row r="31" spans="2:15" x14ac:dyDescent="0.2">
      <c r="I31" s="137" t="s">
        <v>112</v>
      </c>
      <c r="J31" s="138"/>
      <c r="K31" s="138"/>
      <c r="L31" s="138"/>
      <c r="M31" s="138"/>
      <c r="N31" s="138"/>
      <c r="O31" s="138"/>
    </row>
    <row r="32" spans="2:15" x14ac:dyDescent="0.2">
      <c r="I32" s="137" t="s">
        <v>69</v>
      </c>
      <c r="J32" s="140">
        <v>5665</v>
      </c>
      <c r="K32" s="140">
        <v>5632</v>
      </c>
      <c r="L32" s="140">
        <v>5613</v>
      </c>
      <c r="M32" s="140">
        <v>3209</v>
      </c>
      <c r="N32" s="140">
        <v>3200</v>
      </c>
      <c r="O32" s="140">
        <v>3193</v>
      </c>
    </row>
    <row r="33" spans="9:15" x14ac:dyDescent="0.2">
      <c r="I33" s="137" t="s">
        <v>70</v>
      </c>
      <c r="J33" s="140">
        <v>5430847</v>
      </c>
      <c r="K33" s="140">
        <v>5144922</v>
      </c>
      <c r="L33" s="140">
        <v>4975115</v>
      </c>
      <c r="M33" s="140">
        <v>4780013</v>
      </c>
      <c r="N33" s="140">
        <v>4652620</v>
      </c>
      <c r="O33" s="140">
        <v>4537982</v>
      </c>
    </row>
    <row r="34" spans="9:15" x14ac:dyDescent="0.2">
      <c r="I34" s="137" t="s">
        <v>71</v>
      </c>
      <c r="J34" s="140">
        <v>9354216</v>
      </c>
      <c r="K34" s="140">
        <v>7448784</v>
      </c>
      <c r="L34" s="140">
        <v>5939736</v>
      </c>
      <c r="M34" s="140">
        <v>9001173</v>
      </c>
      <c r="N34" s="140">
        <v>7809549</v>
      </c>
      <c r="O34" s="140">
        <v>6432074</v>
      </c>
    </row>
    <row r="35" spans="9:15" x14ac:dyDescent="0.2">
      <c r="I35" s="137" t="s">
        <v>72</v>
      </c>
      <c r="J35" s="140">
        <v>-60841</v>
      </c>
      <c r="K35" s="140">
        <v>-269487</v>
      </c>
      <c r="L35" s="140">
        <v>-125337</v>
      </c>
      <c r="M35" s="140">
        <v>-159073</v>
      </c>
      <c r="N35" s="140">
        <v>-69165</v>
      </c>
      <c r="O35" s="140">
        <v>3034</v>
      </c>
    </row>
    <row r="36" spans="9:15" x14ac:dyDescent="0.2">
      <c r="I36" s="137" t="s">
        <v>73</v>
      </c>
      <c r="J36" s="140">
        <v>-6475779</v>
      </c>
      <c r="K36" s="140">
        <v>-6372133</v>
      </c>
      <c r="L36" s="140">
        <v>-2566383</v>
      </c>
      <c r="M36" s="140">
        <v>-6600281</v>
      </c>
      <c r="N36" s="140">
        <v>-5829253</v>
      </c>
      <c r="O36" s="140">
        <v>-5815423</v>
      </c>
    </row>
    <row r="37" spans="9:15" x14ac:dyDescent="0.2">
      <c r="I37" s="137" t="s">
        <v>113</v>
      </c>
      <c r="J37" s="140">
        <v>8254108</v>
      </c>
      <c r="K37" s="140">
        <v>5957718</v>
      </c>
      <c r="L37" s="140">
        <v>8228744</v>
      </c>
      <c r="M37" s="140">
        <v>7025041</v>
      </c>
      <c r="N37" s="140">
        <v>6566951</v>
      </c>
      <c r="O37" s="140">
        <v>5160860</v>
      </c>
    </row>
    <row r="38" spans="9:15" x14ac:dyDescent="0.2">
      <c r="I38" s="137" t="s">
        <v>114</v>
      </c>
      <c r="J38" s="139">
        <v>9988945</v>
      </c>
      <c r="K38" s="139">
        <v>7719089</v>
      </c>
      <c r="L38" s="139">
        <v>9686522</v>
      </c>
      <c r="M38" s="139">
        <v>8293105</v>
      </c>
      <c r="N38" s="139">
        <v>7804784</v>
      </c>
      <c r="O38" s="139">
        <v>6202716</v>
      </c>
    </row>
  </sheetData>
  <mergeCells count="9">
    <mergeCell ref="O2:O3"/>
    <mergeCell ref="C6:C7"/>
    <mergeCell ref="B24:E24"/>
    <mergeCell ref="B25:E25"/>
    <mergeCell ref="J2:J3"/>
    <mergeCell ref="K2:K3"/>
    <mergeCell ref="L2:L3"/>
    <mergeCell ref="M2:M3"/>
    <mergeCell ref="N2:N3"/>
  </mergeCells>
  <hyperlinks>
    <hyperlink ref="B9" r:id="rId1" display="javascript:void(0);" xr:uid="{1A32F99D-3CAB-6B45-B190-D77D21051EC1}"/>
    <hyperlink ref="B10" r:id="rId2" display="javascript:void(0);" xr:uid="{C6148DF0-E5FA-3A48-98ED-D12A3BC8D5B8}"/>
    <hyperlink ref="B11" r:id="rId3" display="javascript:void(0);" xr:uid="{CBB6F730-CDD4-D34E-9C0C-3DE8E8335D2B}"/>
    <hyperlink ref="B12" r:id="rId4" display="javascript:void(0);" xr:uid="{54BE8D3A-A1BB-B544-90C9-8A0A85AE110D}"/>
    <hyperlink ref="B13" r:id="rId5" display="javascript:void(0);" xr:uid="{E5F3AF4A-CA38-F541-ACBE-8D4279C86182}"/>
    <hyperlink ref="B14" r:id="rId6" display="javascript:void(0);" xr:uid="{FD3B6756-228C-4C4B-9894-FC30DC6A585D}"/>
    <hyperlink ref="B15" r:id="rId7" display="javascript:void(0);" xr:uid="{B43CBBCD-6321-7142-98B8-810C62DD7B18}"/>
    <hyperlink ref="B16" r:id="rId8" display="javascript:void(0);" xr:uid="{11F55AD9-3056-9340-BEC0-02B624FB8402}"/>
    <hyperlink ref="B17" r:id="rId9" display="javascript:void(0);" xr:uid="{D8A45560-A7BD-3141-8135-7B3E65D32C4D}"/>
    <hyperlink ref="B18" r:id="rId10" display="javascript:void(0);" xr:uid="{856440A1-A762-8A4F-A3B7-67741840837B}"/>
    <hyperlink ref="B19" r:id="rId11" display="javascript:void(0);" xr:uid="{9A9E3F90-AB3E-BB4A-852B-7E1D8FF432E0}"/>
    <hyperlink ref="B20" r:id="rId12" display="javascript:void(0);" xr:uid="{62640928-B44B-8A42-B7F6-46985B1D67C3}"/>
    <hyperlink ref="B21" r:id="rId13" display="javascript:void(0);" xr:uid="{6583B200-6AC9-5B41-9A85-A5E94F03AB7A}"/>
    <hyperlink ref="B22" r:id="rId14" display="javascript:void(0);" xr:uid="{39C27C14-1CDD-BE49-B1DE-12928BB14F21}"/>
    <hyperlink ref="B23" r:id="rId15" display="javascript:void(0);" xr:uid="{BBCC14A8-0566-3B42-994E-F384C2ABF296}"/>
    <hyperlink ref="I4" r:id="rId16" display="javascript:void(0);" xr:uid="{AD29C3E6-55C5-0143-B8A9-BDA34E767A55}"/>
    <hyperlink ref="I5" r:id="rId17" display="javascript:void(0);" xr:uid="{D25002C7-3F1B-7D40-AEAE-19BFE33A0C3B}"/>
    <hyperlink ref="I6" r:id="rId18" display="javascript:void(0);" xr:uid="{11577AD4-813E-2F48-ADEB-9CB562E5D479}"/>
    <hyperlink ref="I7" r:id="rId19" display="javascript:void(0);" xr:uid="{99D28631-7021-7C4C-B46C-B904A571C2A3}"/>
    <hyperlink ref="I8" r:id="rId20" display="javascript:void(0);" xr:uid="{F5FD204B-9646-CD4E-9151-9B9B390D8DE2}"/>
    <hyperlink ref="I9" r:id="rId21" display="javascript:void(0);" xr:uid="{C98051C9-5FDF-A047-9D8F-427C1CAF4F6A}"/>
    <hyperlink ref="I10" r:id="rId22" display="javascript:void(0);" xr:uid="{41CA8A98-D80F-A043-8CBC-E3D2CC5AC7C3}"/>
    <hyperlink ref="I11" r:id="rId23" display="javascript:void(0);" xr:uid="{DEEC1927-E1A8-594A-8402-D3AADEF4A417}"/>
    <hyperlink ref="I12" r:id="rId24" display="javascript:void(0);" xr:uid="{67179822-D417-B341-86DA-079857138A4B}"/>
    <hyperlink ref="I13" r:id="rId25" display="javascript:void(0);" xr:uid="{CC0FDC8E-0702-6249-B85F-0703D80198E2}"/>
    <hyperlink ref="I14" r:id="rId26" display="javascript:void(0);" xr:uid="{1B99BE65-BDC9-2D4C-9F98-04439F1D4482}"/>
    <hyperlink ref="I15" r:id="rId27" display="javascript:void(0);" xr:uid="{B5E39657-D266-3E45-AD64-0AFD800FB581}"/>
    <hyperlink ref="I16" r:id="rId28" display="javascript:void(0);" xr:uid="{A1106B2B-34EC-EB40-A8F7-18BC862D0737}"/>
    <hyperlink ref="I17" r:id="rId29" display="javascript:void(0);" xr:uid="{43B4A278-194A-1246-8728-2175A1110CE4}"/>
    <hyperlink ref="I18" r:id="rId30" display="javascript:void(0);" xr:uid="{4D91D42A-257F-CA40-B3E5-713197FCD75D}"/>
    <hyperlink ref="I19" r:id="rId31" display="javascript:void(0);" xr:uid="{733E73CA-5DE1-9A45-AB0C-631385D977A3}"/>
    <hyperlink ref="I20" r:id="rId32" display="javascript:void(0);" xr:uid="{1F4FE7FD-58D4-6D49-95E1-14155E353A2D}"/>
    <hyperlink ref="I21" r:id="rId33" display="javascript:void(0);" xr:uid="{01B91BE0-A4FF-424D-9A47-A85E2D5704F2}"/>
    <hyperlink ref="I22" r:id="rId34" display="javascript:void(0);" xr:uid="{C5E4A615-0DE2-E347-A6AD-4415A159E222}"/>
    <hyperlink ref="I23" r:id="rId35" display="javascript:void(0);" xr:uid="{AD2E01A9-3703-C24B-8B89-EFCAE7DBA51F}"/>
    <hyperlink ref="I24" r:id="rId36" display="javascript:void(0);" xr:uid="{72626DCB-0541-5F41-A7BA-C0576F7D4F29}"/>
    <hyperlink ref="I25" r:id="rId37" display="javascript:void(0);" xr:uid="{C8480AEE-F17E-E84A-BD40-C2BB5887306B}"/>
    <hyperlink ref="I26" r:id="rId38" display="javascript:void(0);" xr:uid="{B12A2E23-7E10-0545-B1B7-E62842947904}"/>
    <hyperlink ref="I27" r:id="rId39" display="javascript:void(0);" xr:uid="{6B407FFA-0FAD-624A-83FF-6581EA383765}"/>
    <hyperlink ref="I28" r:id="rId40" display="javascript:void(0);" xr:uid="{EB5A19E8-7E16-C543-BA35-3099F22712DA}"/>
    <hyperlink ref="I29" r:id="rId41" display="javascript:void(0);" xr:uid="{C8FC3140-4028-274E-B29B-2C38A75D584F}"/>
    <hyperlink ref="I30" r:id="rId42" display="javascript:void(0);" xr:uid="{B4AA1802-8453-1D4F-B35C-88EF53273F48}"/>
    <hyperlink ref="I31" r:id="rId43" display="javascript:void(0);" xr:uid="{E61B93C0-0478-6444-B546-9FC46EE5D115}"/>
    <hyperlink ref="I32" r:id="rId44" display="javascript:void(0);" xr:uid="{EEBF7712-DE63-204C-87AB-C81BF8E4C57E}"/>
    <hyperlink ref="I33" r:id="rId45" display="javascript:void(0);" xr:uid="{C17A7E5B-8E50-ED49-81FA-1A83C2809A7B}"/>
    <hyperlink ref="I34" r:id="rId46" display="javascript:void(0);" xr:uid="{F4120BC6-880D-A143-BAC1-A7726D9819F2}"/>
    <hyperlink ref="I35" r:id="rId47" display="javascript:void(0);" xr:uid="{B56336E9-35ED-8C43-AFE7-5C9B86278D93}"/>
    <hyperlink ref="I36" r:id="rId48" display="javascript:void(0);" xr:uid="{151D2EFE-3FE5-C24D-B4FB-31CF0DA3C73C}"/>
    <hyperlink ref="I37" r:id="rId49" display="javascript:void(0);" xr:uid="{C0600A77-E1BC-C74F-A914-B4B08D63F2A8}"/>
    <hyperlink ref="I38" r:id="rId50" display="javascript:void(0);" xr:uid="{61F5C0D2-C9F0-C94D-AF8F-4086AC801F0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B62BF-3714-4730-9661-D2ACE04A4AAC}">
  <sheetPr>
    <tabColor rgb="FF92D050"/>
  </sheetPr>
  <dimension ref="A1:W136"/>
  <sheetViews>
    <sheetView showGridLines="0" workbookViewId="0">
      <selection activeCell="B28" sqref="B28"/>
    </sheetView>
  </sheetViews>
  <sheetFormatPr baseColWidth="10" defaultColWidth="8.83203125" defaultRowHeight="23.25" customHeight="1" x14ac:dyDescent="0.15"/>
  <cols>
    <col min="1" max="1" width="79.33203125" style="2" bestFit="1" customWidth="1"/>
    <col min="2" max="2" width="10.5" style="2" customWidth="1"/>
    <col min="3" max="3" width="9.1640625" style="2" customWidth="1"/>
    <col min="4" max="4" width="10.1640625" style="2" bestFit="1" customWidth="1"/>
    <col min="5" max="5" width="8.5" style="2" customWidth="1"/>
    <col min="6" max="6" width="10.33203125" style="2" customWidth="1"/>
    <col min="7" max="8" width="1.6640625" style="2" customWidth="1"/>
    <col min="9" max="13" width="8.1640625" style="2" bestFit="1" customWidth="1"/>
    <col min="14" max="15" width="1.6640625" style="2" customWidth="1"/>
    <col min="16" max="16" width="8.1640625" style="2" bestFit="1" customWidth="1"/>
    <col min="17" max="19" width="8.1640625" style="2" customWidth="1"/>
    <col min="20" max="20" width="9" style="2" bestFit="1" customWidth="1"/>
    <col min="21" max="21" width="1.5" style="2" customWidth="1"/>
    <col min="22" max="16384" width="8.83203125" style="2"/>
  </cols>
  <sheetData>
    <row r="1" spans="1:21" ht="20.25" customHeight="1" x14ac:dyDescent="0.2">
      <c r="A1" s="627" t="s">
        <v>486</v>
      </c>
      <c r="B1" s="627"/>
      <c r="C1" s="627"/>
      <c r="D1" s="627"/>
      <c r="E1" s="627"/>
      <c r="F1" s="627"/>
      <c r="G1" s="627"/>
      <c r="H1" s="627"/>
      <c r="I1" s="627"/>
      <c r="J1" s="627"/>
      <c r="K1" s="627"/>
      <c r="L1" s="627"/>
      <c r="M1" s="627"/>
      <c r="N1" s="627"/>
      <c r="O1" s="627"/>
      <c r="P1" s="627"/>
      <c r="Q1" s="627"/>
      <c r="R1" s="627"/>
      <c r="S1" s="627"/>
      <c r="T1" s="627"/>
      <c r="U1" s="627"/>
    </row>
    <row r="2" spans="1:21" ht="15.75" customHeight="1" x14ac:dyDescent="0.15">
      <c r="A2" s="640" t="s">
        <v>1</v>
      </c>
      <c r="B2" s="640"/>
      <c r="C2" s="640"/>
      <c r="D2" s="640"/>
      <c r="E2" s="640"/>
      <c r="F2" s="640"/>
      <c r="G2" s="640"/>
      <c r="H2" s="640"/>
      <c r="I2" s="640"/>
      <c r="J2" s="640"/>
      <c r="K2" s="640"/>
      <c r="L2" s="640"/>
      <c r="M2" s="640"/>
      <c r="N2" s="640"/>
      <c r="O2" s="640"/>
      <c r="P2" s="640"/>
      <c r="Q2" s="640"/>
      <c r="R2" s="640"/>
      <c r="S2" s="640"/>
      <c r="T2" s="640"/>
      <c r="U2" s="529"/>
    </row>
    <row r="3" spans="1:21" ht="15.75" customHeight="1" x14ac:dyDescent="0.15">
      <c r="A3" s="639" t="s">
        <v>2</v>
      </c>
      <c r="B3" s="639"/>
      <c r="C3" s="639"/>
      <c r="D3" s="639"/>
      <c r="E3" s="639"/>
      <c r="F3" s="639"/>
      <c r="G3" s="639"/>
      <c r="H3" s="639"/>
      <c r="I3" s="639"/>
      <c r="J3" s="639"/>
      <c r="K3" s="639"/>
      <c r="L3" s="639"/>
      <c r="M3" s="639"/>
      <c r="N3" s="639"/>
      <c r="O3" s="639"/>
      <c r="P3" s="639"/>
      <c r="Q3" s="639"/>
      <c r="R3" s="639"/>
      <c r="S3" s="639"/>
      <c r="T3" s="639"/>
    </row>
    <row r="4" spans="1:21" ht="13" x14ac:dyDescent="0.15">
      <c r="I4" s="639" t="s">
        <v>7</v>
      </c>
      <c r="J4" s="639"/>
      <c r="K4" s="639"/>
      <c r="L4" s="639"/>
      <c r="M4" s="639"/>
      <c r="N4" s="528"/>
      <c r="O4" s="528"/>
      <c r="P4" s="639" t="s">
        <v>8</v>
      </c>
      <c r="Q4" s="639"/>
      <c r="R4" s="639"/>
      <c r="S4" s="639"/>
      <c r="T4" s="639"/>
    </row>
    <row r="5" spans="1:21" ht="13" x14ac:dyDescent="0.15">
      <c r="I5" s="641" t="s">
        <v>9</v>
      </c>
      <c r="J5" s="641"/>
      <c r="K5" s="641"/>
      <c r="L5" s="641"/>
      <c r="M5" s="641"/>
      <c r="N5" s="530"/>
      <c r="O5" s="530"/>
      <c r="P5" s="642" t="s">
        <v>10</v>
      </c>
      <c r="Q5" s="642"/>
      <c r="R5" s="642"/>
      <c r="S5" s="642"/>
      <c r="T5" s="642"/>
    </row>
    <row r="6" spans="1:21" ht="13" x14ac:dyDescent="0.15">
      <c r="A6" s="531" t="s">
        <v>11</v>
      </c>
      <c r="B6" s="532">
        <v>2021</v>
      </c>
      <c r="C6" s="532">
        <v>2022</v>
      </c>
      <c r="D6" s="532">
        <v>2023</v>
      </c>
      <c r="E6" s="533">
        <v>2024</v>
      </c>
      <c r="F6" s="533">
        <v>2025</v>
      </c>
      <c r="G6" s="534"/>
      <c r="H6" s="532"/>
      <c r="I6" s="532">
        <v>2021</v>
      </c>
      <c r="J6" s="532">
        <v>2022</v>
      </c>
      <c r="K6" s="532">
        <v>2023</v>
      </c>
      <c r="L6" s="533">
        <v>2024</v>
      </c>
      <c r="M6" s="533">
        <v>2025</v>
      </c>
      <c r="N6" s="534"/>
      <c r="O6" s="532"/>
      <c r="P6" s="532">
        <v>2021</v>
      </c>
      <c r="Q6" s="532">
        <v>2022</v>
      </c>
      <c r="R6" s="532">
        <v>2023</v>
      </c>
      <c r="S6" s="533">
        <v>2024</v>
      </c>
      <c r="T6" s="533">
        <v>2025</v>
      </c>
      <c r="U6" s="534"/>
    </row>
    <row r="7" spans="1:21" ht="13" x14ac:dyDescent="0.15">
      <c r="A7" s="535" t="s">
        <v>12</v>
      </c>
      <c r="B7" s="560">
        <v>79474</v>
      </c>
      <c r="C7" s="560">
        <v>86392</v>
      </c>
      <c r="D7" s="560">
        <v>91471</v>
      </c>
      <c r="E7" s="560">
        <v>91854</v>
      </c>
      <c r="F7" s="560">
        <v>93925</v>
      </c>
      <c r="G7" s="22"/>
      <c r="H7" s="23"/>
      <c r="I7" s="561">
        <f>B7/$B$7</f>
        <v>1</v>
      </c>
      <c r="J7" s="561">
        <f>C7/$C$7</f>
        <v>1</v>
      </c>
      <c r="K7" s="561">
        <f>D7/$D$7</f>
        <v>1</v>
      </c>
      <c r="L7" s="561">
        <f>E7/$E$7</f>
        <v>1</v>
      </c>
      <c r="M7" s="561">
        <f>F7/$F$7</f>
        <v>1</v>
      </c>
      <c r="N7" s="14"/>
      <c r="O7" s="13"/>
      <c r="P7" s="561">
        <f>B7/$B$7</f>
        <v>1</v>
      </c>
      <c r="Q7" s="561">
        <f t="shared" ref="Q7:T7" si="0">C7/$B$7</f>
        <v>1.08704733623575</v>
      </c>
      <c r="R7" s="561">
        <f t="shared" si="0"/>
        <v>1.1509550293177644</v>
      </c>
      <c r="S7" s="561">
        <f t="shared" si="0"/>
        <v>1.1557742154666935</v>
      </c>
      <c r="T7" s="561">
        <f t="shared" si="0"/>
        <v>1.1818330523189975</v>
      </c>
      <c r="U7" s="14"/>
    </row>
    <row r="8" spans="1:21" ht="13" x14ac:dyDescent="0.15">
      <c r="A8" s="2" t="s">
        <v>13</v>
      </c>
      <c r="B8" s="560">
        <v>37075</v>
      </c>
      <c r="C8" s="560">
        <v>40576</v>
      </c>
      <c r="D8" s="560">
        <v>41881</v>
      </c>
      <c r="E8" s="560">
        <v>41744</v>
      </c>
      <c r="F8" s="560">
        <v>43066</v>
      </c>
      <c r="G8" s="22"/>
      <c r="H8" s="23"/>
      <c r="I8" s="561">
        <f t="shared" ref="I8:I13" si="1">B8/$B$7</f>
        <v>0.46650476885522307</v>
      </c>
      <c r="J8" s="561">
        <f t="shared" ref="J8:J13" si="2">C8/$C$7</f>
        <v>0.4696731178812853</v>
      </c>
      <c r="K8" s="561">
        <f t="shared" ref="K8:K13" si="3">D8/$D$7</f>
        <v>0.45786096139760141</v>
      </c>
      <c r="L8" s="561">
        <f t="shared" ref="L8:L13" si="4">E8/$E$7</f>
        <v>0.45446033923400181</v>
      </c>
      <c r="M8" s="561">
        <f t="shared" ref="M8:M13" si="5">F8/$F$7</f>
        <v>0.45851477242480704</v>
      </c>
      <c r="N8" s="19"/>
      <c r="O8" s="18"/>
      <c r="P8" s="561">
        <f>B8/$B$8</f>
        <v>1</v>
      </c>
      <c r="Q8" s="561">
        <f t="shared" ref="Q8:T8" si="6">C8/$B$8</f>
        <v>1.0944302090357383</v>
      </c>
      <c r="R8" s="561">
        <f t="shared" si="6"/>
        <v>1.1296291301416048</v>
      </c>
      <c r="S8" s="561">
        <f t="shared" si="6"/>
        <v>1.1259339177343224</v>
      </c>
      <c r="T8" s="561">
        <f t="shared" si="6"/>
        <v>1.1615913688469319</v>
      </c>
      <c r="U8" s="19"/>
    </row>
    <row r="9" spans="1:21" ht="13" x14ac:dyDescent="0.15">
      <c r="A9" s="536" t="s">
        <v>14</v>
      </c>
      <c r="B9" s="562">
        <v>42399</v>
      </c>
      <c r="C9" s="562">
        <v>45816</v>
      </c>
      <c r="D9" s="562">
        <v>49590</v>
      </c>
      <c r="E9" s="562">
        <v>50110</v>
      </c>
      <c r="F9" s="562">
        <v>50859</v>
      </c>
      <c r="G9" s="25"/>
      <c r="H9" s="24"/>
      <c r="I9" s="563">
        <f t="shared" si="1"/>
        <v>0.53349523114477693</v>
      </c>
      <c r="J9" s="563">
        <f t="shared" si="2"/>
        <v>0.5303268821187147</v>
      </c>
      <c r="K9" s="563">
        <f t="shared" si="3"/>
        <v>0.54213903860239854</v>
      </c>
      <c r="L9" s="563">
        <f t="shared" si="4"/>
        <v>0.54553966076599825</v>
      </c>
      <c r="M9" s="563">
        <f t="shared" si="5"/>
        <v>0.54148522757519302</v>
      </c>
      <c r="N9" s="17"/>
      <c r="O9" s="16"/>
      <c r="P9" s="563">
        <f>B9/$B$9</f>
        <v>1</v>
      </c>
      <c r="Q9" s="563">
        <f t="shared" ref="Q9:T9" si="7">C9/$B$9</f>
        <v>1.0805915233849854</v>
      </c>
      <c r="R9" s="563">
        <f t="shared" si="7"/>
        <v>1.1696030566758651</v>
      </c>
      <c r="S9" s="563">
        <f t="shared" si="7"/>
        <v>1.1818674968749263</v>
      </c>
      <c r="T9" s="563">
        <f t="shared" si="7"/>
        <v>1.1995330078539588</v>
      </c>
      <c r="U9" s="17"/>
    </row>
    <row r="10" spans="1:21" ht="13" x14ac:dyDescent="0.15">
      <c r="B10" s="548"/>
      <c r="C10" s="548"/>
      <c r="D10" s="548"/>
      <c r="E10" s="548"/>
      <c r="F10" s="548"/>
      <c r="G10" s="28"/>
      <c r="H10" s="27"/>
      <c r="I10" s="143"/>
      <c r="J10" s="143"/>
      <c r="K10" s="143"/>
      <c r="L10" s="143"/>
      <c r="M10" s="143"/>
      <c r="N10" s="19"/>
      <c r="O10" s="18"/>
      <c r="P10" s="143"/>
      <c r="Q10" s="143"/>
      <c r="R10" s="143"/>
      <c r="S10" s="143"/>
      <c r="T10" s="143"/>
      <c r="U10" s="19"/>
    </row>
    <row r="11" spans="1:21" ht="13" x14ac:dyDescent="0.15">
      <c r="A11" s="2" t="s">
        <v>15</v>
      </c>
      <c r="B11" s="548"/>
      <c r="C11" s="548"/>
      <c r="D11" s="548"/>
      <c r="E11" s="548"/>
      <c r="F11" s="548"/>
      <c r="G11" s="28"/>
      <c r="H11" s="27"/>
      <c r="I11" s="143"/>
      <c r="J11" s="143"/>
      <c r="K11" s="143"/>
      <c r="L11" s="143"/>
      <c r="M11" s="143"/>
      <c r="N11" s="19"/>
      <c r="O11" s="18"/>
      <c r="P11" s="143"/>
      <c r="Q11" s="143"/>
      <c r="R11" s="143"/>
      <c r="S11" s="143"/>
      <c r="T11" s="143"/>
      <c r="U11" s="19"/>
    </row>
    <row r="12" spans="1:21" ht="13" x14ac:dyDescent="0.15">
      <c r="A12" s="537" t="s">
        <v>115</v>
      </c>
      <c r="B12" s="560">
        <v>31237</v>
      </c>
      <c r="C12" s="560">
        <v>34459</v>
      </c>
      <c r="D12" s="560">
        <v>36677</v>
      </c>
      <c r="E12" s="560">
        <v>37190</v>
      </c>
      <c r="F12" s="560">
        <v>37368</v>
      </c>
      <c r="G12" s="34"/>
      <c r="H12" s="33"/>
      <c r="I12" s="584">
        <f t="shared" si="1"/>
        <v>0.39304678259556586</v>
      </c>
      <c r="J12" s="584">
        <f t="shared" si="2"/>
        <v>0.39886795073617926</v>
      </c>
      <c r="K12" s="584">
        <f t="shared" si="3"/>
        <v>0.40096861300302827</v>
      </c>
      <c r="L12" s="584">
        <f t="shared" si="4"/>
        <v>0.40488166002569292</v>
      </c>
      <c r="M12" s="584">
        <f t="shared" si="5"/>
        <v>0.39784934788394993</v>
      </c>
      <c r="N12" s="19"/>
      <c r="O12" s="18"/>
      <c r="P12" s="584">
        <f>B12/$B$12</f>
        <v>1</v>
      </c>
      <c r="Q12" s="584">
        <f t="shared" ref="Q12:T16" si="8">C12/$B$12</f>
        <v>1.1031469091141914</v>
      </c>
      <c r="R12" s="584">
        <f t="shared" si="8"/>
        <v>1.174152447418126</v>
      </c>
      <c r="S12" s="584">
        <f t="shared" si="8"/>
        <v>1.1905752793161954</v>
      </c>
      <c r="T12" s="584">
        <f t="shared" si="8"/>
        <v>1.1962736498383328</v>
      </c>
      <c r="U12" s="19"/>
    </row>
    <row r="13" spans="1:21" ht="13" x14ac:dyDescent="0.15">
      <c r="A13" s="48" t="s">
        <v>116</v>
      </c>
      <c r="B13" s="560">
        <v>0</v>
      </c>
      <c r="C13" s="560">
        <v>3166</v>
      </c>
      <c r="D13" s="560">
        <v>927</v>
      </c>
      <c r="E13" s="560">
        <v>33</v>
      </c>
      <c r="F13" s="560">
        <v>1993</v>
      </c>
      <c r="G13" s="34"/>
      <c r="H13" s="33"/>
      <c r="I13" s="584">
        <f t="shared" si="1"/>
        <v>0</v>
      </c>
      <c r="J13" s="584">
        <f t="shared" si="2"/>
        <v>3.6646911751088064E-2</v>
      </c>
      <c r="K13" s="584">
        <f t="shared" si="3"/>
        <v>1.0134359523783495E-2</v>
      </c>
      <c r="L13" s="584">
        <f t="shared" si="4"/>
        <v>3.5926579136455678E-4</v>
      </c>
      <c r="M13" s="584">
        <f t="shared" si="5"/>
        <v>2.1219057758850145E-2</v>
      </c>
      <c r="N13" s="19"/>
      <c r="O13" s="18"/>
      <c r="P13" s="584">
        <f t="shared" ref="P13:P16" si="9">B13/$B$12</f>
        <v>0</v>
      </c>
      <c r="Q13" s="584">
        <f t="shared" si="8"/>
        <v>0.10135416333194609</v>
      </c>
      <c r="R13" s="584">
        <f t="shared" si="8"/>
        <v>2.9676345359669624E-2</v>
      </c>
      <c r="S13" s="584">
        <f t="shared" si="8"/>
        <v>1.0564394788231905E-3</v>
      </c>
      <c r="T13" s="584">
        <f t="shared" si="8"/>
        <v>6.3802541857412687E-2</v>
      </c>
      <c r="U13" s="19"/>
    </row>
    <row r="14" spans="1:21" ht="13" x14ac:dyDescent="0.15">
      <c r="A14" s="537" t="s">
        <v>117</v>
      </c>
      <c r="B14" s="560">
        <v>0</v>
      </c>
      <c r="C14" s="560">
        <v>-3321</v>
      </c>
      <c r="D14" s="560">
        <v>0</v>
      </c>
      <c r="E14" s="560">
        <v>0</v>
      </c>
      <c r="F14" s="560">
        <v>0</v>
      </c>
      <c r="G14" s="34"/>
      <c r="H14" s="33"/>
      <c r="I14" s="584">
        <f>B14/$B$7</f>
        <v>0</v>
      </c>
      <c r="J14" s="584">
        <f>C14/$C$7</f>
        <v>-3.8441059357347901E-2</v>
      </c>
      <c r="K14" s="584">
        <f>D14/$D$7</f>
        <v>0</v>
      </c>
      <c r="L14" s="584">
        <f>E14/$E$7</f>
        <v>0</v>
      </c>
      <c r="M14" s="584">
        <f>F14/$F$7</f>
        <v>0</v>
      </c>
      <c r="N14" s="19"/>
      <c r="O14" s="18"/>
      <c r="P14" s="584">
        <f>B14/$B$12</f>
        <v>0</v>
      </c>
      <c r="Q14" s="584">
        <f>C14/$B$12</f>
        <v>-0.10631622755066107</v>
      </c>
      <c r="R14" s="584">
        <f>D14/$B$12</f>
        <v>0</v>
      </c>
      <c r="S14" s="584">
        <f>E14/$B$12</f>
        <v>0</v>
      </c>
      <c r="T14" s="584">
        <f>F14/$B$12</f>
        <v>0</v>
      </c>
      <c r="U14" s="19"/>
    </row>
    <row r="15" spans="1:21" ht="13" x14ac:dyDescent="0.15">
      <c r="A15" s="537" t="s">
        <v>20</v>
      </c>
      <c r="B15" s="564">
        <f>SUM(B12:B14)</f>
        <v>31237</v>
      </c>
      <c r="C15" s="564">
        <f>SUM(C12:C14)</f>
        <v>34304</v>
      </c>
      <c r="D15" s="564">
        <f>SUM(D12:D14)</f>
        <v>37604</v>
      </c>
      <c r="E15" s="564">
        <f>SUM(E12:E14)</f>
        <v>37223</v>
      </c>
      <c r="F15" s="564">
        <f>SUM(F12:F14)</f>
        <v>39361</v>
      </c>
      <c r="G15" s="34"/>
      <c r="H15" s="33"/>
      <c r="I15" s="143"/>
      <c r="J15" s="143"/>
      <c r="K15" s="143"/>
      <c r="L15" s="143"/>
      <c r="M15" s="143"/>
      <c r="N15" s="19"/>
      <c r="O15" s="18"/>
      <c r="P15" s="143"/>
      <c r="Q15" s="143"/>
      <c r="R15" s="143"/>
      <c r="S15" s="143"/>
      <c r="T15" s="143"/>
      <c r="U15" s="19"/>
    </row>
    <row r="16" spans="1:21" ht="13" x14ac:dyDescent="0.15">
      <c r="B16" s="548"/>
      <c r="C16" s="548"/>
      <c r="D16" s="548"/>
      <c r="E16" s="548"/>
      <c r="F16" s="548"/>
      <c r="G16" s="36"/>
      <c r="H16" s="35"/>
      <c r="I16" s="143"/>
      <c r="J16" s="143"/>
      <c r="K16" s="143"/>
      <c r="L16" s="143"/>
      <c r="M16" s="143"/>
      <c r="N16" s="19"/>
      <c r="O16" s="18"/>
      <c r="P16" s="143">
        <f t="shared" si="9"/>
        <v>0</v>
      </c>
      <c r="Q16" s="143">
        <f t="shared" si="8"/>
        <v>0</v>
      </c>
      <c r="R16" s="143">
        <f t="shared" si="8"/>
        <v>0</v>
      </c>
      <c r="S16" s="143">
        <f t="shared" si="8"/>
        <v>0</v>
      </c>
      <c r="T16" s="143">
        <f t="shared" si="8"/>
        <v>0</v>
      </c>
      <c r="U16" s="19"/>
    </row>
    <row r="17" spans="1:21" ht="13" x14ac:dyDescent="0.15">
      <c r="A17" s="535" t="s">
        <v>21</v>
      </c>
      <c r="B17" s="562">
        <v>11162</v>
      </c>
      <c r="C17" s="562">
        <v>11512</v>
      </c>
      <c r="D17" s="562">
        <v>11986</v>
      </c>
      <c r="E17" s="562">
        <v>12887</v>
      </c>
      <c r="F17" s="562">
        <v>11498</v>
      </c>
      <c r="G17" s="38"/>
      <c r="H17" s="37"/>
      <c r="I17" s="563">
        <f t="shared" ref="I17:I25" si="10">B17/$B$7</f>
        <v>0.14044844854921107</v>
      </c>
      <c r="J17" s="563">
        <f t="shared" ref="J17:J25" si="11">C17/$C$7</f>
        <v>0.13325307898879526</v>
      </c>
      <c r="K17" s="563">
        <f t="shared" ref="K17:K25" si="12">D17/$D$7</f>
        <v>0.13103606607558679</v>
      </c>
      <c r="L17" s="563">
        <f t="shared" ref="L17:L25" si="13">E17/$E$7</f>
        <v>0.14029873494894071</v>
      </c>
      <c r="M17" s="563">
        <f t="shared" ref="M17:M25" si="14">F17/$F$7</f>
        <v>0.12241682193239287</v>
      </c>
      <c r="N17" s="17"/>
      <c r="O17" s="16"/>
      <c r="P17" s="563">
        <f>B17/$B$17</f>
        <v>1</v>
      </c>
      <c r="Q17" s="563">
        <f t="shared" ref="Q17:T17" si="15">C17/$B$17</f>
        <v>1.0313563877441319</v>
      </c>
      <c r="R17" s="563">
        <f t="shared" si="15"/>
        <v>1.0738218957176133</v>
      </c>
      <c r="S17" s="563">
        <f t="shared" si="15"/>
        <v>1.1545421967389358</v>
      </c>
      <c r="T17" s="563">
        <f t="shared" si="15"/>
        <v>1.0301021322343666</v>
      </c>
      <c r="U17" s="17"/>
    </row>
    <row r="18" spans="1:21" ht="13" x14ac:dyDescent="0.15">
      <c r="A18" s="2" t="s">
        <v>22</v>
      </c>
      <c r="B18" s="560">
        <v>1863</v>
      </c>
      <c r="C18" s="560">
        <v>939</v>
      </c>
      <c r="D18" s="560">
        <v>819</v>
      </c>
      <c r="E18" s="560">
        <v>919</v>
      </c>
      <c r="F18" s="599">
        <v>1121</v>
      </c>
      <c r="G18" s="17"/>
      <c r="H18" s="16"/>
      <c r="I18" s="584">
        <f t="shared" si="10"/>
        <v>2.3441628708760098E-2</v>
      </c>
      <c r="J18" s="584">
        <f t="shared" si="11"/>
        <v>1.0869061950180572E-2</v>
      </c>
      <c r="K18" s="584">
        <f t="shared" si="12"/>
        <v>8.9536574433426996E-3</v>
      </c>
      <c r="L18" s="584">
        <f t="shared" si="13"/>
        <v>1.0005007947394779E-2</v>
      </c>
      <c r="M18" s="584">
        <f t="shared" si="14"/>
        <v>1.193505456481235E-2</v>
      </c>
      <c r="N18" s="19"/>
      <c r="O18" s="18"/>
      <c r="P18" s="561">
        <f>B18/$B$18</f>
        <v>1</v>
      </c>
      <c r="Q18" s="561">
        <f t="shared" ref="Q18:T18" si="16">C18/$B$18</f>
        <v>0.50402576489533013</v>
      </c>
      <c r="R18" s="561">
        <f t="shared" si="16"/>
        <v>0.43961352657004832</v>
      </c>
      <c r="S18" s="561">
        <f t="shared" si="16"/>
        <v>0.4932903918411165</v>
      </c>
      <c r="T18" s="561">
        <f t="shared" si="16"/>
        <v>0.60171765968867419</v>
      </c>
      <c r="U18" s="19"/>
    </row>
    <row r="19" spans="1:21" ht="13" x14ac:dyDescent="0.15">
      <c r="A19" s="2" t="s">
        <v>23</v>
      </c>
      <c r="B19" s="560">
        <v>522</v>
      </c>
      <c r="C19" s="560">
        <v>132</v>
      </c>
      <c r="D19" s="560">
        <v>250</v>
      </c>
      <c r="E19" s="560">
        <v>-22</v>
      </c>
      <c r="F19" s="599">
        <v>-133</v>
      </c>
      <c r="G19" s="34"/>
      <c r="H19" s="33"/>
      <c r="I19" s="584">
        <f t="shared" si="10"/>
        <v>6.5681858217781913E-3</v>
      </c>
      <c r="J19" s="584">
        <f t="shared" si="11"/>
        <v>1.5279192517825724E-3</v>
      </c>
      <c r="K19" s="584">
        <f t="shared" si="12"/>
        <v>2.7331066676870267E-3</v>
      </c>
      <c r="L19" s="584">
        <f t="shared" si="13"/>
        <v>-2.395105275763712E-4</v>
      </c>
      <c r="M19" s="584">
        <f t="shared" si="14"/>
        <v>-1.4160234229438381E-3</v>
      </c>
      <c r="N19" s="19"/>
      <c r="O19" s="18"/>
      <c r="P19" s="561">
        <f>B19/$B$19</f>
        <v>1</v>
      </c>
      <c r="Q19" s="561">
        <f t="shared" ref="Q19:T19" si="17">C19/$B$19</f>
        <v>0.25287356321839083</v>
      </c>
      <c r="R19" s="561">
        <f t="shared" si="17"/>
        <v>0.47892720306513409</v>
      </c>
      <c r="S19" s="561">
        <f t="shared" si="17"/>
        <v>-4.2145593869731802E-2</v>
      </c>
      <c r="T19" s="561">
        <f t="shared" si="17"/>
        <v>-0.25478927203065133</v>
      </c>
      <c r="U19" s="19"/>
    </row>
    <row r="20" spans="1:21" ht="13" x14ac:dyDescent="0.15">
      <c r="B20" s="548"/>
      <c r="C20" s="548"/>
      <c r="D20" s="548"/>
      <c r="E20" s="548"/>
      <c r="F20" s="600"/>
      <c r="G20" s="32"/>
      <c r="H20" s="31"/>
      <c r="I20" s="584"/>
      <c r="J20" s="584"/>
      <c r="K20" s="584"/>
      <c r="L20" s="584"/>
      <c r="M20" s="584"/>
      <c r="N20" s="19"/>
      <c r="O20" s="18"/>
      <c r="P20" s="143"/>
      <c r="Q20" s="143"/>
      <c r="R20" s="143"/>
      <c r="S20" s="143"/>
      <c r="T20" s="143"/>
      <c r="U20" s="19"/>
    </row>
    <row r="21" spans="1:21" ht="13" x14ac:dyDescent="0.15">
      <c r="A21" s="2" t="s">
        <v>24</v>
      </c>
      <c r="B21" s="560">
        <v>9821</v>
      </c>
      <c r="C21" s="560">
        <v>10705</v>
      </c>
      <c r="D21" s="560">
        <v>11417</v>
      </c>
      <c r="E21" s="560">
        <v>11946</v>
      </c>
      <c r="F21" s="599">
        <v>10244</v>
      </c>
      <c r="G21" s="32"/>
      <c r="H21" s="31"/>
      <c r="I21" s="584">
        <f t="shared" si="10"/>
        <v>0.12357500566222916</v>
      </c>
      <c r="J21" s="584">
        <f t="shared" si="11"/>
        <v>0.12391193629039726</v>
      </c>
      <c r="K21" s="584">
        <f t="shared" si="12"/>
        <v>0.12481551529993112</v>
      </c>
      <c r="L21" s="584">
        <f t="shared" si="13"/>
        <v>0.13005421647396956</v>
      </c>
      <c r="M21" s="584">
        <f t="shared" si="14"/>
        <v>0.10906574394463668</v>
      </c>
      <c r="N21" s="19"/>
      <c r="O21" s="18"/>
      <c r="P21" s="561">
        <f>B21/$B$21</f>
        <v>1</v>
      </c>
      <c r="Q21" s="561">
        <f t="shared" ref="Q21:T21" si="18">C21/$B$21</f>
        <v>1.0900112004887486</v>
      </c>
      <c r="R21" s="561">
        <f t="shared" si="18"/>
        <v>1.1625089094796863</v>
      </c>
      <c r="S21" s="561">
        <f t="shared" si="18"/>
        <v>1.2163730780979534</v>
      </c>
      <c r="T21" s="561">
        <f t="shared" si="18"/>
        <v>1.0430709703696162</v>
      </c>
      <c r="U21" s="19"/>
    </row>
    <row r="22" spans="1:21" ht="13" x14ac:dyDescent="0.15">
      <c r="A22" s="2" t="s">
        <v>25</v>
      </c>
      <c r="B22" s="595">
        <v>2142</v>
      </c>
      <c r="C22" s="595">
        <v>1727</v>
      </c>
      <c r="D22" s="595">
        <v>2262</v>
      </c>
      <c r="E22" s="595">
        <v>2320</v>
      </c>
      <c r="F22" s="601">
        <v>1949</v>
      </c>
      <c r="G22" s="34"/>
      <c r="H22" s="33"/>
      <c r="I22" s="561">
        <f t="shared" si="10"/>
        <v>2.6952210785917408E-2</v>
      </c>
      <c r="J22" s="561">
        <f t="shared" si="11"/>
        <v>1.9990276877488656E-2</v>
      </c>
      <c r="K22" s="561">
        <f t="shared" si="12"/>
        <v>2.4729149129232214E-2</v>
      </c>
      <c r="L22" s="561">
        <f t="shared" si="13"/>
        <v>2.5257473817144598E-2</v>
      </c>
      <c r="M22" s="561">
        <f t="shared" si="14"/>
        <v>2.075059888208677E-2</v>
      </c>
      <c r="N22" s="19"/>
      <c r="O22" s="18"/>
      <c r="P22" s="561">
        <f>B22/$B$22</f>
        <v>1</v>
      </c>
      <c r="Q22" s="561">
        <f t="shared" ref="Q22:T22" si="19">C22/$B$22</f>
        <v>0.8062558356676004</v>
      </c>
      <c r="R22" s="561">
        <f t="shared" si="19"/>
        <v>1.0560224089635855</v>
      </c>
      <c r="S22" s="561">
        <f t="shared" si="19"/>
        <v>1.0830999066293183</v>
      </c>
      <c r="T22" s="561">
        <f t="shared" si="19"/>
        <v>0.90989729225023341</v>
      </c>
      <c r="U22" s="19"/>
    </row>
    <row r="23" spans="1:21" ht="13" x14ac:dyDescent="0.15">
      <c r="A23" s="2" t="s">
        <v>26</v>
      </c>
      <c r="B23" s="596">
        <f>B22/B21</f>
        <v>0.218104062722737</v>
      </c>
      <c r="C23" s="596">
        <f>C22/C21</f>
        <v>0.16132648295189164</v>
      </c>
      <c r="D23" s="596">
        <f>D22/D21</f>
        <v>0.19812560217219935</v>
      </c>
      <c r="E23" s="596">
        <f t="shared" ref="E23:F23" si="20">E22/E21</f>
        <v>0.19420726603047045</v>
      </c>
      <c r="F23" s="596">
        <f t="shared" si="20"/>
        <v>0.1902577118313159</v>
      </c>
      <c r="G23" s="19"/>
      <c r="H23" s="18"/>
      <c r="I23" s="178"/>
      <c r="J23" s="178"/>
      <c r="K23" s="178"/>
      <c r="L23" s="178"/>
      <c r="M23" s="178"/>
      <c r="N23" s="19"/>
      <c r="O23" s="18"/>
      <c r="P23" s="178"/>
      <c r="Q23" s="178"/>
      <c r="R23" s="178"/>
      <c r="S23" s="178"/>
      <c r="T23" s="178"/>
      <c r="U23" s="19"/>
    </row>
    <row r="24" spans="1:21" ht="13" x14ac:dyDescent="0.15">
      <c r="B24" s="31"/>
      <c r="C24" s="31"/>
      <c r="D24" s="31"/>
      <c r="E24" s="31"/>
      <c r="F24" s="31"/>
      <c r="G24" s="32"/>
      <c r="H24" s="31"/>
      <c r="I24" s="143"/>
      <c r="J24" s="143"/>
      <c r="K24" s="143"/>
      <c r="L24" s="143"/>
      <c r="M24" s="143"/>
      <c r="N24" s="19"/>
      <c r="O24" s="18"/>
      <c r="P24" s="143"/>
      <c r="Q24" s="143"/>
      <c r="R24" s="143"/>
      <c r="S24" s="143"/>
      <c r="T24" s="143"/>
      <c r="U24" s="19"/>
    </row>
    <row r="25" spans="1:21" ht="13" x14ac:dyDescent="0.15">
      <c r="A25" s="535" t="s">
        <v>27</v>
      </c>
      <c r="B25" s="565">
        <v>7679</v>
      </c>
      <c r="C25" s="565">
        <v>8978</v>
      </c>
      <c r="D25" s="565">
        <v>9155</v>
      </c>
      <c r="E25" s="565">
        <v>9626</v>
      </c>
      <c r="F25" s="565">
        <v>8295</v>
      </c>
      <c r="G25" s="38"/>
      <c r="H25" s="37"/>
      <c r="I25" s="566">
        <f t="shared" si="10"/>
        <v>9.6622794876311743E-2</v>
      </c>
      <c r="J25" s="566">
        <f t="shared" si="11"/>
        <v>0.1039216594129086</v>
      </c>
      <c r="K25" s="566">
        <f t="shared" si="12"/>
        <v>0.10008636617069891</v>
      </c>
      <c r="L25" s="566">
        <f t="shared" si="13"/>
        <v>0.10479674265682497</v>
      </c>
      <c r="M25" s="566">
        <f t="shared" si="14"/>
        <v>8.8315145062549907E-2</v>
      </c>
      <c r="N25" s="17"/>
      <c r="O25" s="16"/>
      <c r="P25" s="566">
        <f>B25/$B$25</f>
        <v>1</v>
      </c>
      <c r="Q25" s="566">
        <f t="shared" ref="Q25:T25" si="21">C25/$B$25</f>
        <v>1.1691626513868993</v>
      </c>
      <c r="R25" s="566">
        <f t="shared" si="21"/>
        <v>1.1922125276728741</v>
      </c>
      <c r="S25" s="566">
        <f t="shared" si="21"/>
        <v>1.253548639145722</v>
      </c>
      <c r="T25" s="566">
        <f t="shared" si="21"/>
        <v>1.080218778486782</v>
      </c>
      <c r="U25" s="17"/>
    </row>
    <row r="26" spans="1:21" ht="13" x14ac:dyDescent="0.15">
      <c r="B26" s="548"/>
      <c r="C26" s="548"/>
      <c r="D26" s="548"/>
      <c r="E26" s="548"/>
      <c r="F26" s="600"/>
      <c r="G26" s="32"/>
      <c r="H26" s="31"/>
      <c r="I26" s="18"/>
      <c r="J26" s="18"/>
      <c r="K26" s="18"/>
      <c r="L26" s="18"/>
      <c r="M26" s="18"/>
      <c r="N26" s="19"/>
      <c r="O26" s="18"/>
      <c r="P26" s="20"/>
      <c r="Q26" s="20"/>
      <c r="R26" s="20"/>
      <c r="S26" s="20"/>
      <c r="T26" s="20"/>
      <c r="U26" s="19"/>
    </row>
    <row r="27" spans="1:21" ht="13" x14ac:dyDescent="0.15">
      <c r="A27" s="535" t="s">
        <v>118</v>
      </c>
      <c r="B27" s="560">
        <v>1382</v>
      </c>
      <c r="C27" s="560">
        <v>1380</v>
      </c>
      <c r="D27" s="560">
        <v>1376</v>
      </c>
      <c r="E27" s="560">
        <v>1373</v>
      </c>
      <c r="F27" s="599">
        <v>1369</v>
      </c>
      <c r="G27" s="40"/>
      <c r="H27" s="39"/>
      <c r="I27" s="18"/>
      <c r="J27" s="18"/>
      <c r="K27" s="18"/>
      <c r="L27" s="18"/>
      <c r="M27" s="18"/>
      <c r="N27" s="19"/>
      <c r="O27" s="18"/>
      <c r="P27" s="20"/>
      <c r="Q27" s="20"/>
      <c r="R27" s="20"/>
      <c r="S27" s="20"/>
      <c r="T27" s="20"/>
      <c r="U27" s="19"/>
    </row>
    <row r="28" spans="1:21" ht="13" x14ac:dyDescent="0.15">
      <c r="A28" s="536" t="s">
        <v>30</v>
      </c>
      <c r="B28" s="560">
        <v>151.88</v>
      </c>
      <c r="C28" s="560">
        <v>162.18</v>
      </c>
      <c r="D28" s="560">
        <v>156.85</v>
      </c>
      <c r="E28" s="560">
        <v>144.91999999999999</v>
      </c>
      <c r="F28" s="599">
        <v>142.25</v>
      </c>
      <c r="G28" s="42"/>
      <c r="H28" s="41"/>
      <c r="I28" s="18"/>
      <c r="J28" s="18"/>
      <c r="K28" s="18"/>
      <c r="L28" s="18"/>
      <c r="M28" s="18"/>
      <c r="N28" s="19"/>
      <c r="O28" s="18"/>
      <c r="P28" s="20"/>
      <c r="Q28" s="20"/>
      <c r="R28" s="20"/>
      <c r="S28" s="20"/>
      <c r="T28" s="20"/>
      <c r="U28" s="19"/>
    </row>
    <row r="29" spans="1:21" ht="13" x14ac:dyDescent="0.15">
      <c r="A29" s="537"/>
      <c r="B29" s="546"/>
      <c r="C29" s="546"/>
      <c r="D29" s="546"/>
      <c r="E29" s="546"/>
      <c r="F29" s="602"/>
      <c r="G29" s="42"/>
      <c r="H29" s="41"/>
      <c r="I29" s="18"/>
      <c r="J29" s="18"/>
      <c r="K29" s="18"/>
      <c r="L29" s="18"/>
      <c r="M29" s="18"/>
      <c r="N29" s="19"/>
      <c r="O29" s="18"/>
      <c r="P29" s="20"/>
      <c r="Q29" s="20"/>
      <c r="R29" s="20"/>
      <c r="S29" s="20"/>
      <c r="T29" s="20"/>
      <c r="U29" s="19"/>
    </row>
    <row r="30" spans="1:21" ht="13" x14ac:dyDescent="0.15">
      <c r="A30" s="2" t="s">
        <v>119</v>
      </c>
      <c r="B30" s="570">
        <v>2710</v>
      </c>
      <c r="C30" s="570">
        <v>2763</v>
      </c>
      <c r="D30" s="570">
        <v>2948</v>
      </c>
      <c r="E30" s="570">
        <v>3160</v>
      </c>
      <c r="F30" s="603">
        <v>3451</v>
      </c>
      <c r="G30" s="42"/>
      <c r="H30" s="41"/>
      <c r="I30" s="18"/>
      <c r="J30" s="18"/>
      <c r="K30" s="18"/>
      <c r="L30" s="18"/>
      <c r="M30" s="18"/>
      <c r="N30" s="19"/>
      <c r="O30" s="18"/>
      <c r="P30" s="20"/>
      <c r="Q30" s="20"/>
      <c r="R30" s="20"/>
      <c r="S30" s="20"/>
      <c r="T30" s="20"/>
      <c r="U30" s="19"/>
    </row>
    <row r="31" spans="1:21" ht="13" x14ac:dyDescent="0.15">
      <c r="A31" s="2" t="s">
        <v>120</v>
      </c>
      <c r="B31" s="570">
        <v>5815</v>
      </c>
      <c r="C31" s="570">
        <v>6172</v>
      </c>
      <c r="D31" s="570">
        <v>6682</v>
      </c>
      <c r="E31" s="570">
        <v>7229</v>
      </c>
      <c r="F31" s="603">
        <v>7638</v>
      </c>
      <c r="G31" s="42"/>
      <c r="H31" s="41"/>
      <c r="I31" s="18"/>
      <c r="J31" s="18"/>
      <c r="K31" s="18"/>
      <c r="L31" s="18"/>
      <c r="M31" s="18"/>
      <c r="N31" s="19"/>
      <c r="O31" s="18"/>
      <c r="P31" s="20"/>
      <c r="Q31" s="20"/>
      <c r="R31" s="20"/>
      <c r="S31" s="20"/>
      <c r="T31" s="20"/>
      <c r="U31" s="19"/>
    </row>
    <row r="32" spans="1:21" ht="13" x14ac:dyDescent="0.15">
      <c r="A32" s="2" t="s">
        <v>121</v>
      </c>
      <c r="B32" s="570">
        <v>11616</v>
      </c>
      <c r="C32" s="570">
        <v>10811</v>
      </c>
      <c r="D32" s="570">
        <v>13442</v>
      </c>
      <c r="E32" s="570">
        <v>12507</v>
      </c>
      <c r="F32" s="603">
        <v>12087</v>
      </c>
      <c r="G32" s="42"/>
      <c r="H32" s="41"/>
      <c r="I32" s="18"/>
      <c r="J32" s="18"/>
      <c r="K32" s="18"/>
      <c r="L32" s="18"/>
      <c r="M32" s="18"/>
      <c r="N32" s="19"/>
      <c r="O32" s="18"/>
      <c r="P32" s="20"/>
      <c r="Q32" s="20"/>
      <c r="R32" s="20"/>
      <c r="S32" s="20"/>
      <c r="T32" s="20"/>
      <c r="U32" s="19"/>
    </row>
    <row r="33" spans="1:21" ht="13" x14ac:dyDescent="0.15">
      <c r="A33" s="2" t="s">
        <v>122</v>
      </c>
      <c r="B33" s="570">
        <v>4459</v>
      </c>
      <c r="C33" s="570">
        <v>4956</v>
      </c>
      <c r="D33" s="570">
        <v>5320</v>
      </c>
      <c r="E33" s="570">
        <v>4976</v>
      </c>
      <c r="F33" s="603">
        <v>3887</v>
      </c>
      <c r="G33" s="42"/>
      <c r="H33" s="41"/>
      <c r="I33" s="18"/>
      <c r="J33" s="18"/>
      <c r="K33" s="18"/>
      <c r="L33" s="18"/>
      <c r="M33" s="18"/>
      <c r="N33" s="19"/>
      <c r="O33" s="18"/>
      <c r="P33" s="20"/>
      <c r="Q33" s="20"/>
      <c r="R33" s="20"/>
      <c r="S33" s="20"/>
      <c r="T33" s="20"/>
      <c r="U33" s="19"/>
    </row>
    <row r="34" spans="1:21" ht="13" x14ac:dyDescent="0.15">
      <c r="A34" s="2" t="s">
        <v>123</v>
      </c>
      <c r="B34" s="572">
        <f>B32-B33</f>
        <v>7157</v>
      </c>
      <c r="C34" s="572">
        <f t="shared" ref="C34:F34" si="22">C32-C33</f>
        <v>5855</v>
      </c>
      <c r="D34" s="572">
        <f t="shared" si="22"/>
        <v>8122</v>
      </c>
      <c r="E34" s="572">
        <f t="shared" si="22"/>
        <v>7531</v>
      </c>
      <c r="F34" s="604">
        <f t="shared" si="22"/>
        <v>8200</v>
      </c>
      <c r="G34" s="42"/>
      <c r="H34" s="41"/>
      <c r="I34" s="18"/>
      <c r="J34" s="18"/>
      <c r="K34" s="18"/>
      <c r="L34" s="18"/>
      <c r="M34" s="18"/>
      <c r="N34" s="19"/>
      <c r="O34" s="18"/>
      <c r="P34" s="20"/>
      <c r="Q34" s="20"/>
      <c r="R34" s="20"/>
      <c r="S34" s="20"/>
      <c r="T34" s="20"/>
      <c r="U34" s="19"/>
    </row>
    <row r="35" spans="1:21" ht="13" x14ac:dyDescent="0.15">
      <c r="A35" s="538"/>
      <c r="B35" s="549"/>
      <c r="C35" s="549"/>
      <c r="D35" s="549"/>
      <c r="E35" s="549"/>
      <c r="F35" s="549"/>
      <c r="G35" s="605"/>
      <c r="H35" s="44"/>
      <c r="I35" s="45"/>
      <c r="J35" s="45"/>
      <c r="K35" s="45"/>
      <c r="L35" s="45"/>
      <c r="M35" s="45"/>
      <c r="N35" s="605"/>
      <c r="O35" s="44"/>
      <c r="P35" s="46"/>
      <c r="Q35" s="46"/>
      <c r="R35" s="46"/>
      <c r="S35" s="46"/>
      <c r="T35" s="46"/>
      <c r="U35" s="605"/>
    </row>
    <row r="36" spans="1:21" ht="13" x14ac:dyDescent="0.15">
      <c r="B36" s="567"/>
      <c r="C36" s="568"/>
      <c r="D36" s="569"/>
      <c r="E36" s="569"/>
      <c r="F36" s="569"/>
      <c r="G36" s="41"/>
      <c r="H36" s="41"/>
      <c r="I36" s="18"/>
      <c r="J36" s="18"/>
      <c r="K36" s="18"/>
      <c r="L36" s="18"/>
      <c r="M36" s="18"/>
      <c r="N36" s="18"/>
      <c r="O36" s="18"/>
      <c r="P36" s="20"/>
      <c r="Q36" s="20"/>
      <c r="R36" s="20"/>
      <c r="S36" s="20"/>
      <c r="T36" s="20"/>
    </row>
    <row r="37" spans="1:21" ht="15" customHeight="1" x14ac:dyDescent="0.15">
      <c r="I37" s="571"/>
      <c r="J37" s="571"/>
      <c r="K37" s="571"/>
      <c r="L37" s="571"/>
      <c r="M37" s="571"/>
    </row>
    <row r="38" spans="1:21" ht="15" customHeight="1" x14ac:dyDescent="0.15">
      <c r="G38" s="31"/>
    </row>
    <row r="39" spans="1:21" ht="15" customHeight="1" x14ac:dyDescent="0.15"/>
    <row r="40" spans="1:21" ht="15" customHeight="1" x14ac:dyDescent="0.15"/>
    <row r="41" spans="1:21" ht="17.25" customHeight="1" x14ac:dyDescent="0.15"/>
    <row r="42" spans="1:21" ht="17.25" customHeight="1" x14ac:dyDescent="0.15"/>
    <row r="43" spans="1:21" ht="16" customHeight="1" x14ac:dyDescent="0.15"/>
    <row r="44" spans="1:21" ht="17.25" customHeight="1" x14ac:dyDescent="0.15"/>
    <row r="45" spans="1:21" ht="18" x14ac:dyDescent="0.2">
      <c r="A45" s="627" t="s">
        <v>486</v>
      </c>
      <c r="B45" s="627"/>
      <c r="C45" s="627"/>
      <c r="D45" s="627"/>
      <c r="E45" s="627"/>
      <c r="F45" s="627"/>
      <c r="G45" s="627"/>
      <c r="H45" s="627"/>
      <c r="I45" s="627"/>
      <c r="J45" s="627"/>
      <c r="K45" s="627"/>
      <c r="L45" s="627"/>
      <c r="M45" s="627"/>
      <c r="N45" s="627"/>
      <c r="O45" s="627"/>
      <c r="P45" s="627"/>
      <c r="Q45" s="627"/>
      <c r="R45" s="627"/>
      <c r="S45" s="627"/>
      <c r="T45" s="627"/>
      <c r="U45" s="627"/>
    </row>
    <row r="46" spans="1:21" ht="14.25" customHeight="1" x14ac:dyDescent="0.15">
      <c r="A46" s="636" t="s">
        <v>32</v>
      </c>
      <c r="B46" s="637"/>
      <c r="C46" s="637"/>
      <c r="D46" s="637"/>
      <c r="E46" s="637"/>
      <c r="F46" s="637"/>
      <c r="G46" s="637"/>
      <c r="H46" s="637"/>
      <c r="I46" s="637"/>
      <c r="J46" s="637"/>
      <c r="K46" s="637"/>
      <c r="L46" s="637"/>
      <c r="M46" s="637"/>
      <c r="N46" s="637"/>
      <c r="O46" s="637"/>
      <c r="P46" s="637"/>
      <c r="Q46" s="637"/>
      <c r="R46" s="637"/>
      <c r="S46" s="637"/>
      <c r="T46" s="637"/>
    </row>
    <row r="47" spans="1:21" ht="13" x14ac:dyDescent="0.15">
      <c r="A47" s="614" t="s">
        <v>33</v>
      </c>
      <c r="B47" s="638"/>
      <c r="C47" s="638"/>
      <c r="D47" s="638"/>
      <c r="E47" s="638"/>
      <c r="F47" s="638"/>
      <c r="G47" s="638"/>
      <c r="H47" s="638"/>
      <c r="I47" s="638"/>
      <c r="J47" s="638"/>
      <c r="K47" s="638"/>
      <c r="L47" s="638"/>
      <c r="M47" s="638"/>
      <c r="N47" s="638"/>
      <c r="O47" s="638"/>
      <c r="P47" s="638"/>
      <c r="Q47" s="638"/>
      <c r="R47" s="638"/>
      <c r="S47" s="638"/>
      <c r="T47" s="638"/>
    </row>
    <row r="48" spans="1:21" ht="6" customHeight="1" x14ac:dyDescent="0.15">
      <c r="T48" s="539"/>
    </row>
    <row r="49" spans="1:23" ht="13" x14ac:dyDescent="0.15">
      <c r="A49" s="48"/>
      <c r="B49" s="48"/>
      <c r="C49" s="48"/>
      <c r="D49" s="48"/>
      <c r="E49" s="48"/>
      <c r="F49" s="48"/>
      <c r="G49" s="48"/>
      <c r="H49" s="48"/>
      <c r="I49" s="614" t="s">
        <v>7</v>
      </c>
      <c r="J49" s="614"/>
      <c r="K49" s="614"/>
      <c r="L49" s="614"/>
      <c r="M49" s="614"/>
      <c r="N49" s="71"/>
      <c r="O49" s="71"/>
      <c r="P49" s="614" t="s">
        <v>8</v>
      </c>
      <c r="Q49" s="614"/>
      <c r="R49" s="614"/>
      <c r="S49" s="614"/>
      <c r="T49" s="614"/>
    </row>
    <row r="50" spans="1:23" ht="13" x14ac:dyDescent="0.15">
      <c r="A50" s="48"/>
      <c r="B50" s="48"/>
      <c r="C50" s="48"/>
      <c r="D50" s="48"/>
      <c r="E50" s="48"/>
      <c r="F50" s="72"/>
      <c r="G50" s="72"/>
      <c r="H50" s="72"/>
      <c r="I50" s="615" t="s">
        <v>36</v>
      </c>
      <c r="J50" s="615"/>
      <c r="K50" s="615"/>
      <c r="L50" s="615"/>
      <c r="M50" s="615"/>
      <c r="N50" s="73"/>
      <c r="O50" s="73"/>
      <c r="P50" s="615" t="s">
        <v>37</v>
      </c>
      <c r="Q50" s="615"/>
      <c r="R50" s="615"/>
      <c r="S50" s="615"/>
      <c r="T50" s="615"/>
    </row>
    <row r="51" spans="1:23" ht="13" x14ac:dyDescent="0.15">
      <c r="A51" s="540" t="s">
        <v>38</v>
      </c>
      <c r="B51" s="532">
        <v>2021</v>
      </c>
      <c r="C51" s="532">
        <v>2022</v>
      </c>
      <c r="D51" s="532">
        <v>2023</v>
      </c>
      <c r="E51" s="533">
        <v>2024</v>
      </c>
      <c r="F51" s="533">
        <v>2025</v>
      </c>
      <c r="G51" s="534"/>
      <c r="H51" s="532"/>
      <c r="I51" s="532">
        <v>2021</v>
      </c>
      <c r="J51" s="532">
        <v>2022</v>
      </c>
      <c r="K51" s="532">
        <v>2023</v>
      </c>
      <c r="L51" s="533">
        <v>2024</v>
      </c>
      <c r="M51" s="533">
        <v>2025</v>
      </c>
      <c r="N51" s="534"/>
      <c r="O51" s="532"/>
      <c r="P51" s="532">
        <v>2021</v>
      </c>
      <c r="Q51" s="532">
        <v>2022</v>
      </c>
      <c r="R51" s="532">
        <v>2023</v>
      </c>
      <c r="S51" s="533">
        <v>2024</v>
      </c>
      <c r="T51" s="533">
        <v>2025</v>
      </c>
      <c r="U51" s="534"/>
    </row>
    <row r="52" spans="1:23" ht="13" x14ac:dyDescent="0.15">
      <c r="A52" s="541" t="s">
        <v>39</v>
      </c>
      <c r="B52" s="61"/>
      <c r="C52" s="61"/>
      <c r="D52" s="61"/>
      <c r="E52" s="61"/>
      <c r="F52" s="61"/>
      <c r="G52" s="86"/>
      <c r="H52" s="61"/>
      <c r="I52" s="92"/>
      <c r="J52" s="81"/>
      <c r="K52" s="81"/>
      <c r="L52" s="81"/>
      <c r="M52" s="81"/>
      <c r="N52" s="82"/>
      <c r="O52" s="81"/>
      <c r="P52" s="92"/>
      <c r="Q52" s="81"/>
      <c r="R52" s="81"/>
      <c r="S52" s="81"/>
      <c r="T52" s="81"/>
      <c r="U52" s="82"/>
    </row>
    <row r="53" spans="1:23" ht="13" x14ac:dyDescent="0.15">
      <c r="A53" s="542" t="s">
        <v>40</v>
      </c>
      <c r="B53" s="61"/>
      <c r="C53" s="61"/>
      <c r="D53" s="61"/>
      <c r="E53" s="61"/>
      <c r="F53" s="61"/>
      <c r="G53" s="86"/>
      <c r="H53" s="61"/>
      <c r="I53" s="81"/>
      <c r="J53" s="81"/>
      <c r="K53" s="81"/>
      <c r="L53" s="81"/>
      <c r="M53" s="81"/>
      <c r="N53" s="82"/>
      <c r="O53" s="81"/>
      <c r="P53" s="81"/>
      <c r="Q53" s="81"/>
      <c r="R53" s="81"/>
      <c r="S53" s="81"/>
      <c r="T53" s="81"/>
      <c r="U53" s="82"/>
    </row>
    <row r="54" spans="1:23" ht="13" x14ac:dyDescent="0.15">
      <c r="A54" s="542" t="s">
        <v>41</v>
      </c>
      <c r="B54" s="550">
        <f>'Pepsi data sheet'!B32</f>
        <v>5596</v>
      </c>
      <c r="C54" s="550">
        <f>'Pepsi data sheet'!C32</f>
        <v>4964</v>
      </c>
      <c r="D54" s="550">
        <f>'Pepsi data sheet'!D32</f>
        <v>9711</v>
      </c>
      <c r="E54" s="550">
        <f>'Pepsi data sheet'!E32</f>
        <v>8505</v>
      </c>
      <c r="F54" s="550">
        <f>'Pepsi data sheet'!F32</f>
        <v>9159</v>
      </c>
      <c r="G54" s="551"/>
      <c r="H54" s="79"/>
      <c r="I54" s="584">
        <f>B54/$B$68</f>
        <v>6.0577849464693592E-2</v>
      </c>
      <c r="J54" s="584">
        <f>C54/$C$68</f>
        <v>5.3841231276505745E-2</v>
      </c>
      <c r="K54" s="584">
        <f>D54/$D$68</f>
        <v>9.6631673217573016E-2</v>
      </c>
      <c r="L54" s="584">
        <f>E54/$E$68</f>
        <v>8.5505745624176857E-2</v>
      </c>
      <c r="M54" s="584">
        <f>F54/$F$68</f>
        <v>8.5280123651058207E-2</v>
      </c>
      <c r="N54" s="587"/>
      <c r="O54" s="584"/>
      <c r="P54" s="584">
        <f>B54/$B$54</f>
        <v>1</v>
      </c>
      <c r="Q54" s="584">
        <f t="shared" ref="Q54:T54" si="23">C54/$B$54</f>
        <v>0.88706218727662611</v>
      </c>
      <c r="R54" s="584">
        <f t="shared" si="23"/>
        <v>1.7353466761972838</v>
      </c>
      <c r="S54" s="584">
        <f t="shared" si="23"/>
        <v>1.5198355968548964</v>
      </c>
      <c r="T54" s="584">
        <f t="shared" si="23"/>
        <v>1.6367047891350965</v>
      </c>
      <c r="U54" s="587"/>
    </row>
    <row r="55" spans="1:23" ht="13" x14ac:dyDescent="0.15">
      <c r="A55" s="542" t="s">
        <v>42</v>
      </c>
      <c r="B55" s="550">
        <f>'Pepsi data sheet'!B33</f>
        <v>392</v>
      </c>
      <c r="C55" s="550">
        <f>'Pepsi data sheet'!C33</f>
        <v>394</v>
      </c>
      <c r="D55" s="550">
        <f>'Pepsi data sheet'!D33</f>
        <v>292</v>
      </c>
      <c r="E55" s="550">
        <f>'Pepsi data sheet'!E33</f>
        <v>761</v>
      </c>
      <c r="F55" s="550">
        <f>'Pepsi data sheet'!F33</f>
        <v>371</v>
      </c>
      <c r="G55" s="552"/>
      <c r="H55" s="84"/>
      <c r="I55" s="584">
        <f t="shared" ref="I55:I59" si="24">B55/$B$68</f>
        <v>4.2434805200428681E-3</v>
      </c>
      <c r="J55" s="584">
        <f t="shared" ref="J55:J59" si="25">C55/$C$68</f>
        <v>4.2734579216243476E-3</v>
      </c>
      <c r="K55" s="584">
        <f t="shared" ref="K55:K58" si="26">D55/$D$68</f>
        <v>2.9056171948853176E-3</v>
      </c>
      <c r="L55" s="584">
        <f t="shared" ref="L55:L59" si="27">E55/$E$68</f>
        <v>7.6507786502055955E-3</v>
      </c>
      <c r="M55" s="584">
        <f t="shared" ref="M55:M59" si="28">F55/$F$68</f>
        <v>3.4544083278242816E-3</v>
      </c>
      <c r="N55" s="587"/>
      <c r="O55" s="584"/>
      <c r="P55" s="584">
        <f>B55/$B$55</f>
        <v>1</v>
      </c>
      <c r="Q55" s="584">
        <f t="shared" ref="Q55:T55" si="29">C55/$B$55</f>
        <v>1.0051020408163265</v>
      </c>
      <c r="R55" s="584">
        <f t="shared" si="29"/>
        <v>0.74489795918367352</v>
      </c>
      <c r="S55" s="584">
        <f t="shared" si="29"/>
        <v>1.9413265306122449</v>
      </c>
      <c r="T55" s="584">
        <f t="shared" si="29"/>
        <v>0.9464285714285714</v>
      </c>
      <c r="U55" s="587"/>
    </row>
    <row r="56" spans="1:23" ht="13" x14ac:dyDescent="0.15">
      <c r="A56" s="542" t="s">
        <v>43</v>
      </c>
      <c r="B56" s="550">
        <f>'Pepsi data sheet'!B34</f>
        <v>8680</v>
      </c>
      <c r="C56" s="550">
        <f>'Pepsi data sheet'!C34</f>
        <v>10163</v>
      </c>
      <c r="D56" s="550">
        <f>'Pepsi data sheet'!D34</f>
        <v>10815</v>
      </c>
      <c r="E56" s="550">
        <f>'Pepsi data sheet'!E34</f>
        <v>10333</v>
      </c>
      <c r="F56" s="550">
        <f>'Pepsi data sheet'!F34</f>
        <v>11506</v>
      </c>
      <c r="G56" s="551"/>
      <c r="H56" s="61"/>
      <c r="I56" s="584">
        <f>B56/$B$68</f>
        <v>9.3962782943806361E-2</v>
      </c>
      <c r="J56" s="584">
        <f t="shared" si="25"/>
        <v>0.11023135243012246</v>
      </c>
      <c r="K56" s="584">
        <f>D56/$D$68</f>
        <v>0.10761729439275586</v>
      </c>
      <c r="L56" s="584">
        <f t="shared" si="27"/>
        <v>0.10388370012164838</v>
      </c>
      <c r="M56" s="584">
        <f t="shared" si="28"/>
        <v>0.10713321353085224</v>
      </c>
      <c r="N56" s="587"/>
      <c r="O56" s="584"/>
      <c r="P56" s="584">
        <f>B56/$B$56</f>
        <v>1</v>
      </c>
      <c r="Q56" s="584">
        <f t="shared" ref="Q56:T56" si="30">C56/$B$56</f>
        <v>1.1708525345622121</v>
      </c>
      <c r="R56" s="584">
        <f t="shared" si="30"/>
        <v>1.2459677419354838</v>
      </c>
      <c r="S56" s="584">
        <f t="shared" si="30"/>
        <v>1.1904377880184331</v>
      </c>
      <c r="T56" s="584">
        <f t="shared" si="30"/>
        <v>1.3255760368663594</v>
      </c>
      <c r="U56" s="587"/>
    </row>
    <row r="57" spans="1:23" ht="13" x14ac:dyDescent="0.15">
      <c r="A57" s="542" t="s">
        <v>44</v>
      </c>
      <c r="B57" s="550">
        <f>'Pepsi data sheet'!B35</f>
        <v>4347</v>
      </c>
      <c r="C57" s="550">
        <f>'Pepsi data sheet'!C35</f>
        <v>5222</v>
      </c>
      <c r="D57" s="550">
        <f>'Pepsi data sheet'!D35</f>
        <v>5334</v>
      </c>
      <c r="E57" s="550">
        <f>'Pepsi data sheet'!E35</f>
        <v>5306</v>
      </c>
      <c r="F57" s="550">
        <f>'Pepsi data sheet'!F35</f>
        <v>5845</v>
      </c>
      <c r="G57" s="551"/>
      <c r="H57" s="61"/>
      <c r="I57" s="584">
        <f t="shared" si="24"/>
        <v>4.705716790976109E-2</v>
      </c>
      <c r="J57" s="584">
        <f t="shared" si="25"/>
        <v>5.6639586971376506E-2</v>
      </c>
      <c r="K57" s="584">
        <f t="shared" si="26"/>
        <v>5.3077267525747547E-2</v>
      </c>
      <c r="L57" s="584">
        <f t="shared" si="27"/>
        <v>5.33443252536017E-2</v>
      </c>
      <c r="M57" s="584">
        <f t="shared" si="28"/>
        <v>5.4423225542137264E-2</v>
      </c>
      <c r="N57" s="587"/>
      <c r="O57" s="584"/>
      <c r="P57" s="584">
        <f>B57/$B$57</f>
        <v>1</v>
      </c>
      <c r="Q57" s="584">
        <f t="shared" ref="Q57:T57" si="31">C57/$B$57</f>
        <v>1.2012882447665056</v>
      </c>
      <c r="R57" s="584">
        <f t="shared" si="31"/>
        <v>1.2270531400966183</v>
      </c>
      <c r="S57" s="584">
        <f t="shared" si="31"/>
        <v>1.2206119162640903</v>
      </c>
      <c r="T57" s="584">
        <f t="shared" si="31"/>
        <v>1.3446054750402576</v>
      </c>
      <c r="U57" s="587"/>
    </row>
    <row r="58" spans="1:23" ht="13" x14ac:dyDescent="0.15">
      <c r="A58" s="542" t="s">
        <v>124</v>
      </c>
      <c r="B58" s="550">
        <f>'Pepsi data sheet'!B36</f>
        <v>980</v>
      </c>
      <c r="C58" s="550">
        <f>'Pepsi data sheet'!C36</f>
        <v>806</v>
      </c>
      <c r="D58" s="550">
        <f>'Pepsi data sheet'!D36</f>
        <v>798</v>
      </c>
      <c r="E58" s="550">
        <f>'Pepsi data sheet'!E36</f>
        <v>921</v>
      </c>
      <c r="F58" s="550">
        <f>'Pepsi data sheet'!F36</f>
        <v>1068</v>
      </c>
      <c r="G58" s="551"/>
      <c r="H58" s="61"/>
      <c r="I58" s="584">
        <f t="shared" si="24"/>
        <v>1.060870130010717E-2</v>
      </c>
      <c r="J58" s="584">
        <f t="shared" si="25"/>
        <v>8.7421499614954937E-3</v>
      </c>
      <c r="K58" s="584">
        <f t="shared" si="26"/>
        <v>7.9406935668441224E-3</v>
      </c>
      <c r="L58" s="584">
        <f t="shared" si="27"/>
        <v>9.2593523480149192E-3</v>
      </c>
      <c r="M58" s="584">
        <f t="shared" si="28"/>
        <v>9.9442266687771765E-3</v>
      </c>
      <c r="N58" s="587"/>
      <c r="O58" s="584"/>
      <c r="P58" s="584">
        <f>B58/$B$58</f>
        <v>1</v>
      </c>
      <c r="Q58" s="584">
        <f>C58/$B$58</f>
        <v>0.82244897959183672</v>
      </c>
      <c r="R58" s="584">
        <f>D58/$B$58</f>
        <v>0.81428571428571428</v>
      </c>
      <c r="S58" s="584">
        <f>E58/$B$58</f>
        <v>0.93979591836734699</v>
      </c>
      <c r="T58" s="584">
        <f>F58/$B$58</f>
        <v>1.0897959183673469</v>
      </c>
      <c r="U58" s="587"/>
    </row>
    <row r="59" spans="1:23" ht="13" x14ac:dyDescent="0.15">
      <c r="A59" s="568" t="s">
        <v>125</v>
      </c>
      <c r="B59" s="550">
        <f>'Pepsi data sheet'!B37</f>
        <v>1788</v>
      </c>
      <c r="C59" s="550">
        <f>'Pepsi data sheet'!C37</f>
        <v>0</v>
      </c>
      <c r="D59" s="550">
        <f>'Pepsi data sheet'!D37</f>
        <v>0</v>
      </c>
      <c r="E59" s="550">
        <f>'Pepsi data sheet'!E37</f>
        <v>0</v>
      </c>
      <c r="F59" s="550">
        <f>'Pepsi data sheet'!F37</f>
        <v>0</v>
      </c>
      <c r="G59" s="551"/>
      <c r="H59" s="61"/>
      <c r="I59" s="584">
        <f t="shared" si="24"/>
        <v>1.9355467269991447E-2</v>
      </c>
      <c r="J59" s="584">
        <f t="shared" si="25"/>
        <v>0</v>
      </c>
      <c r="K59" s="584">
        <f>D59/$D$68</f>
        <v>0</v>
      </c>
      <c r="L59" s="584">
        <f t="shared" si="27"/>
        <v>0</v>
      </c>
      <c r="M59" s="584">
        <f t="shared" si="28"/>
        <v>0</v>
      </c>
      <c r="N59" s="587"/>
      <c r="O59" s="584"/>
      <c r="P59" s="584">
        <f>B59/$B$59</f>
        <v>1</v>
      </c>
      <c r="Q59" s="584">
        <f>C59/$B$59</f>
        <v>0</v>
      </c>
      <c r="R59" s="584">
        <f>D59/$B$59</f>
        <v>0</v>
      </c>
      <c r="S59" s="584">
        <f t="shared" ref="S59" si="32">E59/$B$59</f>
        <v>0</v>
      </c>
      <c r="T59" s="584">
        <f>F59/$B$59</f>
        <v>0</v>
      </c>
      <c r="U59" s="587"/>
    </row>
    <row r="60" spans="1:23" ht="13" x14ac:dyDescent="0.15">
      <c r="A60" s="543" t="s">
        <v>47</v>
      </c>
      <c r="B60" s="553">
        <v>21783</v>
      </c>
      <c r="C60" s="553">
        <v>21549</v>
      </c>
      <c r="D60" s="553">
        <v>26950</v>
      </c>
      <c r="E60" s="553">
        <v>25826</v>
      </c>
      <c r="F60" s="553">
        <v>27949</v>
      </c>
      <c r="G60" s="554"/>
      <c r="H60" s="87"/>
      <c r="I60" s="585">
        <f t="shared" ref="I60:I68" si="33">B60/$B$68</f>
        <v>0.23580544940840253</v>
      </c>
      <c r="J60" s="585">
        <f t="shared" ref="J60:J68" si="34">C60/$C$68</f>
        <v>0.23372777856112456</v>
      </c>
      <c r="K60" s="585">
        <f t="shared" ref="K60:K68" si="35">D60/$D$68</f>
        <v>0.26817254589780587</v>
      </c>
      <c r="L60" s="585">
        <f t="shared" ref="L60:L68" si="36">E60/$E$68</f>
        <v>0.25964390199764747</v>
      </c>
      <c r="M60" s="585">
        <f t="shared" ref="M60:M68" si="37">F60/$F$68</f>
        <v>0.26023519772064918</v>
      </c>
      <c r="N60" s="589"/>
      <c r="O60" s="585"/>
      <c r="P60" s="585">
        <f>B60/$B$60</f>
        <v>1</v>
      </c>
      <c r="Q60" s="585">
        <f t="shared" ref="Q60:T60" si="38">C60/$B$60</f>
        <v>0.98925767800578435</v>
      </c>
      <c r="R60" s="585">
        <f t="shared" si="38"/>
        <v>1.237203323692788</v>
      </c>
      <c r="S60" s="585">
        <f t="shared" si="38"/>
        <v>1.1856034522333929</v>
      </c>
      <c r="T60" s="585">
        <f t="shared" si="38"/>
        <v>1.2830647752834778</v>
      </c>
      <c r="U60" s="589"/>
    </row>
    <row r="61" spans="1:23" ht="13" x14ac:dyDescent="0.15">
      <c r="A61" s="542" t="s">
        <v>126</v>
      </c>
      <c r="B61" s="550">
        <f>'Pepsi data sheet'!B39</f>
        <v>22407</v>
      </c>
      <c r="C61" s="550">
        <f>'Pepsi data sheet'!C39</f>
        <v>24291</v>
      </c>
      <c r="D61" s="550">
        <f>'Pepsi data sheet'!D39</f>
        <v>27039</v>
      </c>
      <c r="E61" s="550">
        <f>'Pepsi data sheet'!E39</f>
        <v>28008</v>
      </c>
      <c r="F61" s="550">
        <f>'Pepsi data sheet'!F39</f>
        <v>29905</v>
      </c>
      <c r="G61" s="551"/>
      <c r="H61" s="61"/>
      <c r="I61" s="584">
        <f t="shared" si="33"/>
        <v>0.24256037758316465</v>
      </c>
      <c r="J61" s="584">
        <f t="shared" si="34"/>
        <v>0.26346844257405339</v>
      </c>
      <c r="K61" s="584">
        <f t="shared" si="35"/>
        <v>0.26905816209761679</v>
      </c>
      <c r="L61" s="584">
        <f t="shared" si="36"/>
        <v>0.28158082580152211</v>
      </c>
      <c r="M61" s="584">
        <f t="shared" si="37"/>
        <v>0.27844765779942088</v>
      </c>
      <c r="N61" s="587"/>
      <c r="O61" s="584"/>
      <c r="P61" s="584">
        <f>B61/$B$61</f>
        <v>1</v>
      </c>
      <c r="Q61" s="584">
        <f t="shared" ref="Q61:T61" si="39">C61/$B$61</f>
        <v>1.0840808675860223</v>
      </c>
      <c r="R61" s="584">
        <f t="shared" si="39"/>
        <v>1.2067211139376088</v>
      </c>
      <c r="S61" s="584">
        <f t="shared" si="39"/>
        <v>1.2499665283170438</v>
      </c>
      <c r="T61" s="584">
        <f t="shared" si="39"/>
        <v>1.3346275717409739</v>
      </c>
      <c r="U61" s="587"/>
    </row>
    <row r="62" spans="1:23" ht="13" x14ac:dyDescent="0.15">
      <c r="A62" s="48" t="s">
        <v>127</v>
      </c>
      <c r="B62" s="550">
        <f>'Pepsi data sheet'!B40</f>
        <v>1538</v>
      </c>
      <c r="C62" s="550">
        <f>'Pepsi data sheet'!C40</f>
        <v>1277</v>
      </c>
      <c r="D62" s="550">
        <f>'Pepsi data sheet'!D40</f>
        <v>1199</v>
      </c>
      <c r="E62" s="550">
        <f>'Pepsi data sheet'!E40</f>
        <v>1102</v>
      </c>
      <c r="F62" s="550">
        <f>'Pepsi data sheet'!F40</f>
        <v>1219</v>
      </c>
      <c r="G62" s="551"/>
      <c r="H62" s="61"/>
      <c r="I62" s="584">
        <f t="shared" si="33"/>
        <v>1.6649165917923293E-2</v>
      </c>
      <c r="J62" s="584">
        <f t="shared" si="34"/>
        <v>1.3850776055620032E-2</v>
      </c>
      <c r="K62" s="584">
        <f t="shared" si="35"/>
        <v>1.1930941837902383E-2</v>
      </c>
      <c r="L62" s="584">
        <f t="shared" si="36"/>
        <v>1.1079051343661717E-2</v>
      </c>
      <c r="M62" s="584">
        <f t="shared" si="37"/>
        <v>1.135019879142264E-2</v>
      </c>
      <c r="N62" s="587"/>
      <c r="O62" s="584"/>
      <c r="P62" s="584">
        <f>B62/$B$62</f>
        <v>1</v>
      </c>
      <c r="Q62" s="584">
        <f t="shared" ref="Q62:T62" si="40">C62/$B$62</f>
        <v>0.83029908972691813</v>
      </c>
      <c r="R62" s="584">
        <f t="shared" si="40"/>
        <v>0.77958387516254879</v>
      </c>
      <c r="S62" s="584">
        <f t="shared" si="40"/>
        <v>0.71651495448634595</v>
      </c>
      <c r="T62" s="584">
        <f t="shared" si="40"/>
        <v>0.7925877763328999</v>
      </c>
      <c r="U62" s="587"/>
      <c r="W62" s="607"/>
    </row>
    <row r="63" spans="1:23" ht="13" x14ac:dyDescent="0.15">
      <c r="A63" s="542" t="s">
        <v>128</v>
      </c>
      <c r="B63" s="550">
        <f>'Pepsi data sheet'!B41</f>
        <v>18381</v>
      </c>
      <c r="C63" s="550">
        <f>'Pepsi data sheet'!C41</f>
        <v>18202</v>
      </c>
      <c r="D63" s="550">
        <f>'Pepsi data sheet'!D41</f>
        <v>17728</v>
      </c>
      <c r="E63" s="550">
        <f>'Pepsi data sheet'!E41</f>
        <v>17534</v>
      </c>
      <c r="F63" s="550">
        <f>'Pepsi data sheet'!F41</f>
        <v>18916</v>
      </c>
      <c r="G63" s="551"/>
      <c r="H63" s="61"/>
      <c r="I63" s="584">
        <f t="shared" si="33"/>
        <v>0.19897810060945906</v>
      </c>
      <c r="J63" s="584">
        <f t="shared" si="34"/>
        <v>0.1974250789071228</v>
      </c>
      <c r="K63" s="584">
        <f t="shared" si="35"/>
        <v>0.17640678640728394</v>
      </c>
      <c r="L63" s="584">
        <f t="shared" si="36"/>
        <v>0.17627957010867926</v>
      </c>
      <c r="M63" s="584">
        <f t="shared" si="37"/>
        <v>0.17612826935073883</v>
      </c>
      <c r="N63" s="587"/>
      <c r="O63" s="584"/>
      <c r="P63" s="584">
        <f>B63/$B$63</f>
        <v>1</v>
      </c>
      <c r="Q63" s="584">
        <f t="shared" ref="Q63:T63" si="41">C63/$B$63</f>
        <v>0.99026168325988795</v>
      </c>
      <c r="R63" s="584">
        <f t="shared" si="41"/>
        <v>0.96447418530003803</v>
      </c>
      <c r="S63" s="584">
        <f t="shared" si="41"/>
        <v>0.95391980849790547</v>
      </c>
      <c r="T63" s="584">
        <f t="shared" si="41"/>
        <v>1.0291061422120669</v>
      </c>
      <c r="U63" s="587"/>
    </row>
    <row r="64" spans="1:23" ht="13" x14ac:dyDescent="0.15">
      <c r="A64" s="542" t="s">
        <v>129</v>
      </c>
      <c r="B64" s="550">
        <f>'Pepsi data sheet'!B42</f>
        <v>17127</v>
      </c>
      <c r="C64" s="550">
        <f>'Pepsi data sheet'!C42</f>
        <v>14309</v>
      </c>
      <c r="D64" s="550">
        <f>'Pepsi data sheet'!D42</f>
        <v>13730</v>
      </c>
      <c r="E64" s="550">
        <f>'Pepsi data sheet'!E42</f>
        <v>13699</v>
      </c>
      <c r="F64" s="550">
        <f>'Pepsi data sheet'!F42</f>
        <v>13847</v>
      </c>
      <c r="G64" s="551"/>
      <c r="H64" s="61"/>
      <c r="I64" s="584">
        <f t="shared" si="33"/>
        <v>0.18540329302748521</v>
      </c>
      <c r="J64" s="584">
        <f t="shared" si="34"/>
        <v>0.15520027766630151</v>
      </c>
      <c r="K64" s="584">
        <f t="shared" si="35"/>
        <v>0.13662371262251854</v>
      </c>
      <c r="L64" s="584">
        <f t="shared" si="36"/>
        <v>0.13772406928931202</v>
      </c>
      <c r="M64" s="584">
        <f t="shared" si="37"/>
        <v>0.12893043696868686</v>
      </c>
      <c r="N64" s="587"/>
      <c r="O64" s="584"/>
      <c r="P64" s="584">
        <f>B64/$B$64</f>
        <v>1</v>
      </c>
      <c r="Q64" s="584">
        <f t="shared" ref="Q64:T64" si="42">C64/$B$64</f>
        <v>0.83546447130262158</v>
      </c>
      <c r="R64" s="584">
        <f t="shared" si="42"/>
        <v>0.8016582005021311</v>
      </c>
      <c r="S64" s="584">
        <f t="shared" si="42"/>
        <v>0.79984819291177678</v>
      </c>
      <c r="T64" s="584">
        <f t="shared" si="42"/>
        <v>0.8084895194721784</v>
      </c>
      <c r="U64" s="587"/>
    </row>
    <row r="65" spans="1:21" ht="13" x14ac:dyDescent="0.15">
      <c r="A65" s="542" t="s">
        <v>130</v>
      </c>
      <c r="B65" s="550">
        <f>'Pepsi data sheet'!B43</f>
        <v>2350</v>
      </c>
      <c r="C65" s="550">
        <f>'Pepsi data sheet'!C43</f>
        <v>3073</v>
      </c>
      <c r="D65" s="550">
        <f>'Pepsi data sheet'!D43</f>
        <v>2714</v>
      </c>
      <c r="E65" s="550">
        <f>'Pepsi data sheet'!E43</f>
        <v>1985</v>
      </c>
      <c r="F65" s="550">
        <f>'Pepsi data sheet'!F43</f>
        <v>2038</v>
      </c>
      <c r="G65" s="551"/>
      <c r="H65" s="61"/>
      <c r="I65" s="584">
        <f t="shared" si="33"/>
        <v>2.5439232709440662E-2</v>
      </c>
      <c r="J65" s="584">
        <f t="shared" si="34"/>
        <v>3.3330802520689394E-2</v>
      </c>
      <c r="K65" s="584">
        <f t="shared" si="35"/>
        <v>2.7006318722324493E-2</v>
      </c>
      <c r="L65" s="584">
        <f t="shared" si="36"/>
        <v>1.9956367438446924E-2</v>
      </c>
      <c r="M65" s="584">
        <f t="shared" si="37"/>
        <v>1.8975968118883788E-2</v>
      </c>
      <c r="N65" s="587"/>
      <c r="O65" s="584"/>
      <c r="P65" s="584">
        <f>B65/$B$65</f>
        <v>1</v>
      </c>
      <c r="Q65" s="584">
        <f t="shared" ref="Q65:T65" si="43">C65/$B$65</f>
        <v>1.307659574468085</v>
      </c>
      <c r="R65" s="584">
        <f t="shared" si="43"/>
        <v>1.1548936170212767</v>
      </c>
      <c r="S65" s="584">
        <f t="shared" si="43"/>
        <v>0.84468085106382984</v>
      </c>
      <c r="T65" s="584">
        <f t="shared" si="43"/>
        <v>0.86723404255319148</v>
      </c>
      <c r="U65" s="587"/>
    </row>
    <row r="66" spans="1:21" ht="13" x14ac:dyDescent="0.15">
      <c r="A66" s="542" t="s">
        <v>131</v>
      </c>
      <c r="B66" s="550">
        <f>'Pepsi data sheet'!B44</f>
        <v>4310</v>
      </c>
      <c r="C66" s="550">
        <f>'Pepsi data sheet'!C44</f>
        <v>4204</v>
      </c>
      <c r="D66" s="550">
        <f>'Pepsi data sheet'!D44</f>
        <v>4474</v>
      </c>
      <c r="E66" s="550">
        <f>'Pepsi data sheet'!E44</f>
        <v>4362</v>
      </c>
      <c r="F66" s="550">
        <f>'Pepsi data sheet'!F44</f>
        <v>4541</v>
      </c>
      <c r="G66" s="551"/>
      <c r="H66" s="61"/>
      <c r="I66" s="584">
        <f t="shared" si="33"/>
        <v>4.6656635309654998E-2</v>
      </c>
      <c r="J66" s="584">
        <f t="shared" si="34"/>
        <v>4.5598012950529843E-2</v>
      </c>
      <c r="K66" s="584">
        <f t="shared" si="35"/>
        <v>4.4519627842181206E-2</v>
      </c>
      <c r="L66" s="584">
        <f t="shared" si="36"/>
        <v>4.3853740436526685E-2</v>
      </c>
      <c r="M66" s="584">
        <f t="shared" si="37"/>
        <v>4.2281585489622811E-2</v>
      </c>
      <c r="N66" s="587"/>
      <c r="O66" s="584"/>
      <c r="P66" s="584">
        <f>B66/$B$66</f>
        <v>1</v>
      </c>
      <c r="Q66" s="584">
        <f t="shared" ref="Q66:T66" si="44">C66/$B$66</f>
        <v>0.97540603248259861</v>
      </c>
      <c r="R66" s="584">
        <f t="shared" si="44"/>
        <v>1.0380510440835267</v>
      </c>
      <c r="S66" s="584">
        <f t="shared" si="44"/>
        <v>1.0120649651972158</v>
      </c>
      <c r="T66" s="584">
        <f t="shared" si="44"/>
        <v>1.0535962877030163</v>
      </c>
      <c r="U66" s="587"/>
    </row>
    <row r="67" spans="1:21" ht="13" x14ac:dyDescent="0.15">
      <c r="A67" s="542" t="s">
        <v>132</v>
      </c>
      <c r="B67" s="550">
        <f>'Pepsi data sheet'!B45</f>
        <v>4481</v>
      </c>
      <c r="C67" s="550">
        <f>'Pepsi data sheet'!C45</f>
        <v>5292</v>
      </c>
      <c r="D67" s="550">
        <f>'Pepsi data sheet'!D45</f>
        <v>6661</v>
      </c>
      <c r="E67" s="550">
        <f>'Pepsi data sheet'!E45</f>
        <v>6951</v>
      </c>
      <c r="F67" s="550">
        <f>'Pepsi data sheet'!F45</f>
        <v>8984</v>
      </c>
      <c r="G67" s="551"/>
      <c r="H67" s="61"/>
      <c r="I67" s="584">
        <f t="shared" si="33"/>
        <v>4.8507745434469618E-2</v>
      </c>
      <c r="J67" s="584">
        <f t="shared" si="34"/>
        <v>5.7398830764558498E-2</v>
      </c>
      <c r="K67" s="584">
        <f t="shared" si="35"/>
        <v>6.6281904572366782E-2</v>
      </c>
      <c r="L67" s="584">
        <f t="shared" si="36"/>
        <v>6.9882473584203811E-2</v>
      </c>
      <c r="M67" s="584">
        <f t="shared" si="37"/>
        <v>8.365068576057505E-2</v>
      </c>
      <c r="N67" s="587"/>
      <c r="O67" s="584"/>
      <c r="P67" s="584">
        <f>B67/$B$67</f>
        <v>1</v>
      </c>
      <c r="Q67" s="584">
        <f t="shared" ref="Q67:T67" si="45">C67/$B$67</f>
        <v>1.1809863869671948</v>
      </c>
      <c r="R67" s="584">
        <f t="shared" si="45"/>
        <v>1.4864985494309306</v>
      </c>
      <c r="S67" s="584">
        <f t="shared" si="45"/>
        <v>1.5512162463735772</v>
      </c>
      <c r="T67" s="584">
        <f t="shared" si="45"/>
        <v>2.0049096183887527</v>
      </c>
      <c r="U67" s="587"/>
    </row>
    <row r="68" spans="1:21" ht="13" x14ac:dyDescent="0.15">
      <c r="A68" s="543" t="s">
        <v>54</v>
      </c>
      <c r="B68" s="553">
        <v>92377</v>
      </c>
      <c r="C68" s="553">
        <v>92197</v>
      </c>
      <c r="D68" s="553">
        <v>100495</v>
      </c>
      <c r="E68" s="553">
        <v>99467</v>
      </c>
      <c r="F68" s="553">
        <v>107399</v>
      </c>
      <c r="G68" s="554"/>
      <c r="H68" s="87"/>
      <c r="I68" s="585">
        <f t="shared" si="33"/>
        <v>1</v>
      </c>
      <c r="J68" s="585">
        <f t="shared" si="34"/>
        <v>1</v>
      </c>
      <c r="K68" s="585">
        <f t="shared" si="35"/>
        <v>1</v>
      </c>
      <c r="L68" s="585">
        <f t="shared" si="36"/>
        <v>1</v>
      </c>
      <c r="M68" s="585">
        <f t="shared" si="37"/>
        <v>1</v>
      </c>
      <c r="N68" s="589"/>
      <c r="O68" s="590"/>
      <c r="P68" s="585">
        <f>B68/$B$68</f>
        <v>1</v>
      </c>
      <c r="Q68" s="585">
        <f t="shared" ref="Q68:T68" si="46">C68/$B$68</f>
        <v>0.99805146302651093</v>
      </c>
      <c r="R68" s="585">
        <f t="shared" si="46"/>
        <v>1.0878790175043571</v>
      </c>
      <c r="S68" s="585">
        <f t="shared" si="46"/>
        <v>1.0767507063446529</v>
      </c>
      <c r="T68" s="585">
        <f t="shared" si="46"/>
        <v>1.1626162356430714</v>
      </c>
      <c r="U68" s="589"/>
    </row>
    <row r="69" spans="1:21" ht="8.25" customHeight="1" x14ac:dyDescent="0.15">
      <c r="A69" s="71"/>
      <c r="B69" s="555"/>
      <c r="C69" s="555"/>
      <c r="D69" s="555"/>
      <c r="E69" s="555"/>
      <c r="F69" s="555"/>
      <c r="G69" s="556"/>
      <c r="H69" s="113"/>
      <c r="I69" s="588"/>
      <c r="J69" s="588"/>
      <c r="K69" s="588"/>
      <c r="L69" s="588"/>
      <c r="M69" s="588"/>
      <c r="N69" s="591"/>
      <c r="O69" s="586"/>
      <c r="P69" s="588"/>
      <c r="Q69" s="588"/>
      <c r="R69" s="588"/>
      <c r="S69" s="588"/>
      <c r="T69" s="588"/>
      <c r="U69" s="591"/>
    </row>
    <row r="70" spans="1:21" ht="13" x14ac:dyDescent="0.15">
      <c r="A70" s="541" t="s">
        <v>55</v>
      </c>
      <c r="B70" s="550"/>
      <c r="C70" s="550"/>
      <c r="D70" s="550"/>
      <c r="E70" s="550"/>
      <c r="F70" s="550"/>
      <c r="G70" s="551"/>
      <c r="H70" s="61"/>
      <c r="I70" s="584"/>
      <c r="J70" s="584"/>
      <c r="K70" s="584"/>
      <c r="L70" s="584"/>
      <c r="M70" s="584"/>
      <c r="N70" s="587"/>
      <c r="O70" s="584"/>
      <c r="P70" s="584"/>
      <c r="Q70" s="584"/>
      <c r="R70" s="584"/>
      <c r="S70" s="584"/>
      <c r="T70" s="584"/>
      <c r="U70" s="587"/>
    </row>
    <row r="71" spans="1:21" ht="13" x14ac:dyDescent="0.15">
      <c r="A71" s="542" t="s">
        <v>56</v>
      </c>
      <c r="B71" s="550"/>
      <c r="C71" s="550"/>
      <c r="D71" s="550"/>
      <c r="E71" s="550"/>
      <c r="F71" s="550"/>
      <c r="G71" s="551"/>
      <c r="H71" s="61"/>
      <c r="I71" s="584"/>
      <c r="J71" s="584"/>
      <c r="K71" s="584"/>
      <c r="L71" s="584"/>
      <c r="M71" s="584"/>
      <c r="N71" s="587"/>
      <c r="O71" s="584"/>
      <c r="P71" s="584"/>
      <c r="Q71" s="584"/>
      <c r="R71" s="584"/>
      <c r="S71" s="584"/>
      <c r="T71" s="584"/>
      <c r="U71" s="587"/>
    </row>
    <row r="72" spans="1:21" ht="13" x14ac:dyDescent="0.15">
      <c r="A72" s="542" t="s">
        <v>133</v>
      </c>
      <c r="B72" s="550">
        <f>'Pepsi data sheet'!B48</f>
        <v>4308</v>
      </c>
      <c r="C72" s="550">
        <f>'Pepsi data sheet'!C48</f>
        <v>3414</v>
      </c>
      <c r="D72" s="550">
        <f>'Pepsi data sheet'!D48</f>
        <v>6510</v>
      </c>
      <c r="E72" s="550">
        <f>'Pepsi data sheet'!E48</f>
        <v>7082</v>
      </c>
      <c r="F72" s="550">
        <f>'Pepsi data sheet'!F48</f>
        <v>6861</v>
      </c>
      <c r="G72" s="551"/>
      <c r="H72" s="61"/>
      <c r="I72" s="584">
        <f t="shared" ref="I72:I95" si="47">B72/$B$68</f>
        <v>4.6634984898838452E-2</v>
      </c>
      <c r="J72" s="584">
        <f t="shared" ref="J72:J95" si="48">C72/$C$68</f>
        <v>3.7029404427475945E-2</v>
      </c>
      <c r="K72" s="584">
        <f t="shared" ref="K72:K95" si="49">D72/$D$68</f>
        <v>6.4779342255833622E-2</v>
      </c>
      <c r="L72" s="584">
        <f t="shared" ref="L72:L95" si="50">E72/$E$68</f>
        <v>7.1199493299285196E-2</v>
      </c>
      <c r="M72" s="584">
        <f t="shared" ref="M72:M95" si="51">F72/$F$68</f>
        <v>6.3883276380599444E-2</v>
      </c>
      <c r="N72" s="587"/>
      <c r="O72" s="584"/>
      <c r="P72" s="584">
        <f>B72/$B$72</f>
        <v>1</v>
      </c>
      <c r="Q72" s="584">
        <f t="shared" ref="Q72:T72" si="52">C72/$B$72</f>
        <v>0.79247910863509752</v>
      </c>
      <c r="R72" s="584">
        <f t="shared" si="52"/>
        <v>1.5111420612813371</v>
      </c>
      <c r="S72" s="584">
        <f t="shared" si="52"/>
        <v>1.6439182915506034</v>
      </c>
      <c r="T72" s="584">
        <f t="shared" si="52"/>
        <v>1.5926183844011141</v>
      </c>
      <c r="U72" s="587"/>
    </row>
    <row r="73" spans="1:21" ht="13" x14ac:dyDescent="0.15">
      <c r="A73" s="542" t="s">
        <v>134</v>
      </c>
      <c r="B73" s="550">
        <f>'Pepsi data sheet'!B49</f>
        <v>21159</v>
      </c>
      <c r="C73" s="550">
        <f>'Pepsi data sheet'!C49</f>
        <v>23371</v>
      </c>
      <c r="D73" s="550">
        <f>'Pepsi data sheet'!D49</f>
        <v>25137</v>
      </c>
      <c r="E73" s="550">
        <f>'Pepsi data sheet'!E49</f>
        <v>24454</v>
      </c>
      <c r="F73" s="550">
        <f>'Pepsi data sheet'!F49</f>
        <v>25903</v>
      </c>
      <c r="G73" s="551"/>
      <c r="H73" s="61"/>
      <c r="I73" s="584">
        <f t="shared" si="47"/>
        <v>0.22905052123364042</v>
      </c>
      <c r="J73" s="584">
        <f t="shared" si="48"/>
        <v>0.25348980986366149</v>
      </c>
      <c r="K73" s="584">
        <f t="shared" si="49"/>
        <v>0.25013184735558985</v>
      </c>
      <c r="L73" s="584">
        <f t="shared" si="50"/>
        <v>0.24585038253893252</v>
      </c>
      <c r="M73" s="584">
        <f t="shared" si="51"/>
        <v>0.24118474101248616</v>
      </c>
      <c r="N73" s="587"/>
      <c r="O73" s="584"/>
      <c r="P73" s="584">
        <f>B73/$B$73</f>
        <v>1</v>
      </c>
      <c r="Q73" s="584">
        <f t="shared" ref="Q73:T73" si="53">C73/$B$73</f>
        <v>1.1045418025426532</v>
      </c>
      <c r="R73" s="584">
        <f t="shared" si="53"/>
        <v>1.1880051042109741</v>
      </c>
      <c r="S73" s="584">
        <f t="shared" si="53"/>
        <v>1.1557256959213573</v>
      </c>
      <c r="T73" s="584">
        <f t="shared" si="53"/>
        <v>1.2242071931565763</v>
      </c>
      <c r="U73" s="587"/>
    </row>
    <row r="74" spans="1:21" ht="13" x14ac:dyDescent="0.15">
      <c r="A74" s="568" t="s">
        <v>135</v>
      </c>
      <c r="B74" s="550">
        <f>'Pepsi data sheet'!B50</f>
        <v>753</v>
      </c>
      <c r="C74" s="550">
        <f>'Pepsi data sheet'!C50</f>
        <v>0</v>
      </c>
      <c r="D74" s="550">
        <f>'Pepsi data sheet'!D50</f>
        <v>0</v>
      </c>
      <c r="E74" s="550">
        <f>'Pepsi data sheet'!E50</f>
        <v>0</v>
      </c>
      <c r="F74" s="550">
        <f>'Pepsi data sheet'!F50</f>
        <v>0</v>
      </c>
      <c r="G74" s="551"/>
      <c r="H74" s="61"/>
      <c r="I74" s="584">
        <f t="shared" si="47"/>
        <v>8.1513796724292844E-3</v>
      </c>
      <c r="J74" s="584">
        <f t="shared" si="48"/>
        <v>0</v>
      </c>
      <c r="K74" s="584">
        <f t="shared" si="49"/>
        <v>0</v>
      </c>
      <c r="L74" s="584">
        <f t="shared" si="50"/>
        <v>0</v>
      </c>
      <c r="M74" s="584">
        <f t="shared" si="51"/>
        <v>0</v>
      </c>
      <c r="N74" s="587"/>
      <c r="O74" s="584"/>
      <c r="P74" s="584">
        <f>B74/$B$74</f>
        <v>1</v>
      </c>
      <c r="Q74" s="584">
        <f t="shared" ref="Q74:T74" si="54">C74/$B$74</f>
        <v>0</v>
      </c>
      <c r="R74" s="584">
        <f t="shared" si="54"/>
        <v>0</v>
      </c>
      <c r="S74" s="584">
        <f t="shared" si="54"/>
        <v>0</v>
      </c>
      <c r="T74" s="584">
        <f t="shared" si="54"/>
        <v>0</v>
      </c>
      <c r="U74" s="587"/>
    </row>
    <row r="75" spans="1:21" ht="13" hidden="1" x14ac:dyDescent="0.15">
      <c r="A75" s="542" t="s">
        <v>136</v>
      </c>
      <c r="B75" s="550"/>
      <c r="C75" s="550"/>
      <c r="D75" s="550"/>
      <c r="E75" s="550"/>
      <c r="F75" s="550"/>
      <c r="G75" s="551"/>
      <c r="H75" s="61"/>
      <c r="I75" s="584">
        <f t="shared" si="47"/>
        <v>0</v>
      </c>
      <c r="J75" s="584">
        <f t="shared" si="48"/>
        <v>0</v>
      </c>
      <c r="K75" s="584">
        <f t="shared" si="49"/>
        <v>0</v>
      </c>
      <c r="L75" s="584">
        <f t="shared" si="50"/>
        <v>0</v>
      </c>
      <c r="M75" s="584">
        <f t="shared" si="51"/>
        <v>0</v>
      </c>
      <c r="N75" s="587"/>
      <c r="O75" s="584"/>
      <c r="P75" s="584">
        <f t="shared" ref="P75:P76" si="55">B75/$B$68</f>
        <v>0</v>
      </c>
      <c r="Q75" s="584">
        <f t="shared" ref="Q75:Q76" si="56">C75/$B$68</f>
        <v>0</v>
      </c>
      <c r="R75" s="584">
        <f t="shared" ref="R75:R76" si="57">D75/$B$68</f>
        <v>0</v>
      </c>
      <c r="S75" s="584">
        <f t="shared" ref="S75:S76" si="58">E75/$B$68</f>
        <v>0</v>
      </c>
      <c r="T75" s="584">
        <f t="shared" ref="T75:T76" si="59">F75/$B$68</f>
        <v>0</v>
      </c>
      <c r="U75" s="587"/>
    </row>
    <row r="76" spans="1:21" ht="13" hidden="1" x14ac:dyDescent="0.15">
      <c r="A76" s="542" t="s">
        <v>137</v>
      </c>
      <c r="B76" s="550"/>
      <c r="C76" s="550"/>
      <c r="D76" s="550"/>
      <c r="E76" s="550"/>
      <c r="F76" s="550"/>
      <c r="G76" s="551"/>
      <c r="H76" s="61"/>
      <c r="I76" s="584">
        <f t="shared" si="47"/>
        <v>0</v>
      </c>
      <c r="J76" s="584">
        <f t="shared" si="48"/>
        <v>0</v>
      </c>
      <c r="K76" s="584">
        <f t="shared" si="49"/>
        <v>0</v>
      </c>
      <c r="L76" s="584">
        <f t="shared" si="50"/>
        <v>0</v>
      </c>
      <c r="M76" s="584">
        <f t="shared" si="51"/>
        <v>0</v>
      </c>
      <c r="N76" s="587"/>
      <c r="O76" s="584"/>
      <c r="P76" s="584">
        <f t="shared" si="55"/>
        <v>0</v>
      </c>
      <c r="Q76" s="584">
        <f t="shared" si="56"/>
        <v>0</v>
      </c>
      <c r="R76" s="584">
        <f t="shared" si="57"/>
        <v>0</v>
      </c>
      <c r="S76" s="584">
        <f t="shared" si="58"/>
        <v>0</v>
      </c>
      <c r="T76" s="584">
        <f t="shared" si="59"/>
        <v>0</v>
      </c>
      <c r="U76" s="587"/>
    </row>
    <row r="77" spans="1:21" ht="13" x14ac:dyDescent="0.15">
      <c r="A77" s="543" t="s">
        <v>63</v>
      </c>
      <c r="B77" s="553">
        <f>SUM(B72:B74)</f>
        <v>26220</v>
      </c>
      <c r="C77" s="553">
        <f t="shared" ref="C77:F77" si="60">SUM(C72:C74)</f>
        <v>26785</v>
      </c>
      <c r="D77" s="553">
        <f t="shared" si="60"/>
        <v>31647</v>
      </c>
      <c r="E77" s="553">
        <f t="shared" si="60"/>
        <v>31536</v>
      </c>
      <c r="F77" s="553">
        <f t="shared" si="60"/>
        <v>32764</v>
      </c>
      <c r="G77" s="554"/>
      <c r="H77" s="186"/>
      <c r="I77" s="592">
        <f t="shared" si="47"/>
        <v>0.28383688580490812</v>
      </c>
      <c r="J77" s="592">
        <f t="shared" si="48"/>
        <v>0.29051921429113747</v>
      </c>
      <c r="K77" s="592">
        <f t="shared" si="49"/>
        <v>0.31491118961142345</v>
      </c>
      <c r="L77" s="592">
        <f t="shared" si="50"/>
        <v>0.3170498758382177</v>
      </c>
      <c r="M77" s="592">
        <f t="shared" si="51"/>
        <v>0.30506801739308559</v>
      </c>
      <c r="N77" s="593"/>
      <c r="O77" s="585"/>
      <c r="P77" s="592">
        <f>B77/$B$77</f>
        <v>1</v>
      </c>
      <c r="Q77" s="592">
        <f t="shared" ref="Q77:T77" si="61">C77/$B$77</f>
        <v>1.0215484363081617</v>
      </c>
      <c r="R77" s="592">
        <f t="shared" si="61"/>
        <v>1.206979405034325</v>
      </c>
      <c r="S77" s="592">
        <f t="shared" si="61"/>
        <v>1.202745995423341</v>
      </c>
      <c r="T77" s="592">
        <f t="shared" si="61"/>
        <v>1.2495804729214339</v>
      </c>
      <c r="U77" s="593"/>
    </row>
    <row r="78" spans="1:21" ht="13" x14ac:dyDescent="0.15">
      <c r="A78" s="542" t="s">
        <v>138</v>
      </c>
      <c r="B78" s="550">
        <f>'Pepsi data sheet'!B52</f>
        <v>36026</v>
      </c>
      <c r="C78" s="550">
        <f>'Pepsi data sheet'!C52</f>
        <v>35657</v>
      </c>
      <c r="D78" s="550">
        <f>'Pepsi data sheet'!D52</f>
        <v>37595</v>
      </c>
      <c r="E78" s="550">
        <f>'Pepsi data sheet'!E52</f>
        <v>37224</v>
      </c>
      <c r="F78" s="550">
        <f>'Pepsi data sheet'!F52</f>
        <v>42321</v>
      </c>
      <c r="G78" s="551"/>
      <c r="H78" s="61"/>
      <c r="I78" s="584">
        <f t="shared" si="47"/>
        <v>0.38998885003842948</v>
      </c>
      <c r="J78" s="584">
        <f t="shared" si="48"/>
        <v>0.38674794190700346</v>
      </c>
      <c r="K78" s="584">
        <f t="shared" si="49"/>
        <v>0.37409821384148467</v>
      </c>
      <c r="L78" s="584">
        <f t="shared" si="50"/>
        <v>0.37423467079533917</v>
      </c>
      <c r="M78" s="584">
        <f t="shared" si="51"/>
        <v>0.3940539483607855</v>
      </c>
      <c r="N78" s="587"/>
      <c r="O78" s="588"/>
      <c r="P78" s="584">
        <f>B78/$B$78</f>
        <v>1</v>
      </c>
      <c r="Q78" s="584">
        <f t="shared" ref="Q78:T78" si="62">C78/$B$78</f>
        <v>0.98975739743518565</v>
      </c>
      <c r="R78" s="584">
        <f t="shared" si="62"/>
        <v>1.0435518791983567</v>
      </c>
      <c r="S78" s="584">
        <f t="shared" si="62"/>
        <v>1.0332537611724866</v>
      </c>
      <c r="T78" s="584">
        <f t="shared" si="62"/>
        <v>1.1747349136734579</v>
      </c>
      <c r="U78" s="587"/>
    </row>
    <row r="79" spans="1:21" ht="13" x14ac:dyDescent="0.15">
      <c r="A79" s="542" t="s">
        <v>139</v>
      </c>
      <c r="B79" s="550">
        <f>'Pepsi data sheet'!B53</f>
        <v>4826</v>
      </c>
      <c r="C79" s="550">
        <f>'Pepsi data sheet'!C53</f>
        <v>4133</v>
      </c>
      <c r="D79" s="550">
        <f>'Pepsi data sheet'!D53</f>
        <v>3895</v>
      </c>
      <c r="E79" s="550">
        <f>'Pepsi data sheet'!E53</f>
        <v>3484</v>
      </c>
      <c r="F79" s="550">
        <f>'Pepsi data sheet'!F53</f>
        <v>3802</v>
      </c>
      <c r="G79" s="551"/>
      <c r="H79" s="61"/>
      <c r="I79" s="584">
        <f t="shared" si="47"/>
        <v>5.2242441300323676E-2</v>
      </c>
      <c r="J79" s="584">
        <f t="shared" si="48"/>
        <v>4.4827922817445257E-2</v>
      </c>
      <c r="K79" s="584">
        <f t="shared" si="49"/>
        <v>3.875814717150107E-2</v>
      </c>
      <c r="L79" s="584">
        <f t="shared" si="50"/>
        <v>3.5026692269798022E-2</v>
      </c>
      <c r="M79" s="584">
        <f t="shared" si="51"/>
        <v>3.5400702054953957E-2</v>
      </c>
      <c r="N79" s="587"/>
      <c r="O79" s="584"/>
      <c r="P79" s="584">
        <f>B79/$B$79</f>
        <v>1</v>
      </c>
      <c r="Q79" s="584">
        <f t="shared" ref="Q79:T79" si="63">C79/$B$79</f>
        <v>0.85640281806879404</v>
      </c>
      <c r="R79" s="584">
        <f t="shared" si="63"/>
        <v>0.80708661417322836</v>
      </c>
      <c r="S79" s="584">
        <f t="shared" si="63"/>
        <v>0.72192291753004556</v>
      </c>
      <c r="T79" s="584">
        <f t="shared" si="63"/>
        <v>0.78781599668462499</v>
      </c>
      <c r="U79" s="587"/>
    </row>
    <row r="80" spans="1:21" ht="13" x14ac:dyDescent="0.15">
      <c r="A80" s="542" t="s">
        <v>140</v>
      </c>
      <c r="B80" s="550">
        <f>'Pepsi data sheet'!B54</f>
        <v>9154</v>
      </c>
      <c r="C80" s="550">
        <f>'Pepsi data sheet'!C54</f>
        <v>8339</v>
      </c>
      <c r="D80" s="550">
        <f>'Pepsi data sheet'!D54</f>
        <v>8721</v>
      </c>
      <c r="E80" s="550">
        <f>'Pepsi data sheet'!E54</f>
        <v>9052</v>
      </c>
      <c r="F80" s="550">
        <f>'Pepsi data sheet'!F54</f>
        <v>7965</v>
      </c>
      <c r="G80" s="551"/>
      <c r="H80" s="61"/>
      <c r="I80" s="584">
        <f t="shared" si="47"/>
        <v>9.9093930307327577E-2</v>
      </c>
      <c r="J80" s="584">
        <f t="shared" si="48"/>
        <v>9.0447628447780301E-2</v>
      </c>
      <c r="K80" s="584">
        <f t="shared" si="49"/>
        <v>8.6780436837653616E-2</v>
      </c>
      <c r="L80" s="584">
        <f t="shared" si="50"/>
        <v>9.1005056953562494E-2</v>
      </c>
      <c r="M80" s="584">
        <f t="shared" si="51"/>
        <v>7.4162701701133163E-2</v>
      </c>
      <c r="N80" s="587"/>
      <c r="O80" s="584"/>
      <c r="P80" s="584">
        <f>B80/$B$80</f>
        <v>1</v>
      </c>
      <c r="Q80" s="584">
        <f t="shared" ref="Q80:T80" si="64">C80/$B$80</f>
        <v>0.91096788289272446</v>
      </c>
      <c r="R80" s="584">
        <f t="shared" si="64"/>
        <v>0.95269827397858864</v>
      </c>
      <c r="S80" s="584">
        <f t="shared" si="64"/>
        <v>0.98885733012890542</v>
      </c>
      <c r="T80" s="584">
        <f t="shared" si="64"/>
        <v>0.870111426698711</v>
      </c>
      <c r="U80" s="587"/>
    </row>
    <row r="81" spans="1:21" ht="13" x14ac:dyDescent="0.15">
      <c r="A81" s="543" t="s">
        <v>67</v>
      </c>
      <c r="B81" s="553">
        <f>SUM(B78:B80)</f>
        <v>50006</v>
      </c>
      <c r="C81" s="553">
        <f t="shared" ref="C81:F81" si="65">SUM(C78:C80)</f>
        <v>48129</v>
      </c>
      <c r="D81" s="553">
        <f t="shared" si="65"/>
        <v>50211</v>
      </c>
      <c r="E81" s="553">
        <f t="shared" si="65"/>
        <v>49760</v>
      </c>
      <c r="F81" s="553">
        <f t="shared" si="65"/>
        <v>54088</v>
      </c>
      <c r="G81" s="554"/>
      <c r="H81" s="87"/>
      <c r="I81" s="585">
        <f t="shared" si="47"/>
        <v>0.54132522164608077</v>
      </c>
      <c r="J81" s="585">
        <f t="shared" si="48"/>
        <v>0.52202349317222907</v>
      </c>
      <c r="K81" s="585">
        <f t="shared" si="49"/>
        <v>0.49963679785063936</v>
      </c>
      <c r="L81" s="585">
        <f t="shared" si="50"/>
        <v>0.5002664200186997</v>
      </c>
      <c r="M81" s="585">
        <f t="shared" si="51"/>
        <v>0.50361735211687264</v>
      </c>
      <c r="N81" s="589"/>
      <c r="O81" s="585"/>
      <c r="P81" s="585">
        <f>B81/$B$81</f>
        <v>1</v>
      </c>
      <c r="Q81" s="585">
        <f t="shared" ref="Q81:T81" si="66">C81/$B$81</f>
        <v>0.96246450425948882</v>
      </c>
      <c r="R81" s="585">
        <f t="shared" si="66"/>
        <v>1.0040995080590329</v>
      </c>
      <c r="S81" s="585">
        <f t="shared" si="66"/>
        <v>0.99508059032916052</v>
      </c>
      <c r="T81" s="585">
        <f t="shared" si="66"/>
        <v>1.0816302043754749</v>
      </c>
      <c r="U81" s="589"/>
    </row>
    <row r="82" spans="1:21" ht="13" x14ac:dyDescent="0.15">
      <c r="A82" s="542" t="s">
        <v>68</v>
      </c>
      <c r="B82" s="550"/>
      <c r="C82" s="550"/>
      <c r="D82" s="550"/>
      <c r="E82" s="550"/>
      <c r="F82" s="550"/>
      <c r="G82" s="551"/>
      <c r="H82" s="61"/>
      <c r="I82" s="584">
        <f t="shared" si="47"/>
        <v>0</v>
      </c>
      <c r="J82" s="584">
        <f t="shared" si="48"/>
        <v>0</v>
      </c>
      <c r="K82" s="584">
        <f t="shared" si="49"/>
        <v>0</v>
      </c>
      <c r="L82" s="584">
        <f t="shared" si="50"/>
        <v>0</v>
      </c>
      <c r="M82" s="584">
        <f t="shared" si="51"/>
        <v>0</v>
      </c>
      <c r="N82" s="587"/>
      <c r="O82" s="584"/>
      <c r="P82" s="584"/>
      <c r="Q82" s="584"/>
      <c r="R82" s="584"/>
      <c r="S82" s="584"/>
      <c r="T82" s="584"/>
      <c r="U82" s="587"/>
    </row>
    <row r="83" spans="1:21" ht="13" x14ac:dyDescent="0.15">
      <c r="A83" s="542" t="s">
        <v>141</v>
      </c>
      <c r="B83" s="550">
        <f>'Pepsi data sheet'!B57</f>
        <v>3600</v>
      </c>
      <c r="C83" s="550">
        <f>'Pepsi data sheet'!C57</f>
        <v>3600</v>
      </c>
      <c r="D83" s="550">
        <f>'Pepsi data sheet'!D57</f>
        <v>3600</v>
      </c>
      <c r="E83" s="550">
        <f>'Pepsi data sheet'!E57</f>
        <v>3600</v>
      </c>
      <c r="F83" s="550">
        <f>'Pepsi data sheet'!F57</f>
        <v>3600</v>
      </c>
      <c r="G83" s="551"/>
      <c r="H83" s="61"/>
      <c r="I83" s="584">
        <f t="shared" si="47"/>
        <v>3.897073946978144E-2</v>
      </c>
      <c r="J83" s="584">
        <f t="shared" si="48"/>
        <v>3.9046823649359526E-2</v>
      </c>
      <c r="K83" s="584">
        <f t="shared" si="49"/>
        <v>3.5822677745161451E-2</v>
      </c>
      <c r="L83" s="584">
        <f t="shared" si="50"/>
        <v>3.6192908200709785E-2</v>
      </c>
      <c r="M83" s="584">
        <f t="shared" si="51"/>
        <v>3.3519865175653404E-2</v>
      </c>
      <c r="N83" s="587"/>
      <c r="O83" s="584"/>
      <c r="P83" s="584">
        <f>B83/$B$83</f>
        <v>1</v>
      </c>
      <c r="Q83" s="584">
        <f t="shared" ref="Q83:T83" si="67">C83/$B$83</f>
        <v>1</v>
      </c>
      <c r="R83" s="584">
        <f t="shared" si="67"/>
        <v>1</v>
      </c>
      <c r="S83" s="584">
        <f t="shared" si="67"/>
        <v>1</v>
      </c>
      <c r="T83" s="584">
        <f t="shared" si="67"/>
        <v>1</v>
      </c>
      <c r="U83" s="587"/>
    </row>
    <row r="84" spans="1:21" ht="13" x14ac:dyDescent="0.15">
      <c r="A84" s="542" t="s">
        <v>142</v>
      </c>
      <c r="B84" s="550">
        <f>'Pepsi data sheet'!B58</f>
        <v>1383</v>
      </c>
      <c r="C84" s="550">
        <f>'Pepsi data sheet'!C58</f>
        <v>1377</v>
      </c>
      <c r="D84" s="550">
        <f>'Pepsi data sheet'!D58</f>
        <v>1374</v>
      </c>
      <c r="E84" s="550">
        <f>'Pepsi data sheet'!E58</f>
        <v>1372</v>
      </c>
      <c r="F84" s="550">
        <f>'Pepsi data sheet'!F58</f>
        <v>1367</v>
      </c>
      <c r="G84" s="551"/>
      <c r="H84" s="61"/>
      <c r="I84" s="584">
        <f t="shared" si="47"/>
        <v>1.4971259079641036E-2</v>
      </c>
      <c r="J84" s="584">
        <f t="shared" si="48"/>
        <v>1.4935410045880018E-2</v>
      </c>
      <c r="K84" s="584">
        <f t="shared" si="49"/>
        <v>1.3672322006069954E-2</v>
      </c>
      <c r="L84" s="584">
        <f t="shared" si="50"/>
        <v>1.379351945871495E-2</v>
      </c>
      <c r="M84" s="584">
        <f t="shared" si="51"/>
        <v>1.272823769308839E-2</v>
      </c>
      <c r="N84" s="587"/>
      <c r="O84" s="584"/>
      <c r="P84" s="584">
        <f>B84/$B$84</f>
        <v>1</v>
      </c>
      <c r="Q84" s="584">
        <f t="shared" ref="Q84:T84" si="68">C84/$B$84</f>
        <v>0.99566160520607372</v>
      </c>
      <c r="R84" s="584">
        <f t="shared" si="68"/>
        <v>0.99349240780911063</v>
      </c>
      <c r="S84" s="584">
        <f t="shared" si="68"/>
        <v>0.99204627621113517</v>
      </c>
      <c r="T84" s="584">
        <f t="shared" si="68"/>
        <v>0.98843094721619662</v>
      </c>
      <c r="U84" s="587"/>
    </row>
    <row r="85" spans="1:21" ht="13" x14ac:dyDescent="0.15">
      <c r="A85" s="542"/>
      <c r="B85" s="550"/>
      <c r="C85" s="550"/>
      <c r="D85" s="550"/>
      <c r="E85" s="550"/>
      <c r="F85" s="550"/>
      <c r="G85" s="551"/>
      <c r="H85" s="61"/>
      <c r="I85" s="584">
        <f t="shared" si="47"/>
        <v>0</v>
      </c>
      <c r="J85" s="584">
        <f t="shared" si="48"/>
        <v>0</v>
      </c>
      <c r="K85" s="584">
        <f t="shared" si="49"/>
        <v>0</v>
      </c>
      <c r="L85" s="584">
        <f t="shared" si="50"/>
        <v>0</v>
      </c>
      <c r="M85" s="584">
        <f t="shared" si="51"/>
        <v>0</v>
      </c>
      <c r="N85" s="587"/>
      <c r="O85" s="584"/>
      <c r="P85" s="584"/>
      <c r="Q85" s="584"/>
      <c r="R85" s="584"/>
      <c r="S85" s="584"/>
      <c r="T85" s="584"/>
      <c r="U85" s="587"/>
    </row>
    <row r="86" spans="1:21" ht="13" x14ac:dyDescent="0.15">
      <c r="A86" s="568" t="s">
        <v>143</v>
      </c>
      <c r="B86" s="550">
        <f>'Pepsi data sheet'!B60</f>
        <v>23</v>
      </c>
      <c r="C86" s="550">
        <f>'Pepsi data sheet'!C60</f>
        <v>23</v>
      </c>
      <c r="D86" s="550">
        <f>'Pepsi data sheet'!D60</f>
        <v>23</v>
      </c>
      <c r="E86" s="550">
        <f>'Pepsi data sheet'!E60</f>
        <v>23</v>
      </c>
      <c r="F86" s="550">
        <f>'Pepsi data sheet'!F60</f>
        <v>23</v>
      </c>
      <c r="G86" s="551"/>
      <c r="H86" s="61"/>
      <c r="I86" s="584">
        <f t="shared" si="47"/>
        <v>2.4897972439027029E-4</v>
      </c>
      <c r="J86" s="584">
        <f t="shared" si="48"/>
        <v>2.4946581775979698E-4</v>
      </c>
      <c r="K86" s="584">
        <f t="shared" si="49"/>
        <v>2.2886710781630927E-4</v>
      </c>
      <c r="L86" s="584">
        <f t="shared" si="50"/>
        <v>2.3123246906009027E-4</v>
      </c>
      <c r="M86" s="584">
        <f t="shared" si="51"/>
        <v>2.1415469417778563E-4</v>
      </c>
      <c r="N86" s="587"/>
      <c r="O86" s="584"/>
      <c r="P86" s="584">
        <f>B86/$B$86</f>
        <v>1</v>
      </c>
      <c r="Q86" s="584">
        <f t="shared" ref="Q86:T86" si="69">C86/$B$86</f>
        <v>1</v>
      </c>
      <c r="R86" s="584">
        <f t="shared" si="69"/>
        <v>1</v>
      </c>
      <c r="S86" s="584">
        <f t="shared" si="69"/>
        <v>1</v>
      </c>
      <c r="T86" s="584">
        <f t="shared" si="69"/>
        <v>1</v>
      </c>
      <c r="U86" s="587"/>
    </row>
    <row r="87" spans="1:21" ht="13" x14ac:dyDescent="0.15">
      <c r="A87" s="568" t="s">
        <v>144</v>
      </c>
      <c r="B87" s="550">
        <f>'Pepsi data sheet'!B61</f>
        <v>4001</v>
      </c>
      <c r="C87" s="550">
        <f>'Pepsi data sheet'!C61</f>
        <v>4134</v>
      </c>
      <c r="D87" s="550">
        <f>'Pepsi data sheet'!D61</f>
        <v>4261</v>
      </c>
      <c r="E87" s="550">
        <f>'Pepsi data sheet'!E61</f>
        <v>4385</v>
      </c>
      <c r="F87" s="550">
        <f>'Pepsi data sheet'!F61</f>
        <v>4451</v>
      </c>
      <c r="G87" s="551"/>
      <c r="H87" s="61"/>
      <c r="I87" s="584">
        <f t="shared" si="47"/>
        <v>4.3311646838498759E-2</v>
      </c>
      <c r="J87" s="584">
        <f t="shared" si="48"/>
        <v>4.4838769157347851E-2</v>
      </c>
      <c r="K87" s="584">
        <f t="shared" si="49"/>
        <v>4.2400119408925817E-2</v>
      </c>
      <c r="L87" s="584">
        <f t="shared" si="50"/>
        <v>4.4084972905586779E-2</v>
      </c>
      <c r="M87" s="584">
        <f t="shared" si="51"/>
        <v>4.1443588860231473E-2</v>
      </c>
      <c r="N87" s="587"/>
      <c r="O87" s="584"/>
      <c r="P87" s="584">
        <f>B87/$B$87</f>
        <v>1</v>
      </c>
      <c r="Q87" s="584">
        <f t="shared" ref="Q87:T87" si="70">C87/$B$87</f>
        <v>1.0332416895776055</v>
      </c>
      <c r="R87" s="584">
        <f t="shared" si="70"/>
        <v>1.0649837540614846</v>
      </c>
      <c r="S87" s="584">
        <f t="shared" si="70"/>
        <v>1.0959760059985004</v>
      </c>
      <c r="T87" s="584">
        <f t="shared" si="70"/>
        <v>1.1124718820294925</v>
      </c>
      <c r="U87" s="587"/>
    </row>
    <row r="88" spans="1:21" ht="13" x14ac:dyDescent="0.15">
      <c r="A88" s="568" t="s">
        <v>145</v>
      </c>
      <c r="B88" s="550">
        <f>'Pepsi data sheet'!B62</f>
        <v>65165</v>
      </c>
      <c r="C88" s="550">
        <f>'Pepsi data sheet'!C62</f>
        <v>67800</v>
      </c>
      <c r="D88" s="550">
        <f>'Pepsi data sheet'!D62</f>
        <v>70035</v>
      </c>
      <c r="E88" s="550">
        <f>'Pepsi data sheet'!E62</f>
        <v>72266</v>
      </c>
      <c r="F88" s="550">
        <f>'Pepsi data sheet'!F62</f>
        <v>72788</v>
      </c>
      <c r="G88" s="551"/>
      <c r="H88" s="61"/>
      <c r="I88" s="584">
        <f t="shared" si="47"/>
        <v>0.70542451043008536</v>
      </c>
      <c r="J88" s="584">
        <f t="shared" si="48"/>
        <v>0.73538184539627105</v>
      </c>
      <c r="K88" s="584">
        <f t="shared" si="49"/>
        <v>0.69690034330066175</v>
      </c>
      <c r="L88" s="584">
        <f t="shared" si="50"/>
        <v>0.72653241778680366</v>
      </c>
      <c r="M88" s="584">
        <f t="shared" si="51"/>
        <v>0.67773442955707219</v>
      </c>
      <c r="N88" s="587"/>
      <c r="O88" s="584"/>
      <c r="P88" s="584">
        <f>B88/$B$88</f>
        <v>1</v>
      </c>
      <c r="Q88" s="584">
        <f t="shared" ref="Q88:T88" si="71">C88/$B$88</f>
        <v>1.0404358167728074</v>
      </c>
      <c r="R88" s="584">
        <f t="shared" si="71"/>
        <v>1.0747333691398757</v>
      </c>
      <c r="S88" s="584">
        <f t="shared" si="71"/>
        <v>1.1089695388628866</v>
      </c>
      <c r="T88" s="584">
        <f t="shared" si="71"/>
        <v>1.1169799739123762</v>
      </c>
      <c r="U88" s="587"/>
    </row>
    <row r="89" spans="1:21" ht="13" x14ac:dyDescent="0.15">
      <c r="A89" s="568" t="s">
        <v>146</v>
      </c>
      <c r="B89" s="550">
        <f>'Pepsi data sheet'!B63</f>
        <v>-14898</v>
      </c>
      <c r="C89" s="550">
        <f>'Pepsi data sheet'!C63</f>
        <v>-15302</v>
      </c>
      <c r="D89" s="550">
        <f>'Pepsi data sheet'!D63</f>
        <v>-15534</v>
      </c>
      <c r="E89" s="550">
        <f>'Pepsi data sheet'!E63</f>
        <v>-17612</v>
      </c>
      <c r="F89" s="550">
        <f>'Pepsi data sheet'!F63</f>
        <v>-15024</v>
      </c>
      <c r="G89" s="551"/>
      <c r="H89" s="61"/>
      <c r="I89" s="584">
        <f t="shared" si="47"/>
        <v>-0.16127391017244552</v>
      </c>
      <c r="J89" s="584">
        <f t="shared" si="48"/>
        <v>-0.16597069318958318</v>
      </c>
      <c r="K89" s="584">
        <f t="shared" si="49"/>
        <v>-0.15457485447037167</v>
      </c>
      <c r="L89" s="584">
        <f t="shared" si="50"/>
        <v>-0.1770637497863613</v>
      </c>
      <c r="M89" s="584">
        <f t="shared" si="51"/>
        <v>-0.13988957066639354</v>
      </c>
      <c r="N89" s="587"/>
      <c r="O89" s="584"/>
      <c r="P89" s="584">
        <f>B89/$B$89</f>
        <v>1</v>
      </c>
      <c r="Q89" s="584">
        <f t="shared" ref="Q89:T89" si="72">C89/$B$89</f>
        <v>1.0271177339240167</v>
      </c>
      <c r="R89" s="584">
        <f t="shared" si="72"/>
        <v>1.0426902939991944</v>
      </c>
      <c r="S89" s="584">
        <f t="shared" si="72"/>
        <v>1.1821721036380721</v>
      </c>
      <c r="T89" s="584">
        <f t="shared" si="72"/>
        <v>1.0084575110753122</v>
      </c>
      <c r="U89" s="587"/>
    </row>
    <row r="90" spans="1:21" ht="13" x14ac:dyDescent="0.15">
      <c r="A90" s="544" t="s">
        <v>147</v>
      </c>
      <c r="B90" s="557">
        <f>'Pepsi data sheet'!B64</f>
        <v>484</v>
      </c>
      <c r="C90" s="557">
        <f>'Pepsi data sheet'!C64</f>
        <v>490</v>
      </c>
      <c r="D90" s="557">
        <f>'Pepsi data sheet'!D64</f>
        <v>493</v>
      </c>
      <c r="E90" s="557">
        <f>'Pepsi data sheet'!E64</f>
        <v>495</v>
      </c>
      <c r="F90" s="557">
        <f>'Pepsi data sheet'!F64</f>
        <v>500</v>
      </c>
      <c r="G90" s="551"/>
      <c r="H90" s="61"/>
      <c r="I90" s="584">
        <f t="shared" si="47"/>
        <v>5.2393994176039493E-3</v>
      </c>
      <c r="J90" s="584">
        <f t="shared" si="48"/>
        <v>5.3147065522739356E-3</v>
      </c>
      <c r="K90" s="584">
        <f t="shared" si="49"/>
        <v>4.9057167023234989E-3</v>
      </c>
      <c r="L90" s="584">
        <f t="shared" si="50"/>
        <v>4.9765248775975948E-3</v>
      </c>
      <c r="M90" s="584">
        <f t="shared" si="51"/>
        <v>4.6555368299518616E-3</v>
      </c>
      <c r="N90" s="587"/>
      <c r="O90" s="584"/>
      <c r="P90" s="584">
        <f>B90/$B$90</f>
        <v>1</v>
      </c>
      <c r="Q90" s="584">
        <f t="shared" ref="Q90:T90" si="73">C90/$B$90</f>
        <v>1.0123966942148761</v>
      </c>
      <c r="R90" s="584">
        <f t="shared" si="73"/>
        <v>1.0185950413223142</v>
      </c>
      <c r="S90" s="584">
        <f t="shared" si="73"/>
        <v>1.0227272727272727</v>
      </c>
      <c r="T90" s="584">
        <f t="shared" si="73"/>
        <v>1.0330578512396693</v>
      </c>
      <c r="U90" s="587"/>
    </row>
    <row r="91" spans="1:21" ht="13" x14ac:dyDescent="0.15">
      <c r="A91" s="542" t="s">
        <v>148</v>
      </c>
      <c r="B91" s="547">
        <f>'Pepsi data sheet'!B65</f>
        <v>-38248</v>
      </c>
      <c r="C91" s="547">
        <f>'Pepsi data sheet'!C65</f>
        <v>-39506</v>
      </c>
      <c r="D91" s="547">
        <f>'Pepsi data sheet'!D65</f>
        <v>-40282</v>
      </c>
      <c r="E91" s="547">
        <f>'Pepsi data sheet'!E65</f>
        <v>-41021</v>
      </c>
      <c r="F91" s="547">
        <f>'Pepsi data sheet'!F65</f>
        <v>-41832</v>
      </c>
      <c r="G91" s="551"/>
      <c r="H91" s="61"/>
      <c r="I91" s="584">
        <f t="shared" si="47"/>
        <v>-0.41404245645561122</v>
      </c>
      <c r="J91" s="584">
        <f t="shared" si="48"/>
        <v>-0.42849550419211035</v>
      </c>
      <c r="K91" s="584">
        <f t="shared" si="49"/>
        <v>-0.40083586248072045</v>
      </c>
      <c r="L91" s="584">
        <f t="shared" si="50"/>
        <v>-0.41240813536147669</v>
      </c>
      <c r="M91" s="584">
        <f t="shared" si="51"/>
        <v>-0.38950083334109253</v>
      </c>
      <c r="N91" s="587"/>
      <c r="O91" s="584"/>
      <c r="P91" s="584">
        <f>B91/$B$91</f>
        <v>1</v>
      </c>
      <c r="Q91" s="584">
        <f t="shared" ref="Q91:T91" si="74">C91/$B$91</f>
        <v>1.0328906086592764</v>
      </c>
      <c r="R91" s="584">
        <f t="shared" si="74"/>
        <v>1.0531792512026772</v>
      </c>
      <c r="S91" s="584">
        <f t="shared" si="74"/>
        <v>1.0725005229031583</v>
      </c>
      <c r="T91" s="584">
        <f t="shared" si="74"/>
        <v>1.0937042459736457</v>
      </c>
      <c r="U91" s="587"/>
    </row>
    <row r="92" spans="1:21" ht="13" x14ac:dyDescent="0.15">
      <c r="A92" s="568" t="s">
        <v>149</v>
      </c>
      <c r="B92" s="550">
        <f>'Pepsi data sheet'!B66</f>
        <v>16043</v>
      </c>
      <c r="C92" s="550">
        <f>'Pepsi data sheet'!C66</f>
        <v>17149</v>
      </c>
      <c r="D92" s="550">
        <f>'Pepsi data sheet'!D66</f>
        <v>18503</v>
      </c>
      <c r="E92" s="550">
        <f>'Pepsi data sheet'!E66</f>
        <v>18041</v>
      </c>
      <c r="F92" s="550">
        <f>'Pepsi data sheet'!F66</f>
        <v>20406</v>
      </c>
      <c r="G92" s="551"/>
      <c r="H92" s="61"/>
      <c r="I92" s="584">
        <f t="shared" si="47"/>
        <v>0.17366877036491768</v>
      </c>
      <c r="J92" s="584">
        <f t="shared" si="48"/>
        <v>0.18600388298968512</v>
      </c>
      <c r="K92" s="584">
        <f t="shared" si="49"/>
        <v>0.18411861286631176</v>
      </c>
      <c r="L92" s="584">
        <f t="shared" si="50"/>
        <v>0.18137673801361257</v>
      </c>
      <c r="M92" s="584">
        <f t="shared" si="51"/>
        <v>0.19000176910399538</v>
      </c>
      <c r="N92" s="587"/>
      <c r="O92" s="584"/>
      <c r="P92" s="584">
        <f>B92/$B$92</f>
        <v>1</v>
      </c>
      <c r="Q92" s="584">
        <f t="shared" ref="Q92:T92" si="75">C92/$B$92</f>
        <v>1.068939724490432</v>
      </c>
      <c r="R92" s="584">
        <f t="shared" si="75"/>
        <v>1.1533379043819734</v>
      </c>
      <c r="S92" s="584">
        <f t="shared" si="75"/>
        <v>1.1245402979492614</v>
      </c>
      <c r="T92" s="584">
        <f t="shared" si="75"/>
        <v>1.2719566165929066</v>
      </c>
      <c r="U92" s="587"/>
    </row>
    <row r="93" spans="1:21" ht="13" x14ac:dyDescent="0.15">
      <c r="A93" s="568" t="s">
        <v>150</v>
      </c>
      <c r="B93" s="550">
        <f>'Pepsi data sheet'!B67</f>
        <v>108</v>
      </c>
      <c r="C93" s="550">
        <f>'Pepsi data sheet'!C67</f>
        <v>124</v>
      </c>
      <c r="D93" s="550">
        <f>'Pepsi data sheet'!D67</f>
        <v>134</v>
      </c>
      <c r="E93" s="550">
        <f>'Pepsi data sheet'!E67</f>
        <v>130</v>
      </c>
      <c r="F93" s="550">
        <f>'Pepsi data sheet'!F67</f>
        <v>141</v>
      </c>
      <c r="G93" s="551"/>
      <c r="H93" s="61"/>
      <c r="I93" s="584">
        <f t="shared" si="47"/>
        <v>1.1691221840934433E-3</v>
      </c>
      <c r="J93" s="584">
        <f t="shared" si="48"/>
        <v>1.3449461479223836E-3</v>
      </c>
      <c r="K93" s="584">
        <f t="shared" si="49"/>
        <v>1.3333996716254539E-3</v>
      </c>
      <c r="L93" s="584">
        <f t="shared" si="50"/>
        <v>1.3069661294700754E-3</v>
      </c>
      <c r="M93" s="584">
        <f t="shared" si="51"/>
        <v>1.3128613860464251E-3</v>
      </c>
      <c r="N93" s="587"/>
      <c r="O93" s="584"/>
      <c r="P93" s="584">
        <f>B93/$B$93</f>
        <v>1</v>
      </c>
      <c r="Q93" s="584">
        <f t="shared" ref="Q93:T93" si="76">C93/$B$93</f>
        <v>1.1481481481481481</v>
      </c>
      <c r="R93" s="584">
        <f t="shared" si="76"/>
        <v>1.2407407407407407</v>
      </c>
      <c r="S93" s="584">
        <f t="shared" si="76"/>
        <v>1.2037037037037037</v>
      </c>
      <c r="T93" s="584">
        <f t="shared" si="76"/>
        <v>1.3055555555555556</v>
      </c>
      <c r="U93" s="587"/>
    </row>
    <row r="94" spans="1:21" ht="13" x14ac:dyDescent="0.15">
      <c r="A94" s="543" t="s">
        <v>74</v>
      </c>
      <c r="B94" s="553">
        <f>SUM(B92:B93)</f>
        <v>16151</v>
      </c>
      <c r="C94" s="553">
        <f t="shared" ref="C94:F94" si="77">SUM(C92:C93)</f>
        <v>17273</v>
      </c>
      <c r="D94" s="553">
        <f t="shared" si="77"/>
        <v>18637</v>
      </c>
      <c r="E94" s="553">
        <f t="shared" si="77"/>
        <v>18171</v>
      </c>
      <c r="F94" s="553">
        <f t="shared" si="77"/>
        <v>20547</v>
      </c>
      <c r="G94" s="554"/>
      <c r="H94" s="87"/>
      <c r="I94" s="585">
        <f t="shared" si="47"/>
        <v>0.17483789254901111</v>
      </c>
      <c r="J94" s="585">
        <f t="shared" si="48"/>
        <v>0.1873488291376075</v>
      </c>
      <c r="K94" s="585">
        <f t="shared" si="49"/>
        <v>0.18545201253793722</v>
      </c>
      <c r="L94" s="585">
        <f t="shared" si="50"/>
        <v>0.18268370414308263</v>
      </c>
      <c r="M94" s="585">
        <f t="shared" si="51"/>
        <v>0.1913146304900418</v>
      </c>
      <c r="N94" s="594"/>
      <c r="O94" s="585"/>
      <c r="P94" s="585">
        <f>B94/$B$94</f>
        <v>1</v>
      </c>
      <c r="Q94" s="585">
        <f t="shared" ref="Q94:T94" si="78">C94/$B$94</f>
        <v>1.0694693827007615</v>
      </c>
      <c r="R94" s="585">
        <f t="shared" si="78"/>
        <v>1.1539223577487463</v>
      </c>
      <c r="S94" s="585">
        <f t="shared" si="78"/>
        <v>1.1250696551297132</v>
      </c>
      <c r="T94" s="585">
        <f t="shared" si="78"/>
        <v>1.2721812890842672</v>
      </c>
      <c r="U94" s="594"/>
    </row>
    <row r="95" spans="1:21" ht="13" x14ac:dyDescent="0.15">
      <c r="A95" s="545" t="s">
        <v>75</v>
      </c>
      <c r="B95" s="558">
        <f>B81+B77+B94</f>
        <v>92377</v>
      </c>
      <c r="C95" s="558">
        <f t="shared" ref="C95:F95" si="79">C81+C77+C94</f>
        <v>92187</v>
      </c>
      <c r="D95" s="558">
        <f t="shared" si="79"/>
        <v>100495</v>
      </c>
      <c r="E95" s="558">
        <f t="shared" si="79"/>
        <v>99467</v>
      </c>
      <c r="F95" s="558">
        <f t="shared" si="79"/>
        <v>107399</v>
      </c>
      <c r="G95" s="559"/>
      <c r="H95" s="96"/>
      <c r="I95" s="585">
        <f t="shared" si="47"/>
        <v>1</v>
      </c>
      <c r="J95" s="585">
        <f t="shared" si="48"/>
        <v>0.99989153660097396</v>
      </c>
      <c r="K95" s="585">
        <f t="shared" si="49"/>
        <v>1</v>
      </c>
      <c r="L95" s="585">
        <f t="shared" si="50"/>
        <v>1</v>
      </c>
      <c r="M95" s="585">
        <f t="shared" si="51"/>
        <v>1</v>
      </c>
      <c r="N95" s="594"/>
      <c r="O95" s="585"/>
      <c r="P95" s="585">
        <f>B95/$B$95</f>
        <v>1</v>
      </c>
      <c r="Q95" s="585">
        <f t="shared" ref="Q95:T95" si="80">C95/$B$95</f>
        <v>0.99794321097242822</v>
      </c>
      <c r="R95" s="585">
        <f t="shared" si="80"/>
        <v>1.0878790175043571</v>
      </c>
      <c r="S95" s="585">
        <f t="shared" si="80"/>
        <v>1.0767507063446529</v>
      </c>
      <c r="T95" s="585">
        <f t="shared" si="80"/>
        <v>1.1626162356430714</v>
      </c>
      <c r="U95" s="594"/>
    </row>
    <row r="96" spans="1:21" ht="13" x14ac:dyDescent="0.15">
      <c r="A96" s="542"/>
      <c r="B96" s="59"/>
      <c r="C96" s="59"/>
      <c r="D96" s="61"/>
      <c r="E96" s="61"/>
      <c r="F96" s="61"/>
      <c r="G96" s="61"/>
      <c r="H96" s="61"/>
      <c r="I96" s="584"/>
      <c r="J96" s="584"/>
      <c r="K96" s="584"/>
      <c r="L96" s="584"/>
      <c r="M96" s="584"/>
      <c r="N96" s="584"/>
      <c r="O96" s="584"/>
      <c r="P96" s="584"/>
      <c r="Q96" s="584"/>
      <c r="R96" s="584"/>
      <c r="S96" s="584"/>
      <c r="T96" s="584"/>
      <c r="U96" s="583"/>
    </row>
    <row r="97" spans="1:20" ht="13" x14ac:dyDescent="0.15">
      <c r="A97" s="542"/>
      <c r="B97" s="59"/>
      <c r="C97" s="59"/>
      <c r="D97" s="61"/>
      <c r="E97" s="61"/>
      <c r="F97" s="61"/>
      <c r="G97" s="61"/>
      <c r="H97" s="61"/>
      <c r="I97" s="81"/>
      <c r="J97" s="81"/>
      <c r="K97" s="81"/>
      <c r="L97" s="81"/>
      <c r="M97" s="81"/>
      <c r="N97" s="81"/>
      <c r="O97" s="81"/>
      <c r="P97" s="83"/>
      <c r="Q97" s="83"/>
      <c r="R97" s="83"/>
      <c r="S97" s="83"/>
      <c r="T97" s="83"/>
    </row>
    <row r="98" spans="1:20" ht="17.25" customHeight="1" x14ac:dyDescent="0.15">
      <c r="A98" s="542"/>
      <c r="B98" s="59"/>
      <c r="C98" s="59"/>
      <c r="D98" s="61"/>
      <c r="E98" s="61"/>
      <c r="F98" s="61"/>
      <c r="G98" s="61"/>
      <c r="H98" s="61"/>
      <c r="I98" s="81"/>
      <c r="J98" s="81"/>
      <c r="K98" s="81"/>
      <c r="L98" s="81"/>
      <c r="M98" s="81"/>
      <c r="N98" s="81"/>
      <c r="O98" s="81"/>
      <c r="P98" s="83"/>
      <c r="Q98" s="83"/>
      <c r="R98" s="83"/>
      <c r="S98" s="83"/>
      <c r="T98" s="83"/>
    </row>
    <row r="99" spans="1:20" ht="21" customHeight="1" x14ac:dyDescent="0.15">
      <c r="A99" s="542"/>
      <c r="B99" s="59"/>
      <c r="C99" s="59"/>
      <c r="D99" s="61"/>
      <c r="E99" s="61"/>
      <c r="F99" s="61"/>
      <c r="G99" s="61"/>
      <c r="H99" s="61"/>
      <c r="I99" s="81"/>
      <c r="J99" s="81"/>
      <c r="K99" s="81"/>
      <c r="L99" s="81"/>
      <c r="M99" s="81"/>
      <c r="N99" s="81"/>
      <c r="O99" s="81"/>
      <c r="P99" s="83"/>
      <c r="Q99" s="83"/>
      <c r="R99" s="83"/>
      <c r="S99" s="83"/>
      <c r="T99" s="83"/>
    </row>
    <row r="100" spans="1:20" ht="13" x14ac:dyDescent="0.15">
      <c r="A100" s="639"/>
      <c r="B100" s="639"/>
      <c r="C100" s="639"/>
      <c r="D100" s="639"/>
      <c r="E100" s="639"/>
      <c r="F100" s="639"/>
      <c r="G100" s="639"/>
      <c r="H100" s="639"/>
      <c r="I100" s="639"/>
      <c r="J100" s="639"/>
      <c r="K100" s="639"/>
      <c r="L100" s="639"/>
      <c r="M100" s="639"/>
      <c r="N100" s="639"/>
      <c r="O100" s="639"/>
      <c r="P100" s="639"/>
      <c r="Q100" s="639"/>
      <c r="R100" s="639"/>
      <c r="S100" s="639"/>
      <c r="T100" s="639"/>
    </row>
    <row r="101" spans="1:20" ht="14.25" customHeight="1" x14ac:dyDescent="0.15">
      <c r="A101" s="636"/>
      <c r="B101" s="637"/>
      <c r="C101" s="637"/>
      <c r="D101" s="637"/>
      <c r="E101" s="637"/>
      <c r="F101" s="637"/>
      <c r="G101" s="637"/>
      <c r="H101" s="637"/>
      <c r="I101" s="637"/>
      <c r="J101" s="637"/>
      <c r="K101" s="637"/>
      <c r="L101" s="637"/>
      <c r="M101" s="637"/>
      <c r="N101" s="637"/>
      <c r="O101" s="637"/>
      <c r="P101" s="637"/>
      <c r="Q101" s="637"/>
      <c r="R101" s="637"/>
      <c r="S101" s="637"/>
      <c r="T101" s="637"/>
    </row>
    <row r="102" spans="1:20" ht="13" x14ac:dyDescent="0.15">
      <c r="A102" s="614"/>
      <c r="B102" s="638"/>
      <c r="C102" s="638"/>
      <c r="D102" s="638"/>
      <c r="E102" s="638"/>
      <c r="F102" s="638"/>
      <c r="G102" s="638"/>
      <c r="H102" s="638"/>
      <c r="I102" s="638"/>
      <c r="J102" s="638"/>
      <c r="K102" s="638"/>
      <c r="L102" s="638"/>
      <c r="M102" s="638"/>
      <c r="N102" s="638"/>
      <c r="O102" s="638"/>
      <c r="P102" s="638"/>
      <c r="Q102" s="638"/>
      <c r="R102" s="638"/>
      <c r="S102" s="638"/>
      <c r="T102" s="638"/>
    </row>
    <row r="103" spans="1:20" s="535" customFormat="1" ht="13" x14ac:dyDescent="0.15">
      <c r="A103" s="573" t="s">
        <v>151</v>
      </c>
      <c r="B103" s="574">
        <v>2021</v>
      </c>
      <c r="C103" s="574">
        <v>2022</v>
      </c>
      <c r="D103" s="574">
        <v>2023</v>
      </c>
      <c r="E103" s="574">
        <v>2024</v>
      </c>
      <c r="F103" s="575">
        <v>2025</v>
      </c>
      <c r="T103" s="576"/>
    </row>
    <row r="104" spans="1:20" s="535" customFormat="1" ht="13" x14ac:dyDescent="0.15">
      <c r="A104" s="577" t="str">
        <f>'FINANCIAL RATIOS'!B15</f>
        <v xml:space="preserve">Current Ratio = Current Assets / Current Liabilities </v>
      </c>
      <c r="B104" s="20">
        <f>'FINANCIAL RATIOS'!C17</f>
        <v>0.83077803203661327</v>
      </c>
      <c r="C104" s="20">
        <f>'FINANCIAL RATIOS'!D17</f>
        <v>0.80451745379876793</v>
      </c>
      <c r="D104" s="20">
        <f>'FINANCIAL RATIOS'!E17</f>
        <v>0.85158150851581504</v>
      </c>
      <c r="E104" s="20">
        <f>'FINANCIAL RATIOS'!F17</f>
        <v>0.81893708777270424</v>
      </c>
      <c r="F104" s="578">
        <f>'FINANCIAL RATIOS'!G17</f>
        <v>0.85303992186546207</v>
      </c>
    </row>
    <row r="105" spans="1:20" ht="13" x14ac:dyDescent="0.15">
      <c r="A105" s="577" t="str">
        <f>'FINANCIAL RATIOS'!B23</f>
        <v xml:space="preserve">Quick Ratio = (Current Assets - Inventories) / Current Liabilities </v>
      </c>
      <c r="B105" s="20">
        <f>'FINANCIAL RATIOS'!C25</f>
        <v>0.66498855835240278</v>
      </c>
      <c r="C105" s="20">
        <f>'FINANCIAL RATIOS'!D25</f>
        <v>0.60955758820235206</v>
      </c>
      <c r="D105" s="20">
        <f>'FINANCIAL RATIOS'!E25</f>
        <v>0.68303472683034727</v>
      </c>
      <c r="E105" s="20">
        <f>'FINANCIAL RATIOS'!F25</f>
        <v>0.65068493150684936</v>
      </c>
      <c r="F105" s="578">
        <f>'FINANCIAL RATIOS'!G25</f>
        <v>0.67464290074471978</v>
      </c>
    </row>
    <row r="106" spans="1:20" ht="13" x14ac:dyDescent="0.15">
      <c r="A106" s="577" t="str">
        <f>'FINANCIAL RATIOS'!B31</f>
        <v xml:space="preserve">Cash Ratio = Cash / Current Liabilities </v>
      </c>
      <c r="B106" s="20">
        <f>'FINANCIAL RATIOS'!C33</f>
        <v>0.21342486651411136</v>
      </c>
      <c r="C106" s="20">
        <f>'FINANCIAL RATIOS'!D33</f>
        <v>0.18532760873623297</v>
      </c>
      <c r="D106" s="20">
        <f>'FINANCIAL RATIOS'!E33</f>
        <v>0.30685373021139445</v>
      </c>
      <c r="E106" s="20">
        <f>'FINANCIAL RATIOS'!F33</f>
        <v>0.2696917808219178</v>
      </c>
      <c r="F106" s="578">
        <f>'FINANCIAL RATIOS'!G33</f>
        <v>0.27954462214625808</v>
      </c>
    </row>
    <row r="107" spans="1:20" ht="13" x14ac:dyDescent="0.15">
      <c r="A107" s="577" t="str">
        <f>'FINANCIAL RATIOS'!B39</f>
        <v xml:space="preserve">NWC Ratio = (Current Assets - Current Liabilities) / Total Assets </v>
      </c>
      <c r="B107" s="584">
        <f>'FINANCIAL RATIOS'!C41</f>
        <v>-4.8031436396505624E-2</v>
      </c>
      <c r="C107" s="584">
        <f>'FINANCIAL RATIOS'!D41</f>
        <v>-5.6791435730012906E-2</v>
      </c>
      <c r="D107" s="584">
        <f>'FINANCIAL RATIOS'!E41</f>
        <v>-4.6738643713617592E-2</v>
      </c>
      <c r="E107" s="584">
        <f>'FINANCIAL RATIOS'!F41</f>
        <v>-5.7405973840570237E-2</v>
      </c>
      <c r="F107" s="584">
        <f>'FINANCIAL RATIOS'!G41</f>
        <v>-4.4832819672436429E-2</v>
      </c>
    </row>
    <row r="108" spans="1:20" ht="14" thickBot="1" x14ac:dyDescent="0.2">
      <c r="A108" s="580" t="str">
        <f>'FINANCIAL RATIOS'!B47</f>
        <v>Interval Measure = Current Assets / Average Daily Costs (COGS + Oper. Exp.)</v>
      </c>
      <c r="B108" s="581">
        <f>'FINANCIAL RATIOS'!C49</f>
        <v>116.38943377444666</v>
      </c>
      <c r="C108" s="581">
        <f>'FINANCIAL RATIOS'!D49</f>
        <v>105.03986378205128</v>
      </c>
      <c r="D108" s="581">
        <f>'FINANCIAL RATIOS'!E49</f>
        <v>123.75605460149714</v>
      </c>
      <c r="E108" s="581">
        <f>'FINANCIAL RATIOS'!F49</f>
        <v>119.37252269935543</v>
      </c>
      <c r="F108" s="582">
        <f>'FINANCIAL RATIOS'!G49</f>
        <v>123.76266271973988</v>
      </c>
    </row>
    <row r="109" spans="1:20" ht="14" thickBot="1" x14ac:dyDescent="0.2">
      <c r="B109" s="20"/>
      <c r="C109" s="20"/>
      <c r="D109" s="20"/>
      <c r="E109" s="20"/>
      <c r="F109" s="20"/>
    </row>
    <row r="110" spans="1:20" ht="13" x14ac:dyDescent="0.15">
      <c r="A110" s="573" t="s">
        <v>156</v>
      </c>
      <c r="B110" s="574">
        <v>2021</v>
      </c>
      <c r="C110" s="574">
        <v>2022</v>
      </c>
      <c r="D110" s="574">
        <v>2023</v>
      </c>
      <c r="E110" s="574">
        <v>2024</v>
      </c>
      <c r="F110" s="575">
        <v>2025</v>
      </c>
    </row>
    <row r="111" spans="1:20" ht="13" x14ac:dyDescent="0.15">
      <c r="A111" s="577" t="str">
        <f>'FINANCIAL RATIOS'!B58</f>
        <v>Total Debt Ratio = Financial Debt / Total Assets</v>
      </c>
      <c r="B111" s="143">
        <f>'FINANCIAL RATIOS'!C60</f>
        <v>0.43662383493726792</v>
      </c>
      <c r="C111" s="143">
        <f>'FINANCIAL RATIOS'!D60</f>
        <v>0.42377734633447944</v>
      </c>
      <c r="D111" s="143">
        <f>'FINANCIAL RATIOS'!E60</f>
        <v>0.43887755609731827</v>
      </c>
      <c r="E111" s="143">
        <f>'FINANCIAL RATIOS'!F60</f>
        <v>0.44543416409462433</v>
      </c>
      <c r="F111" s="579">
        <f>'FINANCIAL RATIOS'!G60</f>
        <v>0.45793722474138493</v>
      </c>
    </row>
    <row r="112" spans="1:20" ht="13" x14ac:dyDescent="0.15">
      <c r="A112" s="577" t="str">
        <f>'FINANCIAL RATIOS'!B66</f>
        <v xml:space="preserve">Debt-to-Equity Ratio = (Short-term Debt + Long-term Debt) / Total Equity </v>
      </c>
      <c r="B112" s="143">
        <f>'FINANCIAL RATIOS'!C68</f>
        <v>2.4973066683177514</v>
      </c>
      <c r="C112" s="143">
        <f>'FINANCIAL RATIOS'!D68</f>
        <v>2.2619695478492443</v>
      </c>
      <c r="D112" s="143">
        <f>'FINANCIAL RATIOS'!E68</f>
        <v>2.3665289477920268</v>
      </c>
      <c r="E112" s="143">
        <f>'FINANCIAL RATIOS'!F68</f>
        <v>2.438280777062352</v>
      </c>
      <c r="F112" s="579">
        <f>'FINANCIAL RATIOS'!G68</f>
        <v>2.3936341071689298</v>
      </c>
    </row>
    <row r="113" spans="1:6" ht="13" x14ac:dyDescent="0.15">
      <c r="A113" s="577" t="str">
        <f>'FINANCIAL RATIOS'!B74</f>
        <v>Times Interest Earned = EBIT / Interest Expenses</v>
      </c>
      <c r="B113" s="20">
        <f>'FINANCIAL RATIOS'!C76</f>
        <v>5.9914117015566291</v>
      </c>
      <c r="C113" s="20">
        <f>'FINANCIAL RATIOS'!D76</f>
        <v>12.259850905218318</v>
      </c>
      <c r="D113" s="20">
        <f>'FINANCIAL RATIOS'!E76</f>
        <v>14.634920634920634</v>
      </c>
      <c r="E113" s="20">
        <f>'FINANCIAL RATIOS'!F76</f>
        <v>14.022850924918389</v>
      </c>
      <c r="F113" s="578">
        <f>'FINANCIAL RATIOS'!G76</f>
        <v>10.256913470115968</v>
      </c>
    </row>
    <row r="114" spans="1:6" ht="13" x14ac:dyDescent="0.15">
      <c r="A114" s="580" t="str">
        <f>'FINANCIAL RATIOS'!B82</f>
        <v>Cash Coverage Ratio = (EBIT+Depreciation) / Interest Expenses</v>
      </c>
      <c r="B114" s="581">
        <f>'FINANCIAL RATIOS'!C84</f>
        <v>7.4460547504025767</v>
      </c>
      <c r="C114" s="581">
        <f>'FINANCIAL RATIOS'!D84</f>
        <v>15.20234291799787</v>
      </c>
      <c r="D114" s="581">
        <f>'FINANCIAL RATIOS'!E84</f>
        <v>18.234432234432234</v>
      </c>
      <c r="E114" s="581">
        <f>'FINANCIAL RATIOS'!F84</f>
        <v>17.461371055495103</v>
      </c>
      <c r="F114" s="582">
        <f>'FINANCIAL RATIOS'!G84</f>
        <v>13.335414808206957</v>
      </c>
    </row>
    <row r="115" spans="1:6" ht="13" x14ac:dyDescent="0.15"/>
    <row r="116" spans="1:6" ht="13" x14ac:dyDescent="0.15">
      <c r="A116" s="573" t="s">
        <v>160</v>
      </c>
      <c r="B116" s="574">
        <v>2021</v>
      </c>
      <c r="C116" s="574">
        <v>2022</v>
      </c>
      <c r="D116" s="574">
        <v>2023</v>
      </c>
      <c r="E116" s="574">
        <v>2024</v>
      </c>
      <c r="F116" s="575">
        <v>2025</v>
      </c>
    </row>
    <row r="117" spans="1:6" ht="13" x14ac:dyDescent="0.15">
      <c r="A117" s="577" t="str">
        <f>'FINANCIAL RATIOS'!B93</f>
        <v xml:space="preserve">Assets Turnover Ratio = Sales / Total Assets </v>
      </c>
      <c r="B117" s="20">
        <f>'FINANCIAL RATIOS'!C95</f>
        <v>0.86032237461705841</v>
      </c>
      <c r="C117" s="20">
        <f>'FINANCIAL RATIOS'!D95</f>
        <v>0.93703699686540776</v>
      </c>
      <c r="D117" s="20">
        <f>'FINANCIAL RATIOS'!E95</f>
        <v>0.91020448778546192</v>
      </c>
      <c r="E117" s="20">
        <f>'FINANCIAL RATIOS'!F95</f>
        <v>0.92346205274111015</v>
      </c>
      <c r="F117" s="578">
        <f>'FINANCIAL RATIOS'!G95</f>
        <v>0.87454259350645724</v>
      </c>
    </row>
    <row r="118" spans="1:6" ht="13" x14ac:dyDescent="0.15">
      <c r="A118" s="577" t="str">
        <f>'FINANCIAL RATIOS'!B100</f>
        <v>Inventory Turnover = COGS / Inventories</v>
      </c>
      <c r="B118" s="20">
        <f>'FINANCIAL RATIOS'!C102</f>
        <v>8.5288704853922237</v>
      </c>
      <c r="C118" s="20">
        <f>'FINANCIAL RATIOS'!D102</f>
        <v>7.7702029873611647</v>
      </c>
      <c r="D118" s="20">
        <f>'FINANCIAL RATIOS'!E102</f>
        <v>7.8517060367454068</v>
      </c>
      <c r="E118" s="20">
        <f>'FINANCIAL RATIOS'!F102</f>
        <v>7.8673200150772713</v>
      </c>
      <c r="F118" s="578">
        <f>'FINANCIAL RATIOS'!G102</f>
        <v>7.3680068434559454</v>
      </c>
    </row>
    <row r="119" spans="1:6" ht="13" x14ac:dyDescent="0.15">
      <c r="A119" s="577" t="str">
        <f>'FINANCIAL RATIOS'!B107</f>
        <v>Days Sales in Inventory = 365 / Inventory Turnover</v>
      </c>
      <c r="B119" s="548">
        <f>'FINANCIAL RATIOS'!C109</f>
        <v>42.795819285232639</v>
      </c>
      <c r="C119" s="548">
        <f>'FINANCIAL RATIOS'!D109</f>
        <v>46.974319794952677</v>
      </c>
      <c r="D119" s="548">
        <f>'FINANCIAL RATIOS'!E109</f>
        <v>46.486712351663044</v>
      </c>
      <c r="E119" s="548">
        <f>'FINANCIAL RATIOS'!F109</f>
        <v>46.39445189727865</v>
      </c>
      <c r="F119" s="597">
        <f>'FINANCIAL RATIOS'!G109</f>
        <v>49.538499047972877</v>
      </c>
    </row>
    <row r="120" spans="1:6" ht="13" x14ac:dyDescent="0.15">
      <c r="A120" s="577" t="str">
        <f>'FINANCIAL RATIOS'!B114</f>
        <v xml:space="preserve">Receivables Turnover = Sales / Accounts Receivables </v>
      </c>
      <c r="B120" s="20">
        <f>'FINANCIAL RATIOS'!C116</f>
        <v>9.1559907834101377</v>
      </c>
      <c r="C120" s="20">
        <f>'FINANCIAL RATIOS'!D116</f>
        <v>8.5006395749286625</v>
      </c>
      <c r="D120" s="20">
        <f>'FINANCIAL RATIOS'!E116</f>
        <v>8.4577901063337961</v>
      </c>
      <c r="E120" s="20">
        <f>'FINANCIAL RATIOS'!F116</f>
        <v>8.88938352850092</v>
      </c>
      <c r="F120" s="578">
        <f>'FINANCIAL RATIOS'!G116</f>
        <v>8.1631322788110552</v>
      </c>
    </row>
    <row r="121" spans="1:6" ht="13" x14ac:dyDescent="0.15">
      <c r="A121" s="577" t="str">
        <f>'FINANCIAL RATIOS'!B121</f>
        <v>Days Sales in Receivables = 365 / Receivables Turnover</v>
      </c>
      <c r="B121" s="35">
        <f>'FINANCIAL RATIOS'!C123</f>
        <v>39.864609809497445</v>
      </c>
      <c r="C121" s="35">
        <f>'FINANCIAL RATIOS'!D123</f>
        <v>42.937945643115107</v>
      </c>
      <c r="D121" s="35">
        <f>'FINANCIAL RATIOS'!E123</f>
        <v>43.155480972111377</v>
      </c>
      <c r="E121" s="35">
        <f>'FINANCIAL RATIOS'!F123</f>
        <v>41.060215124001132</v>
      </c>
      <c r="F121" s="598">
        <f>'FINANCIAL RATIOS'!G123</f>
        <v>44.713228639872241</v>
      </c>
    </row>
    <row r="122" spans="1:6" ht="13" x14ac:dyDescent="0.15">
      <c r="A122" s="580" t="str">
        <f>'FINANCIAL RATIOS'!B128</f>
        <v>Operating Cycle = Days Sales in Inventory + Days Sales in Receivables</v>
      </c>
      <c r="B122" s="581">
        <f>'FINANCIAL RATIOS'!C130</f>
        <v>82.660429094730091</v>
      </c>
      <c r="C122" s="581">
        <f>'FINANCIAL RATIOS'!D130</f>
        <v>89.912265438067777</v>
      </c>
      <c r="D122" s="581">
        <f>'FINANCIAL RATIOS'!E130</f>
        <v>89.642193323774421</v>
      </c>
      <c r="E122" s="581">
        <f>'FINANCIAL RATIOS'!F130</f>
        <v>87.454667021279789</v>
      </c>
      <c r="F122" s="582">
        <f>'FINANCIAL RATIOS'!G130</f>
        <v>94.251727687845118</v>
      </c>
    </row>
    <row r="123" spans="1:6" ht="13" x14ac:dyDescent="0.15"/>
    <row r="124" spans="1:6" ht="13" x14ac:dyDescent="0.15">
      <c r="A124" s="573" t="s">
        <v>167</v>
      </c>
      <c r="B124" s="574">
        <v>2021</v>
      </c>
      <c r="C124" s="574">
        <v>2022</v>
      </c>
      <c r="D124" s="574">
        <v>2023</v>
      </c>
      <c r="E124" s="574">
        <v>2024</v>
      </c>
      <c r="F124" s="575">
        <v>2025</v>
      </c>
    </row>
    <row r="125" spans="1:6" ht="13" x14ac:dyDescent="0.15">
      <c r="A125" s="577" t="str">
        <f>'FINANCIAL RATIOS'!B139</f>
        <v xml:space="preserve">Gross Profit Margin = Gross Profits / Sales </v>
      </c>
      <c r="B125" s="20">
        <f>'FINANCIAL RATIOS'!C141</f>
        <v>0.53349523114477693</v>
      </c>
      <c r="C125" s="20">
        <f>'FINANCIAL RATIOS'!D141</f>
        <v>0.5303268821187147</v>
      </c>
      <c r="D125" s="20">
        <f>'FINANCIAL RATIOS'!E141</f>
        <v>0.54213903860239854</v>
      </c>
      <c r="E125" s="20">
        <f>'FINANCIAL RATIOS'!F141</f>
        <v>0.54553966076599825</v>
      </c>
      <c r="F125" s="578">
        <f>'FINANCIAL RATIOS'!G141</f>
        <v>0.54148522757519302</v>
      </c>
    </row>
    <row r="126" spans="1:6" ht="13" x14ac:dyDescent="0.15">
      <c r="A126" s="577" t="str">
        <f>'FINANCIAL RATIOS'!B147</f>
        <v>Operating Profit Margin = Operating Profits / Sales</v>
      </c>
      <c r="B126" s="20">
        <f>'FINANCIAL RATIOS'!C149</f>
        <v>0.14044844854921107</v>
      </c>
      <c r="C126" s="20">
        <f>'FINANCIAL RATIOS'!D149</f>
        <v>0.13325307898879526</v>
      </c>
      <c r="D126" s="20">
        <f>'FINANCIAL RATIOS'!E149</f>
        <v>0.13103606607558679</v>
      </c>
      <c r="E126" s="20">
        <f>'FINANCIAL RATIOS'!F149</f>
        <v>0.14029873494894071</v>
      </c>
      <c r="F126" s="578">
        <f>'FINANCIAL RATIOS'!G149</f>
        <v>0.12241682193239287</v>
      </c>
    </row>
    <row r="127" spans="1:6" ht="13" x14ac:dyDescent="0.15">
      <c r="A127" s="577" t="str">
        <f>'FINANCIAL RATIOS'!B155</f>
        <v xml:space="preserve">Net Profit Margin = Net Income / Sales </v>
      </c>
      <c r="B127" s="20">
        <f>'FINANCIAL RATIOS'!C157</f>
        <v>9.6622794876311743E-2</v>
      </c>
      <c r="C127" s="20">
        <f>'FINANCIAL RATIOS'!D157</f>
        <v>0.1039216594129086</v>
      </c>
      <c r="D127" s="20">
        <f>'FINANCIAL RATIOS'!E157</f>
        <v>0.10008636617069891</v>
      </c>
      <c r="E127" s="20">
        <f>'FINANCIAL RATIOS'!F157</f>
        <v>0.10479674265682497</v>
      </c>
      <c r="F127" s="578">
        <f>'FINANCIAL RATIOS'!G157</f>
        <v>8.8315145062549907E-2</v>
      </c>
    </row>
    <row r="128" spans="1:6" ht="13" x14ac:dyDescent="0.15">
      <c r="A128" s="577" t="str">
        <f>'FINANCIAL RATIOS'!B163</f>
        <v xml:space="preserve">Return on Assets (ROA) = Net Income / Total Assets </v>
      </c>
      <c r="B128" s="20">
        <f>'FINANCIAL RATIOS'!C165</f>
        <v>8.3126752330125467E-2</v>
      </c>
      <c r="C128" s="20">
        <f>'FINANCIAL RATIOS'!D165</f>
        <v>9.7378439645541617E-2</v>
      </c>
      <c r="D128" s="20">
        <f>'FINANCIAL RATIOS'!E165</f>
        <v>9.1099059654709186E-2</v>
      </c>
      <c r="E128" s="20">
        <f>'FINANCIAL RATIOS'!F165</f>
        <v>9.6775815094453432E-2</v>
      </c>
      <c r="F128" s="578">
        <f>'FINANCIAL RATIOS'!G165</f>
        <v>7.7235356008901385E-2</v>
      </c>
    </row>
    <row r="129" spans="1:6" ht="13" x14ac:dyDescent="0.15">
      <c r="A129" s="577" t="str">
        <f>'FINANCIAL RATIOS'!B170</f>
        <v>Return on Equity (ROE) -based  on BV of equity = Net Income / Total Equity</v>
      </c>
      <c r="B129" s="20">
        <f>'FINANCIAL RATIOS'!C172</f>
        <v>0.47545043650547952</v>
      </c>
      <c r="C129" s="20">
        <f>'FINANCIAL RATIOS'!D172</f>
        <v>0.51977074046199268</v>
      </c>
      <c r="D129" s="20">
        <f>'FINANCIAL RATIOS'!E172</f>
        <v>0.49122712882974728</v>
      </c>
      <c r="E129" s="20">
        <f>'FINANCIAL RATIOS'!F172</f>
        <v>0.5297451983930439</v>
      </c>
      <c r="F129" s="578">
        <f>'FINANCIAL RATIOS'!G172</f>
        <v>0.40370857059424736</v>
      </c>
    </row>
    <row r="130" spans="1:6" ht="13" x14ac:dyDescent="0.15">
      <c r="A130" s="580" t="str">
        <f>'FINANCIAL RATIOS'!B178</f>
        <v xml:space="preserve">Return on Equity (ROE) - based on MV of equity = Net Income / Market Value of Equity </v>
      </c>
      <c r="B130" s="581">
        <f>'FINANCIAL RATIOS'!C180</f>
        <v>3.6584408362607845E-2</v>
      </c>
      <c r="C130" s="581">
        <f>'FINANCIAL RATIOS'!D180</f>
        <v>4.0114669511957544E-2</v>
      </c>
      <c r="D130" s="581">
        <f>'FINANCIAL RATIOS'!E180</f>
        <v>4.2418508277053325E-2</v>
      </c>
      <c r="E130" s="581">
        <f>'FINANCIAL RATIOS'!F180</f>
        <v>4.8377898025060019E-2</v>
      </c>
      <c r="F130" s="582">
        <f>'FINANCIAL RATIOS'!G180</f>
        <v>4.2595200529936671E-2</v>
      </c>
    </row>
    <row r="131" spans="1:6" ht="13" x14ac:dyDescent="0.15"/>
    <row r="132" spans="1:6" ht="13" x14ac:dyDescent="0.15">
      <c r="A132" s="573" t="s">
        <v>174</v>
      </c>
      <c r="B132" s="574">
        <v>2021</v>
      </c>
      <c r="C132" s="574">
        <v>2022</v>
      </c>
      <c r="D132" s="574">
        <v>2023</v>
      </c>
      <c r="E132" s="574">
        <v>2024</v>
      </c>
      <c r="F132" s="575">
        <v>2025</v>
      </c>
    </row>
    <row r="133" spans="1:6" ht="13" x14ac:dyDescent="0.15">
      <c r="A133" s="577" t="str">
        <f>'FINANCIAL RATIOS'!B189</f>
        <v xml:space="preserve">Earnings Per Share (EPS) = Net Income / Number of shares outstanding </v>
      </c>
      <c r="B133" s="20">
        <f>'FINANCIAL RATIOS'!C191</f>
        <v>5.5564399421128803</v>
      </c>
      <c r="C133" s="20">
        <f>'FINANCIAL RATIOS'!D191</f>
        <v>6.505797101449275</v>
      </c>
      <c r="D133" s="20">
        <f>'FINANCIAL RATIOS'!E191</f>
        <v>6.6533430232558137</v>
      </c>
      <c r="E133" s="20">
        <f>'FINANCIAL RATIOS'!F191</f>
        <v>7.010924981791697</v>
      </c>
      <c r="F133" s="578">
        <f>'FINANCIAL RATIOS'!G191</f>
        <v>6.0591672753834915</v>
      </c>
    </row>
    <row r="134" spans="1:6" ht="13" x14ac:dyDescent="0.15">
      <c r="A134" s="577" t="str">
        <f>'FINANCIAL RATIOS'!B196</f>
        <v>Price-Earnings Ratio (P/E Ratio) = Price per share / EPS</v>
      </c>
      <c r="B134" s="20">
        <f>'FINANCIAL RATIOS'!C198</f>
        <v>27.334048704258365</v>
      </c>
      <c r="C134" s="20">
        <f>'FINANCIAL RATIOS'!D198</f>
        <v>24.928536422365784</v>
      </c>
      <c r="D134" s="20">
        <f>'FINANCIAL RATIOS'!E198</f>
        <v>23.574614964500274</v>
      </c>
      <c r="E134" s="20">
        <f>'FINANCIAL RATIOS'!F198</f>
        <v>20.670596301682941</v>
      </c>
      <c r="F134" s="578">
        <f>'FINANCIAL RATIOS'!G198</f>
        <v>23.476823387582883</v>
      </c>
    </row>
    <row r="135" spans="1:6" ht="13" x14ac:dyDescent="0.15">
      <c r="A135" s="577" t="str">
        <f>'FINANCIAL RATIOS'!B203</f>
        <v>Market-to-Book Ratio = Market Value of Equity / Book Value of Equity</v>
      </c>
      <c r="B135" s="20">
        <f>'FINANCIAL RATIOS'!C205</f>
        <v>13.083473165866733</v>
      </c>
      <c r="C135" s="20">
        <f>'FINANCIAL RATIOS'!D205</f>
        <v>13.050813458510701</v>
      </c>
      <c r="D135" s="20">
        <f>'FINANCIAL RATIOS'!E205</f>
        <v>11.664357131276009</v>
      </c>
      <c r="E135" s="20">
        <f>'FINANCIAL RATIOS'!F205</f>
        <v>11.029053821850228</v>
      </c>
      <c r="F135" s="578">
        <f>'FINANCIAL RATIOS'!G205</f>
        <v>9.5432838380868379</v>
      </c>
    </row>
    <row r="136" spans="1:6" ht="13" x14ac:dyDescent="0.15">
      <c r="A136" s="580" t="str">
        <f>'FINANCIAL RATIOS'!J21</f>
        <v>Free Cash Flow = Operating Cash Flow + Capital Expenditure</v>
      </c>
      <c r="B136" s="581">
        <f>'FINANCIAL RATIOS'!K24</f>
        <v>7157</v>
      </c>
      <c r="C136" s="581">
        <f>'FINANCIAL RATIOS'!L24</f>
        <v>5855</v>
      </c>
      <c r="D136" s="581">
        <f>'FINANCIAL RATIOS'!M24</f>
        <v>8122</v>
      </c>
      <c r="E136" s="581">
        <f>'FINANCIAL RATIOS'!N24</f>
        <v>7531</v>
      </c>
      <c r="F136" s="582">
        <f>'FINANCIAL RATIOS'!O24</f>
        <v>8200</v>
      </c>
    </row>
  </sheetData>
  <mergeCells count="17">
    <mergeCell ref="I5:M5"/>
    <mergeCell ref="P5:T5"/>
    <mergeCell ref="A46:T46"/>
    <mergeCell ref="A47:T47"/>
    <mergeCell ref="A45:U45"/>
    <mergeCell ref="A2:T2"/>
    <mergeCell ref="A3:T3"/>
    <mergeCell ref="I4:M4"/>
    <mergeCell ref="P4:T4"/>
    <mergeCell ref="A1:U1"/>
    <mergeCell ref="A101:T101"/>
    <mergeCell ref="A102:T102"/>
    <mergeCell ref="I49:M49"/>
    <mergeCell ref="P49:T49"/>
    <mergeCell ref="I50:M50"/>
    <mergeCell ref="P50:T50"/>
    <mergeCell ref="A100:T100"/>
  </mergeCells>
  <phoneticPr fontId="4" type="noConversion"/>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B258D-ECF9-4BAC-A147-0F468817BB99}">
  <dimension ref="A1:K72"/>
  <sheetViews>
    <sheetView workbookViewId="0">
      <selection activeCell="G11" sqref="G11"/>
    </sheetView>
  </sheetViews>
  <sheetFormatPr baseColWidth="10" defaultColWidth="8.83203125" defaultRowHeight="15" x14ac:dyDescent="0.2"/>
  <cols>
    <col min="1" max="1" width="58" customWidth="1"/>
    <col min="2" max="7" width="18.5" customWidth="1"/>
  </cols>
  <sheetData>
    <row r="1" spans="1:9" ht="15" customHeight="1" x14ac:dyDescent="0.2">
      <c r="A1" s="156" t="s">
        <v>179</v>
      </c>
      <c r="B1" s="644" t="s">
        <v>180</v>
      </c>
      <c r="C1" s="644"/>
      <c r="D1" s="644"/>
      <c r="E1" s="644"/>
      <c r="F1" s="644"/>
    </row>
    <row r="2" spans="1:9" ht="16" x14ac:dyDescent="0.2">
      <c r="A2" s="157" t="s">
        <v>181</v>
      </c>
      <c r="B2" s="646"/>
      <c r="C2" s="646"/>
      <c r="D2" s="646"/>
      <c r="E2" s="646"/>
      <c r="F2" s="646"/>
    </row>
    <row r="3" spans="1:9" ht="16" x14ac:dyDescent="0.2">
      <c r="A3" s="158" t="s">
        <v>182</v>
      </c>
      <c r="B3" s="158" t="s">
        <v>183</v>
      </c>
      <c r="C3" s="158" t="s">
        <v>184</v>
      </c>
      <c r="D3" s="158" t="s">
        <v>185</v>
      </c>
      <c r="E3" s="158" t="s">
        <v>186</v>
      </c>
      <c r="F3" s="158" t="s">
        <v>187</v>
      </c>
    </row>
    <row r="4" spans="1:9" ht="16" x14ac:dyDescent="0.2">
      <c r="A4" s="159" t="s">
        <v>188</v>
      </c>
      <c r="B4" s="165"/>
      <c r="C4" s="165"/>
      <c r="D4" s="165"/>
      <c r="E4" s="165"/>
      <c r="F4" s="165"/>
    </row>
    <row r="5" spans="1:9" ht="16" x14ac:dyDescent="0.2">
      <c r="A5" s="159" t="s">
        <v>189</v>
      </c>
      <c r="B5" s="249">
        <v>79474</v>
      </c>
      <c r="C5" s="249">
        <v>86392</v>
      </c>
      <c r="D5" s="249">
        <v>91471</v>
      </c>
      <c r="E5" s="249">
        <v>91854</v>
      </c>
      <c r="F5" s="249">
        <v>93925</v>
      </c>
      <c r="H5" s="176">
        <f>C5-C6</f>
        <v>45816</v>
      </c>
    </row>
    <row r="6" spans="1:9" ht="16" x14ac:dyDescent="0.2">
      <c r="A6" s="159" t="s">
        <v>13</v>
      </c>
      <c r="B6" s="165">
        <v>37075</v>
      </c>
      <c r="C6" s="165">
        <v>40576</v>
      </c>
      <c r="D6" s="165">
        <v>41881</v>
      </c>
      <c r="E6" s="165">
        <v>41744</v>
      </c>
      <c r="F6" s="165">
        <v>43066</v>
      </c>
      <c r="H6" s="176">
        <f>SUM(C8:C10)</f>
        <v>34304</v>
      </c>
    </row>
    <row r="7" spans="1:9" ht="16" x14ac:dyDescent="0.2">
      <c r="A7" s="162" t="s">
        <v>190</v>
      </c>
      <c r="B7" s="166">
        <v>42399</v>
      </c>
      <c r="C7" s="166">
        <v>45816</v>
      </c>
      <c r="D7" s="166">
        <v>49590</v>
      </c>
      <c r="E7" s="166">
        <v>50110</v>
      </c>
      <c r="F7" s="166">
        <v>50859</v>
      </c>
      <c r="H7" s="176">
        <f>H5-H6</f>
        <v>11512</v>
      </c>
    </row>
    <row r="8" spans="1:9" ht="16" x14ac:dyDescent="0.2">
      <c r="A8" s="159" t="s">
        <v>191</v>
      </c>
      <c r="B8" s="165">
        <v>31237</v>
      </c>
      <c r="C8" s="165">
        <v>34459</v>
      </c>
      <c r="D8" s="165">
        <v>36677</v>
      </c>
      <c r="E8" s="165">
        <v>37190</v>
      </c>
      <c r="F8" s="165">
        <v>37368</v>
      </c>
      <c r="H8" s="176"/>
      <c r="I8" s="176"/>
    </row>
    <row r="9" spans="1:9" ht="16" x14ac:dyDescent="0.2">
      <c r="A9" s="159" t="s">
        <v>192</v>
      </c>
      <c r="B9" s="165">
        <v>0</v>
      </c>
      <c r="C9" s="165">
        <v>-3321</v>
      </c>
      <c r="D9" s="165">
        <v>0</v>
      </c>
      <c r="E9" s="165">
        <v>0</v>
      </c>
      <c r="F9" s="165">
        <v>0</v>
      </c>
    </row>
    <row r="10" spans="1:9" ht="16" x14ac:dyDescent="0.2">
      <c r="A10" s="159" t="s">
        <v>193</v>
      </c>
      <c r="B10" s="165">
        <v>0</v>
      </c>
      <c r="C10" s="165">
        <v>3166</v>
      </c>
      <c r="D10" s="165">
        <v>927</v>
      </c>
      <c r="E10" s="165">
        <v>33</v>
      </c>
      <c r="F10" s="165">
        <v>1993</v>
      </c>
    </row>
    <row r="11" spans="1:9" ht="16" x14ac:dyDescent="0.2">
      <c r="A11" s="162" t="s">
        <v>194</v>
      </c>
      <c r="B11" s="166">
        <v>11162</v>
      </c>
      <c r="C11" s="166">
        <v>11512</v>
      </c>
      <c r="D11" s="166">
        <v>11986</v>
      </c>
      <c r="E11" s="166">
        <v>12887</v>
      </c>
      <c r="F11" s="166">
        <v>11498</v>
      </c>
    </row>
    <row r="12" spans="1:9" ht="16" x14ac:dyDescent="0.2">
      <c r="A12" s="159" t="s">
        <v>195</v>
      </c>
      <c r="B12" s="165">
        <v>522</v>
      </c>
      <c r="C12" s="165">
        <v>132</v>
      </c>
      <c r="D12" s="165">
        <v>250</v>
      </c>
      <c r="E12" s="165">
        <v>-22</v>
      </c>
      <c r="F12" s="165">
        <v>-133</v>
      </c>
    </row>
    <row r="13" spans="1:9" ht="16" x14ac:dyDescent="0.2">
      <c r="A13" s="159" t="s">
        <v>196</v>
      </c>
      <c r="B13" s="165">
        <v>-1863</v>
      </c>
      <c r="C13" s="165">
        <v>-939</v>
      </c>
      <c r="D13" s="165">
        <v>-819</v>
      </c>
      <c r="E13" s="165">
        <v>-919</v>
      </c>
      <c r="F13" s="165">
        <v>-1121</v>
      </c>
    </row>
    <row r="14" spans="1:9" ht="16" x14ac:dyDescent="0.2">
      <c r="A14" s="159" t="s">
        <v>197</v>
      </c>
      <c r="B14" s="165">
        <v>9821</v>
      </c>
      <c r="C14" s="165">
        <v>10705</v>
      </c>
      <c r="D14" s="165">
        <v>11417</v>
      </c>
      <c r="E14" s="165">
        <v>11946</v>
      </c>
      <c r="F14" s="165">
        <v>10244</v>
      </c>
    </row>
    <row r="15" spans="1:9" ht="16" x14ac:dyDescent="0.2">
      <c r="A15" s="159" t="s">
        <v>25</v>
      </c>
      <c r="B15" s="165">
        <v>2142</v>
      </c>
      <c r="C15" s="165">
        <v>1727</v>
      </c>
      <c r="D15" s="165">
        <v>2262</v>
      </c>
      <c r="E15" s="165">
        <v>2320</v>
      </c>
      <c r="F15" s="165">
        <v>1949</v>
      </c>
    </row>
    <row r="16" spans="1:9" ht="16" x14ac:dyDescent="0.2">
      <c r="A16" s="163" t="s">
        <v>27</v>
      </c>
      <c r="B16" s="167">
        <v>7679</v>
      </c>
      <c r="C16" s="167">
        <v>8978</v>
      </c>
      <c r="D16" s="167">
        <v>9155</v>
      </c>
      <c r="E16" s="167">
        <v>9626</v>
      </c>
      <c r="F16" s="167">
        <v>8295</v>
      </c>
      <c r="H16" s="176"/>
    </row>
    <row r="17" spans="1:11" ht="16" x14ac:dyDescent="0.2">
      <c r="A17" s="159" t="s">
        <v>198</v>
      </c>
      <c r="B17" s="165">
        <v>61</v>
      </c>
      <c r="C17" s="165">
        <v>68</v>
      </c>
      <c r="D17" s="165">
        <v>81</v>
      </c>
      <c r="E17" s="165">
        <v>48</v>
      </c>
      <c r="F17" s="165">
        <v>55</v>
      </c>
    </row>
    <row r="18" spans="1:11" ht="16" x14ac:dyDescent="0.2">
      <c r="A18" s="159" t="s">
        <v>199</v>
      </c>
      <c r="B18" s="165" t="s">
        <v>200</v>
      </c>
      <c r="C18" s="165" t="s">
        <v>201</v>
      </c>
      <c r="D18" s="165" t="s">
        <v>202</v>
      </c>
      <c r="E18" s="165" t="s">
        <v>203</v>
      </c>
      <c r="F18" s="165" t="s">
        <v>204</v>
      </c>
    </row>
    <row r="19" spans="1:11" ht="16" x14ac:dyDescent="0.2">
      <c r="A19" s="159"/>
      <c r="B19" s="165"/>
      <c r="C19" s="165"/>
      <c r="D19" s="165"/>
      <c r="E19" s="165"/>
      <c r="F19" s="165"/>
    </row>
    <row r="20" spans="1:11" ht="16" x14ac:dyDescent="0.2">
      <c r="A20" s="164" t="s">
        <v>205</v>
      </c>
      <c r="B20" s="165"/>
      <c r="C20" s="165"/>
      <c r="D20" s="165"/>
      <c r="E20" s="165"/>
      <c r="F20" s="165"/>
    </row>
    <row r="21" spans="1:11" ht="16" x14ac:dyDescent="0.2">
      <c r="A21" s="159" t="s">
        <v>206</v>
      </c>
      <c r="B21" s="165" t="s">
        <v>207</v>
      </c>
      <c r="C21" s="165" t="s">
        <v>208</v>
      </c>
      <c r="D21" s="165" t="s">
        <v>209</v>
      </c>
      <c r="E21" s="165" t="s">
        <v>210</v>
      </c>
      <c r="F21" s="165" t="s">
        <v>211</v>
      </c>
    </row>
    <row r="22" spans="1:11" ht="16" x14ac:dyDescent="0.2">
      <c r="A22" s="159" t="s">
        <v>212</v>
      </c>
      <c r="B22" s="165" t="s">
        <v>213</v>
      </c>
      <c r="C22" s="165" t="s">
        <v>214</v>
      </c>
      <c r="D22" s="165" t="s">
        <v>215</v>
      </c>
      <c r="E22" s="165" t="s">
        <v>216</v>
      </c>
      <c r="F22" s="165" t="s">
        <v>217</v>
      </c>
    </row>
    <row r="23" spans="1:11" ht="16" x14ac:dyDescent="0.2">
      <c r="A23" s="164" t="s">
        <v>218</v>
      </c>
      <c r="B23" s="165"/>
      <c r="C23" s="165"/>
      <c r="D23" s="165"/>
      <c r="E23" s="165"/>
      <c r="F23" s="165"/>
    </row>
    <row r="24" spans="1:11" ht="16" x14ac:dyDescent="0.2">
      <c r="A24" s="159" t="s">
        <v>206</v>
      </c>
      <c r="B24" s="165">
        <v>1382</v>
      </c>
      <c r="C24" s="165">
        <v>1380</v>
      </c>
      <c r="D24" s="165">
        <v>1376</v>
      </c>
      <c r="E24" s="165">
        <v>1373</v>
      </c>
      <c r="F24" s="165">
        <v>1369</v>
      </c>
    </row>
    <row r="25" spans="1:11" ht="16" x14ac:dyDescent="0.2">
      <c r="A25" s="159" t="s">
        <v>212</v>
      </c>
      <c r="B25" s="165">
        <v>1389</v>
      </c>
      <c r="C25" s="165">
        <v>1387</v>
      </c>
      <c r="D25" s="165">
        <v>1383</v>
      </c>
      <c r="E25" s="165">
        <v>1378</v>
      </c>
      <c r="F25" s="165">
        <v>1373</v>
      </c>
    </row>
    <row r="26" spans="1:11" ht="16" x14ac:dyDescent="0.2">
      <c r="A26" s="645"/>
      <c r="B26" s="645"/>
      <c r="C26" s="645"/>
      <c r="D26" s="645"/>
      <c r="E26" s="645"/>
      <c r="F26" s="645"/>
    </row>
    <row r="29" spans="1:11" ht="16" x14ac:dyDescent="0.2">
      <c r="A29" s="156" t="s">
        <v>219</v>
      </c>
      <c r="B29" s="643" t="s">
        <v>180</v>
      </c>
      <c r="C29" s="644"/>
      <c r="D29" s="644"/>
      <c r="E29" s="644"/>
      <c r="F29" s="644"/>
    </row>
    <row r="30" spans="1:11" ht="16" x14ac:dyDescent="0.2">
      <c r="A30" s="158" t="s">
        <v>181</v>
      </c>
      <c r="B30" s="158" t="s">
        <v>220</v>
      </c>
      <c r="C30" s="158" t="s">
        <v>80</v>
      </c>
      <c r="D30" s="158" t="s">
        <v>221</v>
      </c>
      <c r="E30" s="158" t="s">
        <v>222</v>
      </c>
      <c r="F30" s="158" t="s">
        <v>223</v>
      </c>
    </row>
    <row r="31" spans="1:11" ht="16" x14ac:dyDescent="0.2">
      <c r="A31" s="164" t="s">
        <v>224</v>
      </c>
      <c r="B31" s="168"/>
      <c r="C31" s="168"/>
      <c r="D31" s="168"/>
      <c r="E31" s="168"/>
      <c r="F31" s="168"/>
    </row>
    <row r="32" spans="1:11" ht="16" x14ac:dyDescent="0.2">
      <c r="A32" s="159" t="s">
        <v>85</v>
      </c>
      <c r="B32" s="160">
        <v>5596</v>
      </c>
      <c r="C32" s="160">
        <v>4964</v>
      </c>
      <c r="D32" s="160">
        <v>9711</v>
      </c>
      <c r="E32" s="160">
        <v>8505</v>
      </c>
      <c r="F32" s="160">
        <v>9159</v>
      </c>
      <c r="G32" s="160"/>
      <c r="H32" s="160"/>
      <c r="I32" s="160"/>
      <c r="J32" s="160"/>
      <c r="K32" s="160"/>
    </row>
    <row r="33" spans="1:6" ht="16" x14ac:dyDescent="0.2">
      <c r="A33" s="159" t="s">
        <v>225</v>
      </c>
      <c r="B33" s="160">
        <v>392</v>
      </c>
      <c r="C33" s="160">
        <v>394</v>
      </c>
      <c r="D33" s="160">
        <v>292</v>
      </c>
      <c r="E33" s="160">
        <v>761</v>
      </c>
      <c r="F33" s="160">
        <v>371</v>
      </c>
    </row>
    <row r="34" spans="1:6" ht="16" x14ac:dyDescent="0.2">
      <c r="A34" s="159" t="s">
        <v>226</v>
      </c>
      <c r="B34" s="161">
        <v>8680</v>
      </c>
      <c r="C34" s="161">
        <v>10163</v>
      </c>
      <c r="D34" s="161">
        <v>10815</v>
      </c>
      <c r="E34" s="161">
        <v>10333</v>
      </c>
      <c r="F34" s="161">
        <v>11506</v>
      </c>
    </row>
    <row r="35" spans="1:6" ht="16" x14ac:dyDescent="0.2">
      <c r="A35" s="159" t="s">
        <v>91</v>
      </c>
      <c r="B35" s="161">
        <v>4347</v>
      </c>
      <c r="C35" s="161">
        <v>5222</v>
      </c>
      <c r="D35" s="161">
        <v>5334</v>
      </c>
      <c r="E35" s="161">
        <v>5306</v>
      </c>
      <c r="F35" s="161">
        <v>5845</v>
      </c>
    </row>
    <row r="36" spans="1:6" ht="16" x14ac:dyDescent="0.2">
      <c r="A36" s="159" t="s">
        <v>93</v>
      </c>
      <c r="B36" s="160">
        <v>980</v>
      </c>
      <c r="C36" s="160">
        <v>806</v>
      </c>
      <c r="D36" s="160">
        <v>798</v>
      </c>
      <c r="E36" s="160">
        <v>921</v>
      </c>
      <c r="F36" s="161">
        <v>1068</v>
      </c>
    </row>
    <row r="37" spans="1:6" ht="16" x14ac:dyDescent="0.2">
      <c r="A37" s="159" t="s">
        <v>227</v>
      </c>
      <c r="B37" s="161">
        <v>1788</v>
      </c>
      <c r="C37" s="160"/>
      <c r="D37" s="160"/>
      <c r="E37" s="160"/>
      <c r="F37" s="160"/>
    </row>
    <row r="38" spans="1:6" ht="16" x14ac:dyDescent="0.2">
      <c r="A38" s="159" t="s">
        <v>228</v>
      </c>
      <c r="B38" s="161">
        <v>21783</v>
      </c>
      <c r="C38" s="161">
        <v>21539</v>
      </c>
      <c r="D38" s="161">
        <v>26950</v>
      </c>
      <c r="E38" s="161">
        <v>25826</v>
      </c>
      <c r="F38" s="161">
        <v>27949</v>
      </c>
    </row>
    <row r="39" spans="1:6" ht="16" x14ac:dyDescent="0.2">
      <c r="A39" s="159" t="s">
        <v>229</v>
      </c>
      <c r="B39" s="161">
        <v>22407</v>
      </c>
      <c r="C39" s="161">
        <v>24291</v>
      </c>
      <c r="D39" s="161">
        <v>27039</v>
      </c>
      <c r="E39" s="161">
        <v>28008</v>
      </c>
      <c r="F39" s="161">
        <v>29905</v>
      </c>
    </row>
    <row r="40" spans="1:6" ht="16" x14ac:dyDescent="0.2">
      <c r="A40" s="159" t="s">
        <v>230</v>
      </c>
      <c r="B40" s="161">
        <v>1538</v>
      </c>
      <c r="C40" s="161">
        <v>1277</v>
      </c>
      <c r="D40" s="161">
        <v>1199</v>
      </c>
      <c r="E40" s="161">
        <v>1102</v>
      </c>
      <c r="F40" s="161">
        <v>1219</v>
      </c>
    </row>
    <row r="41" spans="1:6" ht="16" x14ac:dyDescent="0.2">
      <c r="A41" s="159" t="s">
        <v>231</v>
      </c>
      <c r="B41" s="161">
        <v>18381</v>
      </c>
      <c r="C41" s="161">
        <v>18202</v>
      </c>
      <c r="D41" s="161">
        <v>17728</v>
      </c>
      <c r="E41" s="161">
        <v>17534</v>
      </c>
      <c r="F41" s="161">
        <v>18916</v>
      </c>
    </row>
    <row r="42" spans="1:6" ht="16" x14ac:dyDescent="0.2">
      <c r="A42" s="159" t="s">
        <v>232</v>
      </c>
      <c r="B42" s="161">
        <v>17127</v>
      </c>
      <c r="C42" s="161">
        <v>14309</v>
      </c>
      <c r="D42" s="161">
        <v>13730</v>
      </c>
      <c r="E42" s="161">
        <v>13699</v>
      </c>
      <c r="F42" s="161">
        <v>13847</v>
      </c>
    </row>
    <row r="43" spans="1:6" ht="16" x14ac:dyDescent="0.2">
      <c r="A43" s="159" t="s">
        <v>233</v>
      </c>
      <c r="B43" s="161">
        <v>2350</v>
      </c>
      <c r="C43" s="161">
        <v>3073</v>
      </c>
      <c r="D43" s="161">
        <v>2714</v>
      </c>
      <c r="E43" s="161">
        <v>1985</v>
      </c>
      <c r="F43" s="161">
        <v>2038</v>
      </c>
    </row>
    <row r="44" spans="1:6" ht="16" x14ac:dyDescent="0.2">
      <c r="A44" s="159" t="s">
        <v>234</v>
      </c>
      <c r="B44" s="161">
        <v>4310</v>
      </c>
      <c r="C44" s="161">
        <v>4204</v>
      </c>
      <c r="D44" s="161">
        <v>4474</v>
      </c>
      <c r="E44" s="161">
        <v>4362</v>
      </c>
      <c r="F44" s="161">
        <v>4541</v>
      </c>
    </row>
    <row r="45" spans="1:6" ht="16" x14ac:dyDescent="0.2">
      <c r="A45" s="159" t="s">
        <v>235</v>
      </c>
      <c r="B45" s="161">
        <v>4481</v>
      </c>
      <c r="C45" s="161">
        <v>5292</v>
      </c>
      <c r="D45" s="161">
        <v>6661</v>
      </c>
      <c r="E45" s="161">
        <v>6951</v>
      </c>
      <c r="F45" s="161">
        <v>8984</v>
      </c>
    </row>
    <row r="46" spans="1:6" ht="16" x14ac:dyDescent="0.2">
      <c r="A46" s="170" t="s">
        <v>54</v>
      </c>
      <c r="B46" s="172">
        <v>92377</v>
      </c>
      <c r="C46" s="172">
        <v>92187</v>
      </c>
      <c r="D46" s="172">
        <v>100495</v>
      </c>
      <c r="E46" s="172">
        <v>99467</v>
      </c>
      <c r="F46" s="172">
        <v>107399</v>
      </c>
    </row>
    <row r="47" spans="1:6" ht="16" x14ac:dyDescent="0.2">
      <c r="A47" s="164" t="s">
        <v>236</v>
      </c>
      <c r="B47" s="160"/>
      <c r="C47" s="160"/>
      <c r="D47" s="160"/>
      <c r="E47" s="160"/>
      <c r="F47" s="160"/>
    </row>
    <row r="48" spans="1:6" ht="16" x14ac:dyDescent="0.2">
      <c r="A48" s="159" t="s">
        <v>237</v>
      </c>
      <c r="B48" s="161">
        <v>4308</v>
      </c>
      <c r="C48" s="161">
        <v>3414</v>
      </c>
      <c r="D48" s="161">
        <v>6510</v>
      </c>
      <c r="E48" s="161">
        <v>7082</v>
      </c>
      <c r="F48" s="161">
        <v>6861</v>
      </c>
    </row>
    <row r="49" spans="1:6" ht="16" x14ac:dyDescent="0.2">
      <c r="A49" s="159" t="s">
        <v>238</v>
      </c>
      <c r="B49" s="161">
        <v>21159</v>
      </c>
      <c r="C49" s="161">
        <v>23371</v>
      </c>
      <c r="D49" s="161">
        <v>25137</v>
      </c>
      <c r="E49" s="161">
        <v>24454</v>
      </c>
      <c r="F49" s="161">
        <v>25903</v>
      </c>
    </row>
    <row r="50" spans="1:6" ht="16" x14ac:dyDescent="0.2">
      <c r="A50" s="159" t="s">
        <v>239</v>
      </c>
      <c r="B50" s="160">
        <v>753</v>
      </c>
      <c r="C50" s="160">
        <v>0</v>
      </c>
      <c r="D50" s="160">
        <v>0</v>
      </c>
      <c r="E50" s="160">
        <v>0</v>
      </c>
      <c r="F50" s="160">
        <v>0</v>
      </c>
    </row>
    <row r="51" spans="1:6" ht="16" x14ac:dyDescent="0.2">
      <c r="A51" s="159" t="s">
        <v>240</v>
      </c>
      <c r="B51" s="161">
        <v>26220</v>
      </c>
      <c r="C51" s="161">
        <v>26785</v>
      </c>
      <c r="D51" s="161">
        <v>31647</v>
      </c>
      <c r="E51" s="161">
        <v>31536</v>
      </c>
      <c r="F51" s="161">
        <v>32764</v>
      </c>
    </row>
    <row r="52" spans="1:6" ht="16" x14ac:dyDescent="0.2">
      <c r="A52" s="159" t="s">
        <v>241</v>
      </c>
      <c r="B52" s="161">
        <v>36026</v>
      </c>
      <c r="C52" s="161">
        <v>35657</v>
      </c>
      <c r="D52" s="161">
        <v>37595</v>
      </c>
      <c r="E52" s="161">
        <v>37224</v>
      </c>
      <c r="F52" s="161">
        <v>42321</v>
      </c>
    </row>
    <row r="53" spans="1:6" ht="16" x14ac:dyDescent="0.2">
      <c r="A53" s="159" t="s">
        <v>242</v>
      </c>
      <c r="B53" s="161">
        <v>4826</v>
      </c>
      <c r="C53" s="161">
        <v>4133</v>
      </c>
      <c r="D53" s="161">
        <v>3895</v>
      </c>
      <c r="E53" s="161">
        <v>3484</v>
      </c>
      <c r="F53" s="161">
        <v>3802</v>
      </c>
    </row>
    <row r="54" spans="1:6" ht="16" x14ac:dyDescent="0.2">
      <c r="A54" s="159" t="s">
        <v>243</v>
      </c>
      <c r="B54" s="161">
        <v>9154</v>
      </c>
      <c r="C54" s="161">
        <v>8339</v>
      </c>
      <c r="D54" s="161">
        <v>8721</v>
      </c>
      <c r="E54" s="161">
        <v>9052</v>
      </c>
      <c r="F54" s="161">
        <v>7965</v>
      </c>
    </row>
    <row r="55" spans="1:6" ht="16" x14ac:dyDescent="0.2">
      <c r="A55" s="174" t="s">
        <v>244</v>
      </c>
      <c r="B55" s="175">
        <v>76226</v>
      </c>
      <c r="C55" s="175">
        <v>74914</v>
      </c>
      <c r="D55" s="175">
        <v>81858</v>
      </c>
      <c r="E55" s="175">
        <v>81296</v>
      </c>
      <c r="F55" s="175">
        <v>86852</v>
      </c>
    </row>
    <row r="56" spans="1:6" ht="16" x14ac:dyDescent="0.2">
      <c r="A56" s="159" t="s">
        <v>245</v>
      </c>
      <c r="B56" s="160"/>
      <c r="C56" s="160"/>
      <c r="D56" s="160"/>
      <c r="E56" s="160"/>
      <c r="F56" s="160"/>
    </row>
    <row r="57" spans="1:6" ht="16" x14ac:dyDescent="0.2">
      <c r="A57" s="159" t="s">
        <v>246</v>
      </c>
      <c r="B57" s="161">
        <v>3600</v>
      </c>
      <c r="C57" s="161">
        <v>3600</v>
      </c>
      <c r="D57" s="161">
        <v>3600</v>
      </c>
      <c r="E57" s="161">
        <v>3600</v>
      </c>
      <c r="F57" s="161">
        <v>3600</v>
      </c>
    </row>
    <row r="58" spans="1:6" ht="16" x14ac:dyDescent="0.2">
      <c r="A58" s="159" t="s">
        <v>247</v>
      </c>
      <c r="B58" s="161">
        <v>1383</v>
      </c>
      <c r="C58" s="161">
        <v>1377</v>
      </c>
      <c r="D58" s="161">
        <v>1374</v>
      </c>
      <c r="E58" s="161">
        <v>1372</v>
      </c>
      <c r="F58" s="161">
        <v>1367</v>
      </c>
    </row>
    <row r="59" spans="1:6" ht="16" x14ac:dyDescent="0.2">
      <c r="A59" s="159" t="s">
        <v>248</v>
      </c>
      <c r="B59" s="160"/>
      <c r="C59" s="160"/>
      <c r="D59" s="160"/>
      <c r="E59" s="160"/>
      <c r="F59" s="160"/>
    </row>
    <row r="60" spans="1:6" ht="16" x14ac:dyDescent="0.2">
      <c r="A60" s="159" t="s">
        <v>249</v>
      </c>
      <c r="B60" s="160">
        <v>23</v>
      </c>
      <c r="C60" s="160">
        <v>23</v>
      </c>
      <c r="D60" s="160">
        <v>23</v>
      </c>
      <c r="E60" s="160">
        <v>23</v>
      </c>
      <c r="F60" s="160">
        <v>23</v>
      </c>
    </row>
    <row r="61" spans="1:6" ht="16" x14ac:dyDescent="0.2">
      <c r="A61" s="159" t="s">
        <v>250</v>
      </c>
      <c r="B61" s="161">
        <v>4001</v>
      </c>
      <c r="C61" s="161">
        <v>4134</v>
      </c>
      <c r="D61" s="161">
        <v>4261</v>
      </c>
      <c r="E61" s="161">
        <v>4385</v>
      </c>
      <c r="F61" s="161">
        <v>4451</v>
      </c>
    </row>
    <row r="62" spans="1:6" ht="16" x14ac:dyDescent="0.2">
      <c r="A62" s="159" t="s">
        <v>251</v>
      </c>
      <c r="B62" s="161">
        <v>65165</v>
      </c>
      <c r="C62" s="161">
        <v>67800</v>
      </c>
      <c r="D62" s="161">
        <v>70035</v>
      </c>
      <c r="E62" s="161">
        <v>72266</v>
      </c>
      <c r="F62" s="161">
        <v>72788</v>
      </c>
    </row>
    <row r="63" spans="1:6" ht="16" x14ac:dyDescent="0.2">
      <c r="A63" s="159" t="s">
        <v>252</v>
      </c>
      <c r="B63" s="169">
        <v>-14898</v>
      </c>
      <c r="C63" s="169">
        <v>-15302</v>
      </c>
      <c r="D63" s="169">
        <v>-15534</v>
      </c>
      <c r="E63" s="169">
        <v>-17612</v>
      </c>
      <c r="F63" s="169">
        <v>-15024</v>
      </c>
    </row>
    <row r="64" spans="1:6" ht="16" x14ac:dyDescent="0.2">
      <c r="A64" s="159" t="s">
        <v>253</v>
      </c>
      <c r="B64" s="160">
        <v>484</v>
      </c>
      <c r="C64" s="160">
        <v>490</v>
      </c>
      <c r="D64" s="160">
        <v>493</v>
      </c>
      <c r="E64" s="160">
        <v>495</v>
      </c>
      <c r="F64" s="160">
        <v>500</v>
      </c>
    </row>
    <row r="65" spans="1:6" ht="16" x14ac:dyDescent="0.2">
      <c r="A65" s="159" t="s">
        <v>254</v>
      </c>
      <c r="B65" s="169">
        <v>-38248</v>
      </c>
      <c r="C65" s="169">
        <v>-39506</v>
      </c>
      <c r="D65" s="169">
        <v>-40282</v>
      </c>
      <c r="E65" s="169">
        <v>-41021</v>
      </c>
      <c r="F65" s="169">
        <v>-41832</v>
      </c>
    </row>
    <row r="66" spans="1:6" ht="16" x14ac:dyDescent="0.2">
      <c r="A66" s="159" t="s">
        <v>149</v>
      </c>
      <c r="B66" s="161">
        <v>16043</v>
      </c>
      <c r="C66" s="161">
        <v>17149</v>
      </c>
      <c r="D66" s="161">
        <v>18503</v>
      </c>
      <c r="E66" s="161">
        <v>18041</v>
      </c>
      <c r="F66" s="161">
        <v>20406</v>
      </c>
    </row>
    <row r="67" spans="1:6" ht="16" x14ac:dyDescent="0.2">
      <c r="A67" s="159" t="s">
        <v>150</v>
      </c>
      <c r="B67" s="160">
        <v>108</v>
      </c>
      <c r="C67" s="160">
        <v>124</v>
      </c>
      <c r="D67" s="160">
        <v>134</v>
      </c>
      <c r="E67" s="160">
        <v>130</v>
      </c>
      <c r="F67" s="160">
        <v>141</v>
      </c>
    </row>
    <row r="68" spans="1:6" ht="16" x14ac:dyDescent="0.2">
      <c r="A68" s="162" t="s">
        <v>255</v>
      </c>
      <c r="B68" s="173">
        <v>16151</v>
      </c>
      <c r="C68" s="173">
        <v>17273</v>
      </c>
      <c r="D68" s="173">
        <v>18637</v>
      </c>
      <c r="E68" s="173">
        <v>18171</v>
      </c>
      <c r="F68" s="173">
        <v>20547</v>
      </c>
    </row>
    <row r="69" spans="1:6" ht="16" x14ac:dyDescent="0.2">
      <c r="A69" s="170" t="s">
        <v>256</v>
      </c>
      <c r="B69" s="171">
        <v>92377</v>
      </c>
      <c r="C69" s="171">
        <v>92187</v>
      </c>
      <c r="D69" s="171">
        <v>100495</v>
      </c>
      <c r="E69" s="171">
        <v>99467</v>
      </c>
      <c r="F69" s="171">
        <v>107399</v>
      </c>
    </row>
    <row r="70" spans="1:6" ht="16" x14ac:dyDescent="0.2">
      <c r="A70" s="159" t="s">
        <v>257</v>
      </c>
      <c r="B70" s="160" t="s">
        <v>258</v>
      </c>
      <c r="C70" s="160" t="s">
        <v>259</v>
      </c>
      <c r="D70" s="160" t="s">
        <v>260</v>
      </c>
      <c r="E70" s="160" t="s">
        <v>261</v>
      </c>
      <c r="F70" s="160" t="s">
        <v>262</v>
      </c>
    </row>
    <row r="71" spans="1:6" ht="16" x14ac:dyDescent="0.2">
      <c r="A71" s="159" t="s">
        <v>263</v>
      </c>
      <c r="B71" s="160" t="s">
        <v>235</v>
      </c>
      <c r="C71" s="160" t="s">
        <v>235</v>
      </c>
      <c r="D71" s="160" t="s">
        <v>235</v>
      </c>
      <c r="E71" s="160" t="s">
        <v>235</v>
      </c>
      <c r="F71" s="160" t="s">
        <v>235</v>
      </c>
    </row>
    <row r="72" spans="1:6" ht="16" x14ac:dyDescent="0.2">
      <c r="A72" s="159" t="s">
        <v>264</v>
      </c>
      <c r="B72" s="159"/>
      <c r="D72" s="160" t="s">
        <v>265</v>
      </c>
      <c r="E72" s="160" t="s">
        <v>266</v>
      </c>
      <c r="F72" s="160" t="s">
        <v>267</v>
      </c>
    </row>
  </sheetData>
  <mergeCells count="3">
    <mergeCell ref="B29:F29"/>
    <mergeCell ref="A26:F26"/>
    <mergeCell ref="B1: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7A3B0-A173-4D23-839B-CD77B9A1EA60}">
  <sheetPr>
    <tabColor rgb="FF92D050"/>
  </sheetPr>
  <dimension ref="B1:AC127"/>
  <sheetViews>
    <sheetView showGridLines="0" topLeftCell="A109" workbookViewId="0">
      <selection activeCell="B1" sqref="B1:V1"/>
    </sheetView>
  </sheetViews>
  <sheetFormatPr baseColWidth="10" defaultColWidth="8.83203125" defaultRowHeight="23.25" customHeight="1" x14ac:dyDescent="0.25"/>
  <cols>
    <col min="2" max="2" width="79.33203125" style="47" bestFit="1" customWidth="1"/>
    <col min="3" max="3" width="9.33203125" customWidth="1"/>
    <col min="4" max="5" width="10.1640625" bestFit="1" customWidth="1"/>
    <col min="6" max="7" width="10.5" bestFit="1" customWidth="1"/>
    <col min="8" max="9" width="1.6640625" customWidth="1"/>
    <col min="10" max="14" width="7.6640625" customWidth="1"/>
    <col min="15" max="16" width="1.6640625" customWidth="1"/>
    <col min="17" max="21" width="7.83203125" customWidth="1"/>
    <col min="22" max="22" width="9.33203125" customWidth="1"/>
  </cols>
  <sheetData>
    <row r="1" spans="2:23" ht="20.25" customHeight="1" x14ac:dyDescent="0.2">
      <c r="B1" s="627" t="s">
        <v>484</v>
      </c>
      <c r="C1" s="627"/>
      <c r="D1" s="627"/>
      <c r="E1" s="627"/>
      <c r="F1" s="627"/>
      <c r="G1" s="627"/>
      <c r="H1" s="627"/>
      <c r="I1" s="627"/>
      <c r="J1" s="627"/>
      <c r="K1" s="627"/>
      <c r="L1" s="627"/>
      <c r="M1" s="627"/>
      <c r="N1" s="627"/>
      <c r="O1" s="627"/>
      <c r="P1" s="627"/>
      <c r="Q1" s="627"/>
      <c r="R1" s="627"/>
      <c r="S1" s="627"/>
      <c r="T1" s="627"/>
      <c r="U1" s="627"/>
      <c r="V1" s="627"/>
      <c r="W1" s="106"/>
    </row>
    <row r="2" spans="2:23" ht="15.75" customHeight="1" x14ac:dyDescent="0.2">
      <c r="B2" s="628" t="s">
        <v>1</v>
      </c>
      <c r="C2" s="628"/>
      <c r="D2" s="628"/>
      <c r="E2" s="628"/>
      <c r="F2" s="628"/>
      <c r="G2" s="628"/>
      <c r="H2" s="628"/>
      <c r="I2" s="628"/>
      <c r="J2" s="628"/>
      <c r="K2" s="628"/>
      <c r="L2" s="628"/>
      <c r="M2" s="628"/>
      <c r="N2" s="628"/>
      <c r="O2" s="628"/>
      <c r="P2" s="628"/>
      <c r="Q2" s="628"/>
      <c r="R2" s="628"/>
      <c r="S2" s="628"/>
      <c r="T2" s="628"/>
      <c r="U2" s="628"/>
      <c r="V2" s="628"/>
      <c r="W2" s="107"/>
    </row>
    <row r="3" spans="2:23" ht="15.75" customHeight="1" x14ac:dyDescent="0.2">
      <c r="B3" s="629" t="s">
        <v>2</v>
      </c>
      <c r="C3" s="629"/>
      <c r="D3" s="629"/>
      <c r="E3" s="629"/>
      <c r="F3" s="629"/>
      <c r="G3" s="629"/>
      <c r="H3" s="629"/>
      <c r="I3" s="629"/>
      <c r="J3" s="629"/>
      <c r="K3" s="629"/>
      <c r="L3" s="629"/>
      <c r="M3" s="629"/>
      <c r="N3" s="629"/>
      <c r="O3" s="629"/>
      <c r="P3" s="629"/>
      <c r="Q3" s="629"/>
      <c r="R3" s="629"/>
      <c r="S3" s="629"/>
      <c r="T3" s="629"/>
      <c r="U3" s="629"/>
      <c r="V3" s="629"/>
      <c r="W3" s="5"/>
    </row>
    <row r="4" spans="2:23" s="109" customFormat="1" ht="16" x14ac:dyDescent="0.2">
      <c r="B4" s="106" t="s">
        <v>3</v>
      </c>
      <c r="U4" s="616" t="s">
        <v>4</v>
      </c>
      <c r="V4" s="616"/>
    </row>
    <row r="5" spans="2:23" s="109" customFormat="1" ht="16" x14ac:dyDescent="0.2">
      <c r="B5" s="106" t="s">
        <v>5</v>
      </c>
    </row>
    <row r="6" spans="2:23" ht="15" x14ac:dyDescent="0.2">
      <c r="B6" s="2"/>
      <c r="J6" s="620" t="s">
        <v>7</v>
      </c>
      <c r="K6" s="620"/>
      <c r="L6" s="620"/>
      <c r="M6" s="620"/>
      <c r="N6" s="620"/>
      <c r="O6" s="3"/>
      <c r="P6" s="3"/>
      <c r="Q6" s="620" t="s">
        <v>8</v>
      </c>
      <c r="R6" s="620"/>
      <c r="S6" s="620"/>
      <c r="T6" s="620"/>
      <c r="U6" s="620"/>
      <c r="V6" s="4"/>
    </row>
    <row r="7" spans="2:23" ht="15" x14ac:dyDescent="0.2">
      <c r="B7" s="5"/>
      <c r="J7" s="621" t="s">
        <v>9</v>
      </c>
      <c r="K7" s="621"/>
      <c r="L7" s="621"/>
      <c r="M7" s="621"/>
      <c r="N7" s="621"/>
      <c r="O7" s="6"/>
      <c r="P7" s="6"/>
      <c r="Q7" s="622" t="s">
        <v>10</v>
      </c>
      <c r="R7" s="622"/>
      <c r="S7" s="622"/>
      <c r="T7" s="622"/>
      <c r="U7" s="622"/>
    </row>
    <row r="8" spans="2:23" ht="15" x14ac:dyDescent="0.2">
      <c r="B8" s="7" t="s">
        <v>11</v>
      </c>
      <c r="C8" s="8">
        <v>2021</v>
      </c>
      <c r="D8" s="8">
        <v>2022</v>
      </c>
      <c r="E8" s="8">
        <v>2023</v>
      </c>
      <c r="F8" s="8">
        <v>2024</v>
      </c>
      <c r="G8" s="134">
        <v>2025</v>
      </c>
      <c r="H8" s="9"/>
      <c r="I8" s="8"/>
      <c r="J8" s="8">
        <v>2021</v>
      </c>
      <c r="K8" s="8">
        <v>2022</v>
      </c>
      <c r="L8" s="8">
        <v>2023</v>
      </c>
      <c r="M8" s="8">
        <v>2024</v>
      </c>
      <c r="N8" s="134">
        <v>2025</v>
      </c>
      <c r="O8" s="9"/>
      <c r="P8" s="8"/>
      <c r="Q8" s="8">
        <v>2021</v>
      </c>
      <c r="R8" s="8">
        <v>2022</v>
      </c>
      <c r="S8" s="8">
        <v>2023</v>
      </c>
      <c r="T8" s="8">
        <v>2024</v>
      </c>
      <c r="U8" s="134">
        <v>2025</v>
      </c>
    </row>
    <row r="9" spans="2:23" ht="15" x14ac:dyDescent="0.2">
      <c r="B9" s="10" t="s">
        <v>268</v>
      </c>
      <c r="C9" s="205">
        <v>38655</v>
      </c>
      <c r="D9" s="206">
        <v>43004</v>
      </c>
      <c r="E9" s="206">
        <v>45754</v>
      </c>
      <c r="F9" s="206">
        <v>47061</v>
      </c>
      <c r="G9" s="206">
        <v>47941</v>
      </c>
      <c r="H9" s="12"/>
      <c r="I9" s="11"/>
      <c r="J9" s="13">
        <f t="shared" ref="J9:N11" si="0">C9/C$9</f>
        <v>1</v>
      </c>
      <c r="K9" s="13">
        <f t="shared" si="0"/>
        <v>1</v>
      </c>
      <c r="L9" s="13">
        <f t="shared" si="0"/>
        <v>1</v>
      </c>
      <c r="M9" s="13">
        <f t="shared" si="0"/>
        <v>1</v>
      </c>
      <c r="N9" s="13">
        <f t="shared" si="0"/>
        <v>1</v>
      </c>
      <c r="O9" s="14"/>
      <c r="P9" s="13"/>
      <c r="Q9" s="13">
        <f t="shared" ref="Q9:U11" si="1">C9/$C9</f>
        <v>1</v>
      </c>
      <c r="R9" s="13">
        <f t="shared" si="1"/>
        <v>1.1125080843357911</v>
      </c>
      <c r="S9" s="13">
        <f t="shared" si="1"/>
        <v>1.1836502392963395</v>
      </c>
      <c r="T9" s="13">
        <f t="shared" si="1"/>
        <v>1.2174621653084983</v>
      </c>
      <c r="U9" s="13">
        <f t="shared" si="1"/>
        <v>1.2402276548958737</v>
      </c>
    </row>
    <row r="10" spans="2:23" ht="14.25" customHeight="1" x14ac:dyDescent="0.2">
      <c r="B10" s="5" t="s">
        <v>13</v>
      </c>
      <c r="C10" s="207">
        <v>15357</v>
      </c>
      <c r="D10" s="207">
        <v>18000</v>
      </c>
      <c r="E10" s="207">
        <v>18520</v>
      </c>
      <c r="F10" s="207">
        <v>18324</v>
      </c>
      <c r="G10" s="207">
        <v>18397</v>
      </c>
      <c r="H10" s="22"/>
      <c r="I10" s="23"/>
      <c r="J10" s="181">
        <f t="shared" si="0"/>
        <v>0.39728366317423358</v>
      </c>
      <c r="K10" s="181">
        <f t="shared" si="0"/>
        <v>0.41856571481722632</v>
      </c>
      <c r="L10" s="181">
        <f t="shared" si="0"/>
        <v>0.4047733531494514</v>
      </c>
      <c r="M10" s="181">
        <f t="shared" si="0"/>
        <v>0.38936699177663031</v>
      </c>
      <c r="N10" s="181">
        <f t="shared" si="0"/>
        <v>0.38374251684362026</v>
      </c>
      <c r="O10" s="19"/>
      <c r="P10" s="18"/>
      <c r="Q10" s="181">
        <f t="shared" si="1"/>
        <v>1</v>
      </c>
      <c r="R10" s="181">
        <f t="shared" si="1"/>
        <v>1.1721039265481539</v>
      </c>
      <c r="S10" s="181">
        <f t="shared" si="1"/>
        <v>1.205964706648434</v>
      </c>
      <c r="T10" s="181">
        <f t="shared" si="1"/>
        <v>1.1932017972260207</v>
      </c>
      <c r="U10" s="181">
        <f t="shared" si="1"/>
        <v>1.1979553298170216</v>
      </c>
    </row>
    <row r="11" spans="2:23" ht="15" x14ac:dyDescent="0.2">
      <c r="B11" s="53" t="s">
        <v>14</v>
      </c>
      <c r="C11" s="208">
        <f>C9-C10</f>
        <v>23298</v>
      </c>
      <c r="D11" s="208">
        <f>D9-D10</f>
        <v>25004</v>
      </c>
      <c r="E11" s="208">
        <f>E9-E10</f>
        <v>27234</v>
      </c>
      <c r="F11" s="208">
        <f>F9-F10</f>
        <v>28737</v>
      </c>
      <c r="G11" s="208">
        <f>G9-G10</f>
        <v>29544</v>
      </c>
      <c r="H11" s="25"/>
      <c r="I11" s="24"/>
      <c r="J11" s="16">
        <f t="shared" si="0"/>
        <v>0.60271633682576642</v>
      </c>
      <c r="K11" s="16">
        <f t="shared" si="0"/>
        <v>0.58143428518277374</v>
      </c>
      <c r="L11" s="16">
        <f t="shared" si="0"/>
        <v>0.5952266468505486</v>
      </c>
      <c r="M11" s="16">
        <f t="shared" si="0"/>
        <v>0.61063300822336963</v>
      </c>
      <c r="N11" s="16">
        <f t="shared" si="0"/>
        <v>0.61625748315637974</v>
      </c>
      <c r="O11" s="17"/>
      <c r="P11" s="16"/>
      <c r="Q11" s="16">
        <f t="shared" si="1"/>
        <v>1</v>
      </c>
      <c r="R11" s="16">
        <f t="shared" si="1"/>
        <v>1.07322516954245</v>
      </c>
      <c r="S11" s="16">
        <f t="shared" si="1"/>
        <v>1.1689415400463559</v>
      </c>
      <c r="T11" s="16">
        <f t="shared" si="1"/>
        <v>1.2334535153232038</v>
      </c>
      <c r="U11" s="16">
        <f t="shared" si="1"/>
        <v>1.2680916816894154</v>
      </c>
    </row>
    <row r="12" spans="2:23" ht="6" customHeight="1" x14ac:dyDescent="0.2">
      <c r="B12" s="5"/>
      <c r="C12" s="209"/>
      <c r="D12" s="209"/>
      <c r="E12" s="209"/>
      <c r="F12" s="209"/>
      <c r="G12" s="209"/>
      <c r="H12" s="28"/>
      <c r="I12" s="27"/>
      <c r="J12" s="18"/>
      <c r="K12" s="18"/>
      <c r="L12" s="18"/>
      <c r="M12" s="18"/>
      <c r="N12" s="18"/>
      <c r="O12" s="19"/>
      <c r="P12" s="18"/>
      <c r="Q12" s="18"/>
      <c r="R12" s="18"/>
      <c r="S12" s="18"/>
      <c r="T12" s="18"/>
      <c r="U12" s="18"/>
    </row>
    <row r="13" spans="2:23" ht="15" x14ac:dyDescent="0.2">
      <c r="B13" s="5" t="s">
        <v>15</v>
      </c>
      <c r="C13" s="209"/>
      <c r="D13" s="209"/>
      <c r="E13" s="209"/>
      <c r="F13" s="209"/>
      <c r="G13" s="209"/>
      <c r="H13" s="28"/>
      <c r="I13" s="27"/>
      <c r="J13" s="18"/>
      <c r="K13" s="18"/>
      <c r="L13" s="18"/>
      <c r="M13" s="18"/>
      <c r="N13" s="18"/>
      <c r="O13" s="19"/>
      <c r="P13" s="18"/>
      <c r="Q13" s="183"/>
      <c r="R13" s="18"/>
      <c r="S13" s="18"/>
      <c r="T13" s="18"/>
      <c r="U13" s="18"/>
    </row>
    <row r="14" spans="2:23" ht="15" x14ac:dyDescent="0.2">
      <c r="B14" s="5" t="s">
        <v>269</v>
      </c>
      <c r="C14" s="209">
        <v>12144</v>
      </c>
      <c r="D14" s="209">
        <v>12880</v>
      </c>
      <c r="E14" s="209">
        <v>13972</v>
      </c>
      <c r="F14" s="209">
        <v>14582</v>
      </c>
      <c r="G14" s="209">
        <v>14521</v>
      </c>
      <c r="H14" s="34"/>
      <c r="I14" s="33"/>
      <c r="J14" s="18">
        <f t="shared" ref="J14:N16" si="2">C14/C$9</f>
        <v>0.31416375630578192</v>
      </c>
      <c r="K14" s="18">
        <f t="shared" si="2"/>
        <v>0.29950702260254858</v>
      </c>
      <c r="L14" s="18">
        <f t="shared" si="2"/>
        <v>0.30537220789439173</v>
      </c>
      <c r="M14" s="18">
        <f t="shared" si="2"/>
        <v>0.30985316929092027</v>
      </c>
      <c r="N14" s="18">
        <f t="shared" si="2"/>
        <v>0.30289313948394903</v>
      </c>
      <c r="O14" s="19"/>
      <c r="P14" s="18"/>
      <c r="Q14" s="18">
        <f t="shared" ref="Q14:U16" si="3">C14/$C14</f>
        <v>1</v>
      </c>
      <c r="R14" s="18">
        <f t="shared" si="3"/>
        <v>1.0606060606060606</v>
      </c>
      <c r="S14" s="18">
        <f t="shared" si="3"/>
        <v>1.1505270092226614</v>
      </c>
      <c r="T14" s="18">
        <f t="shared" si="3"/>
        <v>1.2007575757575757</v>
      </c>
      <c r="U14" s="18">
        <f t="shared" si="3"/>
        <v>1.1957345191040842</v>
      </c>
    </row>
    <row r="15" spans="2:23" ht="15" x14ac:dyDescent="0.2">
      <c r="B15" s="5" t="s">
        <v>270</v>
      </c>
      <c r="C15" s="209">
        <v>846</v>
      </c>
      <c r="D15" s="209">
        <v>1215</v>
      </c>
      <c r="E15" s="209">
        <v>1951</v>
      </c>
      <c r="F15" s="209">
        <v>4163</v>
      </c>
      <c r="G15" s="209">
        <v>1261</v>
      </c>
      <c r="H15" s="34"/>
      <c r="I15" s="33"/>
      <c r="J15" s="18">
        <f t="shared" si="2"/>
        <v>2.1885913853317812E-2</v>
      </c>
      <c r="K15" s="18">
        <f t="shared" si="2"/>
        <v>2.8253185750162776E-2</v>
      </c>
      <c r="L15" s="18">
        <f t="shared" si="2"/>
        <v>4.2641080561262402E-2</v>
      </c>
      <c r="M15" s="18">
        <f t="shared" si="2"/>
        <v>8.8459658740783237E-2</v>
      </c>
      <c r="N15" s="18">
        <f t="shared" si="2"/>
        <v>2.6303164306126281E-2</v>
      </c>
      <c r="O15" s="19"/>
      <c r="P15" s="18"/>
      <c r="Q15" s="18">
        <f t="shared" si="3"/>
        <v>1</v>
      </c>
      <c r="R15" s="18">
        <f t="shared" si="3"/>
        <v>1.4361702127659575</v>
      </c>
      <c r="S15" s="18">
        <f t="shared" si="3"/>
        <v>2.3061465721040189</v>
      </c>
      <c r="T15" s="18">
        <f t="shared" si="3"/>
        <v>4.9208037825059101</v>
      </c>
      <c r="U15" s="18">
        <f t="shared" si="3"/>
        <v>1.4905437352245863</v>
      </c>
    </row>
    <row r="16" spans="2:23" ht="15" x14ac:dyDescent="0.2">
      <c r="B16" s="52" t="s">
        <v>20</v>
      </c>
      <c r="C16" s="210">
        <f>+C14+C15</f>
        <v>12990</v>
      </c>
      <c r="D16" s="210">
        <f>+D14+D15</f>
        <v>14095</v>
      </c>
      <c r="E16" s="210">
        <f>+E14+E15</f>
        <v>15923</v>
      </c>
      <c r="F16" s="210">
        <f>+F14+F15</f>
        <v>18745</v>
      </c>
      <c r="G16" s="210">
        <f>+G14+G15</f>
        <v>15782</v>
      </c>
      <c r="H16" s="34"/>
      <c r="I16" s="33"/>
      <c r="J16" s="181">
        <f t="shared" si="2"/>
        <v>0.33604967015909976</v>
      </c>
      <c r="K16" s="181">
        <f t="shared" si="2"/>
        <v>0.32776020835271136</v>
      </c>
      <c r="L16" s="181">
        <f t="shared" si="2"/>
        <v>0.34801328845565416</v>
      </c>
      <c r="M16" s="181">
        <f t="shared" si="2"/>
        <v>0.39831282803170354</v>
      </c>
      <c r="N16" s="181">
        <f t="shared" si="2"/>
        <v>0.32919630379007531</v>
      </c>
      <c r="O16" s="19"/>
      <c r="P16" s="18"/>
      <c r="Q16" s="181">
        <f t="shared" si="3"/>
        <v>1</v>
      </c>
      <c r="R16" s="181">
        <f t="shared" si="3"/>
        <v>1.0850654349499615</v>
      </c>
      <c r="S16" s="181">
        <f t="shared" si="3"/>
        <v>1.2257890685142416</v>
      </c>
      <c r="T16" s="181">
        <f t="shared" si="3"/>
        <v>1.4430331023864511</v>
      </c>
      <c r="U16" s="181">
        <f t="shared" si="3"/>
        <v>1.2149345650500385</v>
      </c>
    </row>
    <row r="17" spans="2:21" ht="6.75" customHeight="1" x14ac:dyDescent="0.2">
      <c r="B17" s="5"/>
      <c r="C17" s="209"/>
      <c r="D17" s="209"/>
      <c r="E17" s="209"/>
      <c r="F17" s="209"/>
      <c r="G17" s="209"/>
      <c r="H17" s="36"/>
      <c r="I17" s="35"/>
      <c r="J17" s="18"/>
      <c r="K17" s="18"/>
      <c r="L17" s="18"/>
      <c r="M17" s="18"/>
      <c r="N17" s="18"/>
      <c r="O17" s="19"/>
      <c r="P17" s="18"/>
      <c r="Q17" s="18"/>
      <c r="R17" s="18"/>
      <c r="S17" s="18"/>
      <c r="T17" s="18"/>
      <c r="U17" s="18"/>
    </row>
    <row r="18" spans="2:21" ht="15" x14ac:dyDescent="0.2">
      <c r="B18" s="10" t="s">
        <v>21</v>
      </c>
      <c r="C18" s="206">
        <f>C11-C16</f>
        <v>10308</v>
      </c>
      <c r="D18" s="206">
        <f>D11-D16</f>
        <v>10909</v>
      </c>
      <c r="E18" s="206">
        <f>E11-E16</f>
        <v>11311</v>
      </c>
      <c r="F18" s="206">
        <f>F11-F16</f>
        <v>9992</v>
      </c>
      <c r="G18" s="206">
        <f>G11-G16</f>
        <v>13762</v>
      </c>
      <c r="H18" s="38"/>
      <c r="I18" s="37"/>
      <c r="J18" s="16">
        <f t="shared" ref="J18:N22" si="4">C18/C$9</f>
        <v>0.26666666666666666</v>
      </c>
      <c r="K18" s="16">
        <f t="shared" si="4"/>
        <v>0.25367407683006232</v>
      </c>
      <c r="L18" s="16">
        <f t="shared" si="4"/>
        <v>0.24721335839489444</v>
      </c>
      <c r="M18" s="16">
        <f t="shared" si="4"/>
        <v>0.21232018019166612</v>
      </c>
      <c r="N18" s="16">
        <f t="shared" si="4"/>
        <v>0.28706117936630443</v>
      </c>
      <c r="O18" s="17"/>
      <c r="P18" s="16"/>
      <c r="Q18" s="16">
        <f t="shared" ref="Q18:U22" si="5">C18/$C18</f>
        <v>1</v>
      </c>
      <c r="R18" s="16">
        <f t="shared" si="5"/>
        <v>1.0583042297244858</v>
      </c>
      <c r="S18" s="16">
        <f t="shared" si="5"/>
        <v>1.0973030655801319</v>
      </c>
      <c r="T18" s="16">
        <f t="shared" si="5"/>
        <v>0.96934419868063637</v>
      </c>
      <c r="U18" s="16">
        <f t="shared" si="5"/>
        <v>1.3350795498641832</v>
      </c>
    </row>
    <row r="19" spans="2:21" ht="15" x14ac:dyDescent="0.2">
      <c r="B19" s="5" t="s">
        <v>271</v>
      </c>
      <c r="C19" s="209">
        <v>276</v>
      </c>
      <c r="D19" s="209">
        <v>449</v>
      </c>
      <c r="E19" s="209">
        <v>907</v>
      </c>
      <c r="F19" s="209">
        <v>988</v>
      </c>
      <c r="G19" s="209">
        <v>786</v>
      </c>
      <c r="H19" s="17"/>
      <c r="I19" s="16"/>
      <c r="J19" s="18">
        <f t="shared" si="4"/>
        <v>7.1400853705859526E-3</v>
      </c>
      <c r="K19" s="18">
        <f t="shared" si="4"/>
        <v>1.0440889219607478E-2</v>
      </c>
      <c r="L19" s="18">
        <f t="shared" si="4"/>
        <v>1.9823403418280369E-2</v>
      </c>
      <c r="M19" s="18">
        <f t="shared" si="4"/>
        <v>2.0994029026157539E-2</v>
      </c>
      <c r="N19" s="18">
        <f t="shared" si="4"/>
        <v>1.6395152374794018E-2</v>
      </c>
      <c r="O19" s="19"/>
      <c r="P19" s="18"/>
      <c r="Q19" s="18">
        <f t="shared" si="5"/>
        <v>1</v>
      </c>
      <c r="R19" s="18">
        <f t="shared" si="5"/>
        <v>1.6268115942028984</v>
      </c>
      <c r="S19" s="18">
        <f t="shared" si="5"/>
        <v>3.2862318840579712</v>
      </c>
      <c r="T19" s="18">
        <f t="shared" si="5"/>
        <v>3.5797101449275361</v>
      </c>
      <c r="U19" s="18">
        <f t="shared" si="5"/>
        <v>2.847826086956522</v>
      </c>
    </row>
    <row r="20" spans="2:21" ht="15" x14ac:dyDescent="0.2">
      <c r="B20" s="5" t="s">
        <v>272</v>
      </c>
      <c r="C20" s="209">
        <v>1597</v>
      </c>
      <c r="D20" s="209">
        <v>882</v>
      </c>
      <c r="E20" s="209">
        <v>1527</v>
      </c>
      <c r="F20" s="209">
        <v>1656</v>
      </c>
      <c r="G20" s="209">
        <v>1654</v>
      </c>
      <c r="H20" s="17"/>
      <c r="I20" s="16"/>
      <c r="J20" s="18">
        <f t="shared" si="4"/>
        <v>4.131418962618031E-2</v>
      </c>
      <c r="K20" s="18">
        <f t="shared" si="4"/>
        <v>2.0509720026044089E-2</v>
      </c>
      <c r="L20" s="18">
        <f t="shared" si="4"/>
        <v>3.3374131223499581E-2</v>
      </c>
      <c r="M20" s="18">
        <f t="shared" si="4"/>
        <v>3.518837253777013E-2</v>
      </c>
      <c r="N20" s="18">
        <f t="shared" si="4"/>
        <v>3.4500740493523287E-2</v>
      </c>
      <c r="O20" s="19"/>
      <c r="P20" s="18"/>
      <c r="Q20" s="18">
        <f t="shared" si="5"/>
        <v>1</v>
      </c>
      <c r="R20" s="18">
        <f t="shared" si="5"/>
        <v>0.55228553537883529</v>
      </c>
      <c r="S20" s="18">
        <f t="shared" si="5"/>
        <v>0.95616781465247336</v>
      </c>
      <c r="T20" s="18">
        <f t="shared" si="5"/>
        <v>1.0369442705072009</v>
      </c>
      <c r="U20" s="18">
        <f t="shared" si="5"/>
        <v>1.0356919223544145</v>
      </c>
    </row>
    <row r="21" spans="2:21" ht="15" x14ac:dyDescent="0.2">
      <c r="B21" s="5" t="s">
        <v>273</v>
      </c>
      <c r="C21" s="209">
        <v>1438</v>
      </c>
      <c r="D21" s="209">
        <v>1472</v>
      </c>
      <c r="E21" s="209">
        <v>1691</v>
      </c>
      <c r="F21" s="209">
        <v>1770</v>
      </c>
      <c r="G21" s="209">
        <v>2031</v>
      </c>
      <c r="H21" s="17"/>
      <c r="I21" s="16"/>
      <c r="J21" s="18">
        <f t="shared" si="4"/>
        <v>3.7200879575734057E-2</v>
      </c>
      <c r="K21" s="18">
        <f t="shared" si="4"/>
        <v>3.422937401171984E-2</v>
      </c>
      <c r="L21" s="18">
        <f t="shared" si="4"/>
        <v>3.6958517288105959E-2</v>
      </c>
      <c r="M21" s="18">
        <f t="shared" si="4"/>
        <v>3.761076050232677E-2</v>
      </c>
      <c r="N21" s="18">
        <f t="shared" si="4"/>
        <v>4.2364573121128055E-2</v>
      </c>
      <c r="O21" s="19"/>
      <c r="P21" s="18"/>
      <c r="Q21" s="18">
        <f t="shared" si="5"/>
        <v>1</v>
      </c>
      <c r="R21" s="18">
        <f t="shared" si="5"/>
        <v>1.023643949930459</v>
      </c>
      <c r="S21" s="18">
        <f t="shared" si="5"/>
        <v>1.1759388038942977</v>
      </c>
      <c r="T21" s="18">
        <f t="shared" si="5"/>
        <v>1.2308762169680112</v>
      </c>
      <c r="U21" s="18">
        <f t="shared" si="5"/>
        <v>1.4123783031988872</v>
      </c>
    </row>
    <row r="22" spans="2:21" ht="15" x14ac:dyDescent="0.2">
      <c r="B22" s="5" t="s">
        <v>274</v>
      </c>
      <c r="C22" s="210">
        <v>2000</v>
      </c>
      <c r="D22" s="210">
        <v>-262</v>
      </c>
      <c r="E22" s="210">
        <v>570</v>
      </c>
      <c r="F22" s="210">
        <v>1992</v>
      </c>
      <c r="G22" s="210">
        <v>1073</v>
      </c>
      <c r="H22" s="17"/>
      <c r="I22" s="16"/>
      <c r="J22" s="181">
        <f t="shared" si="4"/>
        <v>5.1739749062217046E-2</v>
      </c>
      <c r="K22" s="181">
        <f t="shared" si="4"/>
        <v>-6.0924565156729605E-3</v>
      </c>
      <c r="L22" s="181">
        <f t="shared" si="4"/>
        <v>1.2457927175766053E-2</v>
      </c>
      <c r="M22" s="181">
        <f t="shared" si="4"/>
        <v>4.2328042328042326E-2</v>
      </c>
      <c r="N22" s="181">
        <f t="shared" si="4"/>
        <v>2.2381677478567407E-2</v>
      </c>
      <c r="O22" s="19"/>
      <c r="P22" s="18"/>
      <c r="Q22" s="181">
        <f t="shared" si="5"/>
        <v>1</v>
      </c>
      <c r="R22" s="181">
        <f t="shared" si="5"/>
        <v>-0.13100000000000001</v>
      </c>
      <c r="S22" s="181">
        <f t="shared" si="5"/>
        <v>0.28499999999999998</v>
      </c>
      <c r="T22" s="181">
        <f t="shared" si="5"/>
        <v>0.996</v>
      </c>
      <c r="U22" s="181">
        <f t="shared" si="5"/>
        <v>0.53649999999999998</v>
      </c>
    </row>
    <row r="23" spans="2:21" ht="6.75" customHeight="1" x14ac:dyDescent="0.2">
      <c r="B23" s="5"/>
      <c r="C23" s="209"/>
      <c r="D23" s="209"/>
      <c r="E23" s="209"/>
      <c r="F23" s="209"/>
      <c r="G23" s="209"/>
      <c r="H23" s="32"/>
      <c r="I23" s="31"/>
      <c r="J23" s="18"/>
      <c r="K23" s="18"/>
      <c r="L23" s="18"/>
      <c r="M23" s="18"/>
      <c r="N23" s="18"/>
      <c r="O23" s="19"/>
      <c r="P23" s="18"/>
      <c r="Q23" s="18"/>
      <c r="R23" s="18"/>
      <c r="S23" s="18"/>
      <c r="T23" s="18"/>
      <c r="U23" s="18"/>
    </row>
    <row r="24" spans="2:21" ht="15" x14ac:dyDescent="0.2">
      <c r="B24" s="5" t="s">
        <v>24</v>
      </c>
      <c r="C24" s="206">
        <f>C18+C19-C20+C21+C22</f>
        <v>12425</v>
      </c>
      <c r="D24" s="206">
        <f>D18+D19-D20+D21+D22</f>
        <v>11686</v>
      </c>
      <c r="E24" s="206">
        <f>E18+E19-E20+E21+E22</f>
        <v>12952</v>
      </c>
      <c r="F24" s="206">
        <f>F18+F19-F20+F21+F22</f>
        <v>13086</v>
      </c>
      <c r="G24" s="206">
        <f>G18+G19-G20+G21+G22</f>
        <v>15998</v>
      </c>
      <c r="H24" s="32"/>
      <c r="I24" s="31"/>
      <c r="J24" s="16">
        <f t="shared" ref="J24:N26" si="6">C24/C$9</f>
        <v>0.3214331910490234</v>
      </c>
      <c r="K24" s="16">
        <f t="shared" si="6"/>
        <v>0.27174216351967256</v>
      </c>
      <c r="L24" s="16">
        <f t="shared" si="6"/>
        <v>0.28307907505354724</v>
      </c>
      <c r="M24" s="16">
        <f t="shared" si="6"/>
        <v>0.27806463951042265</v>
      </c>
      <c r="N24" s="16">
        <f t="shared" si="6"/>
        <v>0.33370184184727059</v>
      </c>
      <c r="O24" s="19"/>
      <c r="P24" s="18"/>
      <c r="Q24" s="16">
        <f t="shared" ref="Q24:U26" si="7">C24/$C24</f>
        <v>1</v>
      </c>
      <c r="R24" s="16">
        <f t="shared" si="7"/>
        <v>0.94052313883299798</v>
      </c>
      <c r="S24" s="16">
        <f t="shared" si="7"/>
        <v>1.0424144869215293</v>
      </c>
      <c r="T24" s="16">
        <f t="shared" si="7"/>
        <v>1.0531991951710262</v>
      </c>
      <c r="U24" s="16">
        <f t="shared" si="7"/>
        <v>1.2875653923541248</v>
      </c>
    </row>
    <row r="25" spans="2:21" ht="15" x14ac:dyDescent="0.2">
      <c r="B25" s="5" t="s">
        <v>25</v>
      </c>
      <c r="C25" s="209">
        <v>2621</v>
      </c>
      <c r="D25" s="209">
        <v>2115</v>
      </c>
      <c r="E25" s="209">
        <v>2249</v>
      </c>
      <c r="F25" s="209">
        <v>2437</v>
      </c>
      <c r="G25" s="209">
        <v>2861</v>
      </c>
      <c r="H25" s="34"/>
      <c r="I25" s="33"/>
      <c r="J25" s="18">
        <f t="shared" si="6"/>
        <v>6.7804941146035441E-2</v>
      </c>
      <c r="K25" s="18">
        <f t="shared" si="6"/>
        <v>4.9181471491024094E-2</v>
      </c>
      <c r="L25" s="18">
        <f t="shared" si="6"/>
        <v>4.9154172312803251E-2</v>
      </c>
      <c r="M25" s="18">
        <f t="shared" si="6"/>
        <v>5.1783854996706402E-2</v>
      </c>
      <c r="N25" s="18">
        <f t="shared" si="6"/>
        <v>5.9677520285350741E-2</v>
      </c>
      <c r="O25" s="19"/>
      <c r="P25" s="18"/>
      <c r="Q25" s="18">
        <f t="shared" si="7"/>
        <v>1</v>
      </c>
      <c r="R25" s="18">
        <f t="shared" si="7"/>
        <v>0.80694391453643644</v>
      </c>
      <c r="S25" s="18">
        <f t="shared" si="7"/>
        <v>0.85806943914536438</v>
      </c>
      <c r="T25" s="18">
        <f t="shared" si="7"/>
        <v>0.92979778710415872</v>
      </c>
      <c r="U25" s="18">
        <f t="shared" si="7"/>
        <v>1.0915681037771843</v>
      </c>
    </row>
    <row r="26" spans="2:21" ht="15" x14ac:dyDescent="0.2">
      <c r="B26" s="5" t="s">
        <v>26</v>
      </c>
      <c r="C26" s="209">
        <f>C25/C24</f>
        <v>0.21094567404426559</v>
      </c>
      <c r="D26" s="209">
        <f>D25/D24</f>
        <v>0.18098579496833819</v>
      </c>
      <c r="E26" s="209">
        <f>E25/E24</f>
        <v>0.17364113650401483</v>
      </c>
      <c r="F26" s="209">
        <f>F25/F24</f>
        <v>0.18622955830658719</v>
      </c>
      <c r="G26" s="209">
        <f>G25/G24</f>
        <v>0.17883485435679461</v>
      </c>
      <c r="H26" s="19"/>
      <c r="I26" s="18"/>
      <c r="J26" s="18">
        <f t="shared" si="6"/>
        <v>5.4571381204052672E-6</v>
      </c>
      <c r="K26" s="18">
        <f t="shared" si="6"/>
        <v>4.2085804801492465E-6</v>
      </c>
      <c r="L26" s="18">
        <f t="shared" si="6"/>
        <v>3.7951028654109986E-6</v>
      </c>
      <c r="M26" s="18">
        <f t="shared" si="6"/>
        <v>3.9571950937418923E-6</v>
      </c>
      <c r="N26" s="18">
        <f t="shared" si="6"/>
        <v>3.7303113067477652E-6</v>
      </c>
      <c r="O26" s="19"/>
      <c r="P26" s="18"/>
      <c r="Q26" s="18">
        <f t="shared" si="7"/>
        <v>1</v>
      </c>
      <c r="R26" s="18">
        <f t="shared" si="7"/>
        <v>0.85797348435009613</v>
      </c>
      <c r="S26" s="18">
        <f t="shared" si="7"/>
        <v>0.82315571196580861</v>
      </c>
      <c r="T26" s="18">
        <f t="shared" si="7"/>
        <v>0.88283184355564515</v>
      </c>
      <c r="U26" s="18">
        <f t="shared" si="7"/>
        <v>0.84777682769293139</v>
      </c>
    </row>
    <row r="27" spans="2:21" ht="9" customHeight="1" x14ac:dyDescent="0.2">
      <c r="B27" s="5"/>
      <c r="C27" s="209"/>
      <c r="D27" s="209"/>
      <c r="E27" s="209"/>
      <c r="F27" s="209"/>
      <c r="G27" s="209"/>
      <c r="H27" s="32"/>
      <c r="I27" s="31"/>
      <c r="J27" s="18"/>
      <c r="K27" s="18"/>
      <c r="L27" s="18"/>
      <c r="M27" s="18"/>
      <c r="N27" s="18"/>
      <c r="O27" s="19"/>
      <c r="P27" s="18"/>
      <c r="Q27" s="18"/>
      <c r="R27" s="18"/>
      <c r="S27" s="18"/>
      <c r="T27" s="18"/>
      <c r="U27" s="18"/>
    </row>
    <row r="28" spans="2:21" ht="15" x14ac:dyDescent="0.2">
      <c r="B28" s="10" t="s">
        <v>27</v>
      </c>
      <c r="C28" s="211">
        <f>C24-C25</f>
        <v>9804</v>
      </c>
      <c r="D28" s="211">
        <f>D24-D25</f>
        <v>9571</v>
      </c>
      <c r="E28" s="211">
        <f>E24-E25</f>
        <v>10703</v>
      </c>
      <c r="F28" s="211">
        <f>F24-F25</f>
        <v>10649</v>
      </c>
      <c r="G28" s="211">
        <f>G24-G25</f>
        <v>13137</v>
      </c>
      <c r="H28" s="38"/>
      <c r="I28" s="37"/>
      <c r="J28" s="182">
        <f>C28/C$9</f>
        <v>0.25362824990298799</v>
      </c>
      <c r="K28" s="182">
        <f>D28/D$9</f>
        <v>0.2225606920286485</v>
      </c>
      <c r="L28" s="182">
        <f>E28/E$9</f>
        <v>0.23392490274074398</v>
      </c>
      <c r="M28" s="182">
        <f>F28/F$9</f>
        <v>0.22628078451371625</v>
      </c>
      <c r="N28" s="182">
        <f>G28/G$9</f>
        <v>0.27402432156191986</v>
      </c>
      <c r="O28" s="17"/>
      <c r="P28" s="16"/>
      <c r="Q28" s="182">
        <f>C28/$C28</f>
        <v>1</v>
      </c>
      <c r="R28" s="182">
        <f>D28/$C28</f>
        <v>0.97623419012647894</v>
      </c>
      <c r="S28" s="182">
        <f>E28/$C28</f>
        <v>1.0916972664218687</v>
      </c>
      <c r="T28" s="182">
        <f>F28/$C28</f>
        <v>1.086189310485516</v>
      </c>
      <c r="U28" s="182">
        <f>G28/$C28</f>
        <v>1.3399632802937576</v>
      </c>
    </row>
    <row r="29" spans="2:21" ht="9.75" customHeight="1" x14ac:dyDescent="0.2">
      <c r="B29" s="5"/>
      <c r="C29" s="31"/>
      <c r="D29" s="31"/>
      <c r="E29" s="31"/>
      <c r="F29" s="31"/>
      <c r="G29" s="31"/>
      <c r="H29" s="32"/>
      <c r="I29" s="31"/>
      <c r="J29" s="18"/>
      <c r="K29" s="18"/>
      <c r="L29" s="18"/>
      <c r="M29" s="18"/>
      <c r="N29" s="18"/>
      <c r="O29" s="19"/>
      <c r="P29" s="18"/>
      <c r="Q29" s="20"/>
      <c r="R29" s="20"/>
      <c r="S29" s="20"/>
      <c r="T29" s="20"/>
      <c r="U29" s="20"/>
    </row>
    <row r="30" spans="2:21" ht="15" x14ac:dyDescent="0.2">
      <c r="B30" s="10" t="s">
        <v>118</v>
      </c>
      <c r="C30" s="31">
        <v>4315</v>
      </c>
      <c r="D30" s="31">
        <v>4328</v>
      </c>
      <c r="E30" s="31">
        <v>4323</v>
      </c>
      <c r="F30" s="31">
        <v>4309</v>
      </c>
      <c r="G30" s="31">
        <v>4303</v>
      </c>
      <c r="H30" s="40"/>
      <c r="I30" s="39"/>
      <c r="J30" s="18"/>
      <c r="K30" s="18"/>
      <c r="L30" s="18"/>
      <c r="M30" s="18"/>
      <c r="N30" s="18"/>
      <c r="O30" s="19"/>
      <c r="P30" s="18"/>
      <c r="Q30" s="20"/>
      <c r="R30" s="20"/>
      <c r="S30" s="20"/>
      <c r="T30" s="20"/>
      <c r="U30" s="20"/>
    </row>
    <row r="31" spans="2:21" ht="15" x14ac:dyDescent="0.2">
      <c r="B31" s="53" t="s">
        <v>30</v>
      </c>
      <c r="C31" s="41">
        <v>59.21</v>
      </c>
      <c r="D31" s="41">
        <v>63.61</v>
      </c>
      <c r="E31" s="41">
        <v>58.93</v>
      </c>
      <c r="F31" s="41">
        <v>62.26</v>
      </c>
      <c r="G31" s="41">
        <v>69.91</v>
      </c>
      <c r="H31" s="42"/>
      <c r="I31" s="41"/>
      <c r="J31" s="18"/>
      <c r="K31" s="18"/>
      <c r="L31" s="18"/>
      <c r="M31" s="18"/>
      <c r="N31" s="18"/>
      <c r="O31" s="19"/>
      <c r="P31" s="18"/>
      <c r="Q31" s="20"/>
      <c r="R31" s="20"/>
      <c r="S31" s="20"/>
      <c r="T31" s="20"/>
      <c r="U31" s="20"/>
    </row>
    <row r="32" spans="2:21" ht="15" x14ac:dyDescent="0.2">
      <c r="B32" s="52"/>
      <c r="C32" s="41"/>
      <c r="D32" s="41"/>
      <c r="E32" s="41"/>
      <c r="F32" s="41"/>
      <c r="G32" s="41"/>
      <c r="H32" s="42"/>
      <c r="I32" s="41"/>
      <c r="J32" s="18"/>
      <c r="K32" s="18"/>
      <c r="L32" s="18"/>
      <c r="M32" s="18"/>
      <c r="N32" s="18"/>
      <c r="O32" s="19"/>
      <c r="P32" s="18"/>
      <c r="Q32" s="20"/>
      <c r="R32" s="20"/>
      <c r="S32" s="20"/>
      <c r="T32" s="20"/>
      <c r="U32" s="20"/>
    </row>
    <row r="33" spans="2:22" ht="8.25" customHeight="1" x14ac:dyDescent="0.2">
      <c r="B33" s="43"/>
      <c r="C33" s="44"/>
      <c r="D33" s="44"/>
      <c r="E33" s="44"/>
      <c r="F33" s="44"/>
      <c r="G33" s="44"/>
      <c r="H33" s="44"/>
      <c r="I33" s="44"/>
      <c r="J33" s="45"/>
      <c r="K33" s="45"/>
      <c r="L33" s="45"/>
      <c r="M33" s="45"/>
      <c r="N33" s="45"/>
      <c r="O33" s="44"/>
      <c r="P33" s="44"/>
      <c r="Q33" s="46"/>
      <c r="R33" s="46"/>
      <c r="S33" s="46"/>
      <c r="T33" s="46"/>
      <c r="U33" s="46"/>
    </row>
    <row r="34" spans="2:22" ht="15" x14ac:dyDescent="0.2">
      <c r="B34" s="1"/>
      <c r="C34" s="54"/>
      <c r="D34" s="54"/>
      <c r="E34" s="54"/>
      <c r="F34" s="54"/>
      <c r="G34" s="54"/>
      <c r="H34" s="54"/>
      <c r="I34" s="54"/>
      <c r="J34" s="69"/>
      <c r="K34" s="69"/>
      <c r="L34" s="69"/>
      <c r="M34" s="69"/>
      <c r="N34" s="69"/>
      <c r="O34" s="69"/>
      <c r="P34" s="69"/>
      <c r="Q34" s="70"/>
      <c r="R34" s="70"/>
      <c r="S34" s="70"/>
      <c r="T34" s="70"/>
      <c r="U34" s="70"/>
    </row>
    <row r="35" spans="2:22" ht="15" x14ac:dyDescent="0.2">
      <c r="B35" s="5" t="s">
        <v>119</v>
      </c>
      <c r="C35" s="209">
        <v>1050</v>
      </c>
      <c r="D35" s="209">
        <v>1075</v>
      </c>
      <c r="E35" s="209">
        <v>1128</v>
      </c>
      <c r="F35" s="209">
        <v>1260</v>
      </c>
      <c r="G35" s="209">
        <v>1452</v>
      </c>
    </row>
    <row r="36" spans="2:22" ht="15" x14ac:dyDescent="0.2">
      <c r="B36" s="5" t="s">
        <v>120</v>
      </c>
      <c r="C36" s="209">
        <v>8779</v>
      </c>
      <c r="D36" s="209">
        <v>8359</v>
      </c>
      <c r="E36" s="209">
        <v>7952</v>
      </c>
      <c r="F36" s="209">
        <v>7616</v>
      </c>
      <c r="G36" s="209">
        <v>7252</v>
      </c>
    </row>
    <row r="37" spans="2:22" ht="15" x14ac:dyDescent="0.2">
      <c r="B37" s="5" t="s">
        <v>121</v>
      </c>
      <c r="C37" s="209">
        <v>7408</v>
      </c>
      <c r="D37" s="209">
        <v>6805</v>
      </c>
      <c r="E37" s="209">
        <v>11599</v>
      </c>
      <c r="F37" s="209">
        <v>11018</v>
      </c>
      <c r="G37" s="209">
        <v>12625</v>
      </c>
    </row>
    <row r="38" spans="2:22" ht="15" x14ac:dyDescent="0.2">
      <c r="B38" s="5" t="s">
        <v>122</v>
      </c>
      <c r="C38" s="209">
        <v>2112</v>
      </c>
      <c r="D38" s="209">
        <v>2064</v>
      </c>
      <c r="E38" s="209">
        <v>1852</v>
      </c>
      <c r="F38" s="209">
        <v>1484</v>
      </c>
      <c r="G38" s="209">
        <v>1367</v>
      </c>
    </row>
    <row r="39" spans="2:22" ht="15" x14ac:dyDescent="0.2">
      <c r="B39"/>
      <c r="C39" s="191"/>
      <c r="D39" s="191"/>
      <c r="E39" s="191"/>
    </row>
    <row r="40" spans="2:22" ht="17.25" customHeight="1" x14ac:dyDescent="0.25"/>
    <row r="41" spans="2:22" ht="18" x14ac:dyDescent="0.2">
      <c r="B41" s="627" t="s">
        <v>484</v>
      </c>
      <c r="C41" s="627"/>
      <c r="D41" s="627"/>
      <c r="E41" s="627"/>
      <c r="F41" s="627"/>
      <c r="G41" s="627"/>
      <c r="H41" s="627"/>
      <c r="I41" s="627"/>
      <c r="J41" s="627"/>
      <c r="K41" s="627"/>
      <c r="L41" s="627"/>
      <c r="M41" s="627"/>
      <c r="N41" s="627"/>
      <c r="O41" s="627"/>
      <c r="P41" s="627"/>
      <c r="Q41" s="627"/>
      <c r="R41" s="627"/>
      <c r="S41" s="627"/>
      <c r="T41" s="627"/>
      <c r="U41" s="627"/>
      <c r="V41" s="627"/>
    </row>
    <row r="42" spans="2:22" ht="14.25" customHeight="1" x14ac:dyDescent="0.2">
      <c r="B42" s="630" t="s">
        <v>32</v>
      </c>
      <c r="C42" s="631"/>
      <c r="D42" s="631"/>
      <c r="E42" s="631"/>
      <c r="F42" s="631"/>
      <c r="G42" s="631"/>
      <c r="H42" s="631"/>
      <c r="I42" s="631"/>
      <c r="J42" s="631"/>
      <c r="K42" s="631"/>
      <c r="L42" s="631"/>
      <c r="M42" s="631"/>
      <c r="N42" s="631"/>
      <c r="O42" s="631"/>
      <c r="P42" s="631"/>
      <c r="Q42" s="631"/>
      <c r="R42" s="631"/>
      <c r="S42" s="631"/>
      <c r="T42" s="631"/>
      <c r="U42" s="631"/>
      <c r="V42" s="631"/>
    </row>
    <row r="43" spans="2:22" ht="16" x14ac:dyDescent="0.2">
      <c r="B43" s="632" t="s">
        <v>33</v>
      </c>
      <c r="C43" s="633"/>
      <c r="D43" s="633"/>
      <c r="E43" s="633"/>
      <c r="F43" s="633"/>
      <c r="G43" s="633"/>
      <c r="H43" s="633"/>
      <c r="I43" s="633"/>
      <c r="J43" s="633"/>
      <c r="K43" s="633"/>
      <c r="L43" s="633"/>
      <c r="M43" s="633"/>
      <c r="N43" s="633"/>
      <c r="O43" s="633"/>
      <c r="P43" s="633"/>
      <c r="Q43" s="633"/>
      <c r="R43" s="633"/>
      <c r="S43" s="633"/>
      <c r="T43" s="633"/>
      <c r="U43" s="633"/>
      <c r="V43" s="633"/>
    </row>
    <row r="44" spans="2:22" s="109" customFormat="1" ht="16" x14ac:dyDescent="0.2">
      <c r="B44" s="106" t="s">
        <v>34</v>
      </c>
      <c r="U44" s="616" t="s">
        <v>35</v>
      </c>
      <c r="V44" s="616"/>
    </row>
    <row r="45" spans="2:22" s="109" customFormat="1" ht="16" x14ac:dyDescent="0.2">
      <c r="B45" s="106" t="str">
        <f>B5</f>
        <v>FIN320 Section B</v>
      </c>
    </row>
    <row r="46" spans="2:22" ht="6" customHeight="1" x14ac:dyDescent="0.2">
      <c r="B46" s="1"/>
      <c r="U46" s="613"/>
      <c r="V46" s="613"/>
    </row>
    <row r="47" spans="2:22" ht="15" x14ac:dyDescent="0.2">
      <c r="B47" s="48"/>
      <c r="C47" s="55"/>
      <c r="D47" s="55"/>
      <c r="E47" s="55"/>
      <c r="F47" s="55"/>
      <c r="G47" s="55"/>
      <c r="H47" s="55"/>
      <c r="I47" s="55"/>
      <c r="J47" s="614" t="s">
        <v>7</v>
      </c>
      <c r="K47" s="614"/>
      <c r="L47" s="614"/>
      <c r="M47" s="614"/>
      <c r="N47" s="614"/>
      <c r="O47" s="71"/>
      <c r="P47" s="71"/>
      <c r="Q47" s="614" t="s">
        <v>8</v>
      </c>
      <c r="R47" s="614"/>
      <c r="S47" s="614"/>
      <c r="T47" s="614"/>
      <c r="U47" s="614"/>
      <c r="V47" s="71"/>
    </row>
    <row r="48" spans="2:22" ht="15" x14ac:dyDescent="0.2">
      <c r="B48" s="49"/>
      <c r="C48" s="55"/>
      <c r="D48" s="55"/>
      <c r="E48" s="55"/>
      <c r="F48" s="55"/>
      <c r="G48" s="72"/>
      <c r="H48" s="72"/>
      <c r="I48" s="72"/>
      <c r="J48" s="615" t="s">
        <v>36</v>
      </c>
      <c r="K48" s="615"/>
      <c r="L48" s="615"/>
      <c r="M48" s="615"/>
      <c r="N48" s="615"/>
      <c r="O48" s="73"/>
      <c r="P48" s="73"/>
      <c r="Q48" s="615" t="s">
        <v>275</v>
      </c>
      <c r="R48" s="615"/>
      <c r="S48" s="615"/>
      <c r="T48" s="615"/>
      <c r="U48" s="615"/>
    </row>
    <row r="49" spans="2:29" ht="15" x14ac:dyDescent="0.2">
      <c r="B49" s="131" t="s">
        <v>38</v>
      </c>
      <c r="C49" s="8">
        <v>2021</v>
      </c>
      <c r="D49" s="8">
        <v>2022</v>
      </c>
      <c r="E49" s="8">
        <v>2023</v>
      </c>
      <c r="F49" s="8">
        <v>2024</v>
      </c>
      <c r="G49" s="134">
        <v>2025</v>
      </c>
      <c r="H49" s="9"/>
      <c r="I49" s="8"/>
      <c r="J49" s="8">
        <v>2021</v>
      </c>
      <c r="K49" s="8">
        <v>2022</v>
      </c>
      <c r="L49" s="8">
        <v>2023</v>
      </c>
      <c r="M49" s="8">
        <v>2024</v>
      </c>
      <c r="N49" s="134">
        <v>2025</v>
      </c>
      <c r="O49" s="9"/>
      <c r="P49" s="8"/>
      <c r="Q49" s="8">
        <v>2021</v>
      </c>
      <c r="R49" s="8">
        <v>2022</v>
      </c>
      <c r="S49" s="8">
        <v>2023</v>
      </c>
      <c r="T49" s="8">
        <v>2024</v>
      </c>
      <c r="U49" s="134">
        <v>2025</v>
      </c>
    </row>
    <row r="50" spans="2:29" ht="15" x14ac:dyDescent="0.2">
      <c r="B50" s="50" t="s">
        <v>39</v>
      </c>
      <c r="C50" s="56"/>
      <c r="D50" s="56"/>
      <c r="E50" s="56"/>
      <c r="F50" s="56"/>
      <c r="G50" s="56"/>
      <c r="H50" s="74"/>
      <c r="I50" s="56"/>
      <c r="J50" s="75"/>
      <c r="K50" s="76"/>
      <c r="L50" s="76"/>
      <c r="M50" s="76"/>
      <c r="N50" s="76"/>
      <c r="O50" s="77"/>
      <c r="P50" s="76"/>
      <c r="Q50" s="78"/>
      <c r="R50" s="56"/>
      <c r="S50" s="56"/>
      <c r="T50" s="56"/>
      <c r="U50" s="56"/>
    </row>
    <row r="51" spans="2:29" ht="15" x14ac:dyDescent="0.2">
      <c r="B51" s="51" t="s">
        <v>40</v>
      </c>
      <c r="C51" s="56"/>
      <c r="D51" s="56"/>
      <c r="E51" s="56"/>
      <c r="F51" s="56"/>
      <c r="G51" s="56"/>
      <c r="H51" s="74"/>
      <c r="I51" s="56"/>
      <c r="J51" s="76"/>
      <c r="K51" s="76"/>
      <c r="L51" s="76"/>
      <c r="M51" s="76"/>
      <c r="N51" s="76"/>
      <c r="O51" s="77"/>
      <c r="P51" s="76"/>
      <c r="Q51" s="56"/>
      <c r="R51" s="56"/>
      <c r="S51" s="56"/>
      <c r="T51" s="56"/>
      <c r="U51" s="56"/>
    </row>
    <row r="52" spans="2:29" ht="15" x14ac:dyDescent="0.2">
      <c r="B52" s="51" t="s">
        <v>41</v>
      </c>
      <c r="C52" s="79">
        <v>9684</v>
      </c>
      <c r="D52" s="79">
        <v>9519</v>
      </c>
      <c r="E52" s="79">
        <v>9366</v>
      </c>
      <c r="F52" s="79">
        <v>10828</v>
      </c>
      <c r="G52" s="79">
        <v>10270</v>
      </c>
      <c r="H52" s="80"/>
      <c r="I52" s="79"/>
      <c r="J52" s="81">
        <f t="shared" ref="J52:J65" si="8">C52/C$67</f>
        <v>0.10263475846281027</v>
      </c>
      <c r="K52" s="81">
        <f t="shared" ref="K52:K65" si="9">D52/D$67</f>
        <v>0.10261634487888489</v>
      </c>
      <c r="L52" s="81">
        <f t="shared" ref="L52:L65" si="10">E52/E$67</f>
        <v>9.5861948967790142E-2</v>
      </c>
      <c r="M52" s="81">
        <f t="shared" ref="M52:M65" si="11">F52/F$67</f>
        <v>0.1076887885508558</v>
      </c>
      <c r="N52" s="81">
        <f t="shared" ref="N52:N65" si="12">G52/G$67</f>
        <v>9.7981224240573955E-2</v>
      </c>
      <c r="O52" s="82"/>
      <c r="P52" s="81"/>
      <c r="Q52" s="147">
        <f t="shared" ref="Q52:Q65" si="13">C52/$C52</f>
        <v>1</v>
      </c>
      <c r="R52" s="147">
        <f t="shared" ref="R52:R65" si="14">D52/$C52</f>
        <v>0.98296158612143747</v>
      </c>
      <c r="S52" s="147">
        <f t="shared" ref="S52:S65" si="15">E52/$C52</f>
        <v>0.96716232961586124</v>
      </c>
      <c r="T52" s="147">
        <f t="shared" ref="T52:T65" si="16">F52/$C52</f>
        <v>1.1181330028913672</v>
      </c>
      <c r="U52" s="147">
        <f t="shared" ref="U52:U65" si="17">G52/$C52</f>
        <v>1.060512185047501</v>
      </c>
    </row>
    <row r="53" spans="2:29" ht="15" x14ac:dyDescent="0.2">
      <c r="B53" s="51" t="s">
        <v>42</v>
      </c>
      <c r="C53" s="79">
        <v>1242</v>
      </c>
      <c r="D53" s="79">
        <v>1043</v>
      </c>
      <c r="E53" s="79">
        <v>2997</v>
      </c>
      <c r="F53" s="79">
        <v>2020</v>
      </c>
      <c r="G53" s="79">
        <v>3602</v>
      </c>
      <c r="H53" s="85"/>
      <c r="I53" s="84"/>
      <c r="J53" s="81">
        <f t="shared" si="8"/>
        <v>1.3163193929245183E-2</v>
      </c>
      <c r="K53" s="81">
        <f t="shared" si="9"/>
        <v>1.1243707081487231E-2</v>
      </c>
      <c r="L53" s="81">
        <f t="shared" si="10"/>
        <v>3.0674595457662508E-2</v>
      </c>
      <c r="M53" s="81">
        <f t="shared" si="11"/>
        <v>2.0089707505793194E-2</v>
      </c>
      <c r="N53" s="81">
        <f t="shared" si="12"/>
        <v>3.4364982445428176E-2</v>
      </c>
      <c r="O53" s="82"/>
      <c r="P53" s="81"/>
      <c r="Q53" s="147">
        <f t="shared" si="13"/>
        <v>1</v>
      </c>
      <c r="R53" s="147">
        <f t="shared" si="14"/>
        <v>0.83977455716586147</v>
      </c>
      <c r="S53" s="147">
        <f t="shared" si="15"/>
        <v>2.4130434782608696</v>
      </c>
      <c r="T53" s="147">
        <f t="shared" si="16"/>
        <v>1.6264090177133654</v>
      </c>
      <c r="U53" s="147">
        <f t="shared" si="17"/>
        <v>2.9001610305958132</v>
      </c>
    </row>
    <row r="54" spans="2:29" ht="15" x14ac:dyDescent="0.2">
      <c r="B54" s="51" t="s">
        <v>276</v>
      </c>
      <c r="C54" s="79">
        <f>SUM(C52:C53)</f>
        <v>10926</v>
      </c>
      <c r="D54" s="79">
        <f>SUM(D52:D53)</f>
        <v>10562</v>
      </c>
      <c r="E54" s="79">
        <f>SUM(E52:E53)</f>
        <v>12363</v>
      </c>
      <c r="F54" s="79">
        <f>SUM(F52:F53)</f>
        <v>12848</v>
      </c>
      <c r="G54" s="79">
        <f>SUM(G52:G53)</f>
        <v>13872</v>
      </c>
      <c r="H54" s="85"/>
      <c r="I54" s="84"/>
      <c r="J54" s="81">
        <f t="shared" si="8"/>
        <v>0.11579795239205545</v>
      </c>
      <c r="K54" s="81">
        <f t="shared" si="9"/>
        <v>0.11386005196037213</v>
      </c>
      <c r="L54" s="81">
        <f t="shared" si="10"/>
        <v>0.12653654442545265</v>
      </c>
      <c r="M54" s="81">
        <f t="shared" si="11"/>
        <v>0.12777849605664901</v>
      </c>
      <c r="N54" s="81">
        <f t="shared" si="12"/>
        <v>0.13234620668600214</v>
      </c>
      <c r="O54" s="82"/>
      <c r="P54" s="81"/>
      <c r="Q54" s="147">
        <f t="shared" si="13"/>
        <v>1</v>
      </c>
      <c r="R54" s="147">
        <f t="shared" si="14"/>
        <v>0.96668497162731104</v>
      </c>
      <c r="S54" s="147">
        <f t="shared" si="15"/>
        <v>1.1315211422295441</v>
      </c>
      <c r="T54" s="147">
        <f t="shared" si="16"/>
        <v>1.1759106717920556</v>
      </c>
      <c r="U54" s="147">
        <f t="shared" si="17"/>
        <v>1.2696320702910489</v>
      </c>
    </row>
    <row r="55" spans="2:29" ht="15" x14ac:dyDescent="0.2">
      <c r="B55" s="51" t="s">
        <v>277</v>
      </c>
      <c r="C55" s="79">
        <v>1699</v>
      </c>
      <c r="D55" s="79">
        <v>1069</v>
      </c>
      <c r="E55" s="79">
        <v>1300</v>
      </c>
      <c r="F55" s="79">
        <v>1723</v>
      </c>
      <c r="G55" s="79">
        <v>1934</v>
      </c>
      <c r="H55" s="85"/>
      <c r="I55" s="84"/>
      <c r="J55" s="81">
        <f t="shared" si="8"/>
        <v>1.8006655785658264E-2</v>
      </c>
      <c r="K55" s="81">
        <f t="shared" si="9"/>
        <v>1.1523991246509923E-2</v>
      </c>
      <c r="L55" s="81">
        <f t="shared" si="10"/>
        <v>1.3305630328649069E-2</v>
      </c>
      <c r="M55" s="81">
        <f t="shared" si="11"/>
        <v>1.7135923778456276E-2</v>
      </c>
      <c r="N55" s="81">
        <f t="shared" si="12"/>
        <v>1.8451381468478096E-2</v>
      </c>
      <c r="O55" s="82"/>
      <c r="P55" s="81"/>
      <c r="Q55" s="147">
        <f t="shared" si="13"/>
        <v>1</v>
      </c>
      <c r="R55" s="147">
        <f t="shared" si="14"/>
        <v>0.62919364331959982</v>
      </c>
      <c r="S55" s="147">
        <f t="shared" si="15"/>
        <v>0.76515597410241321</v>
      </c>
      <c r="T55" s="147">
        <f t="shared" si="16"/>
        <v>1.0141259564449676</v>
      </c>
      <c r="U55" s="147">
        <f t="shared" si="17"/>
        <v>1.1383166568569747</v>
      </c>
    </row>
    <row r="56" spans="2:29" ht="15" x14ac:dyDescent="0.2">
      <c r="B56" s="51" t="s">
        <v>43</v>
      </c>
      <c r="C56" s="79">
        <v>3512</v>
      </c>
      <c r="D56" s="79">
        <v>3487</v>
      </c>
      <c r="E56" s="79">
        <v>3410</v>
      </c>
      <c r="F56" s="79">
        <v>3569</v>
      </c>
      <c r="G56" s="79">
        <v>3038</v>
      </c>
      <c r="H56" s="86"/>
      <c r="I56" s="61"/>
      <c r="J56" s="81">
        <f t="shared" si="8"/>
        <v>3.7221527439218263E-2</v>
      </c>
      <c r="K56" s="81">
        <f t="shared" si="9"/>
        <v>3.7590418593620299E-2</v>
      </c>
      <c r="L56" s="81">
        <f t="shared" si="10"/>
        <v>3.4901691862071788E-2</v>
      </c>
      <c r="M56" s="81">
        <f t="shared" si="11"/>
        <v>3.5495131726819756E-2</v>
      </c>
      <c r="N56" s="81">
        <f t="shared" si="12"/>
        <v>2.8984124561135704E-2</v>
      </c>
      <c r="O56" s="82"/>
      <c r="P56" s="81"/>
      <c r="Q56" s="147">
        <f t="shared" si="13"/>
        <v>1</v>
      </c>
      <c r="R56" s="147">
        <f t="shared" si="14"/>
        <v>0.99288154897494307</v>
      </c>
      <c r="S56" s="147">
        <f t="shared" si="15"/>
        <v>0.97095671981776766</v>
      </c>
      <c r="T56" s="147">
        <f t="shared" si="16"/>
        <v>1.0162300683371299</v>
      </c>
      <c r="U56" s="147">
        <f t="shared" si="17"/>
        <v>0.86503416856492032</v>
      </c>
    </row>
    <row r="57" spans="2:29" ht="15" x14ac:dyDescent="0.2">
      <c r="B57" s="51" t="s">
        <v>44</v>
      </c>
      <c r="C57" s="79">
        <v>3414</v>
      </c>
      <c r="D57" s="79">
        <v>4233</v>
      </c>
      <c r="E57" s="79">
        <v>4424</v>
      </c>
      <c r="F57" s="79">
        <v>4728</v>
      </c>
      <c r="G57" s="79">
        <v>4425</v>
      </c>
      <c r="H57" s="86"/>
      <c r="I57" s="61"/>
      <c r="J57" s="81">
        <f t="shared" si="8"/>
        <v>3.6182885728215021E-2</v>
      </c>
      <c r="K57" s="81">
        <f t="shared" si="9"/>
        <v>4.5632418097732934E-2</v>
      </c>
      <c r="L57" s="81">
        <f t="shared" si="10"/>
        <v>4.5280083518418064E-2</v>
      </c>
      <c r="M57" s="81">
        <f t="shared" si="11"/>
        <v>4.7021850043262488E-2</v>
      </c>
      <c r="N57" s="81">
        <f t="shared" si="12"/>
        <v>4.2216837124103193E-2</v>
      </c>
      <c r="O57" s="82"/>
      <c r="P57" s="81"/>
      <c r="Q57" s="147">
        <f t="shared" si="13"/>
        <v>1</v>
      </c>
      <c r="R57" s="147">
        <f t="shared" si="14"/>
        <v>1.2398945518453428</v>
      </c>
      <c r="S57" s="147">
        <f t="shared" si="15"/>
        <v>1.2958406561218512</v>
      </c>
      <c r="T57" s="147">
        <f t="shared" si="16"/>
        <v>1.3848857644991213</v>
      </c>
      <c r="U57" s="147">
        <f t="shared" si="17"/>
        <v>1.2961335676625658</v>
      </c>
    </row>
    <row r="58" spans="2:29" ht="15" x14ac:dyDescent="0.2">
      <c r="B58" s="51" t="s">
        <v>124</v>
      </c>
      <c r="C58" s="79">
        <v>2994</v>
      </c>
      <c r="D58" s="79">
        <v>3240</v>
      </c>
      <c r="E58" s="79">
        <v>5235</v>
      </c>
      <c r="F58" s="79">
        <v>3129</v>
      </c>
      <c r="G58" s="79">
        <v>7775</v>
      </c>
      <c r="H58" s="86"/>
      <c r="I58" s="61"/>
      <c r="J58" s="192">
        <f t="shared" si="8"/>
        <v>3.1731564109629691E-2</v>
      </c>
      <c r="K58" s="192">
        <f t="shared" si="9"/>
        <v>3.4927719025904726E-2</v>
      </c>
      <c r="L58" s="192">
        <f t="shared" si="10"/>
        <v>5.3580749823444518E-2</v>
      </c>
      <c r="M58" s="192">
        <f t="shared" si="11"/>
        <v>3.1119155834468767E-2</v>
      </c>
      <c r="N58" s="192">
        <f t="shared" si="12"/>
        <v>7.4177606472294308E-2</v>
      </c>
      <c r="O58" s="194"/>
      <c r="P58" s="192"/>
      <c r="Q58" s="193">
        <f t="shared" si="13"/>
        <v>1</v>
      </c>
      <c r="R58" s="193">
        <f t="shared" si="14"/>
        <v>1.0821643286573146</v>
      </c>
      <c r="S58" s="193">
        <f t="shared" si="15"/>
        <v>1.748496993987976</v>
      </c>
      <c r="T58" s="193">
        <f t="shared" si="16"/>
        <v>1.0450901803607215</v>
      </c>
      <c r="U58" s="193">
        <f t="shared" si="17"/>
        <v>2.5968603874415499</v>
      </c>
    </row>
    <row r="59" spans="2:29" ht="15" x14ac:dyDescent="0.2">
      <c r="B59" s="121" t="s">
        <v>47</v>
      </c>
      <c r="C59" s="87">
        <f>SUM(C54:C58)</f>
        <v>22545</v>
      </c>
      <c r="D59" s="87">
        <f>SUM(D54:D58)</f>
        <v>22591</v>
      </c>
      <c r="E59" s="87">
        <f>SUM(E54:E58)</f>
        <v>26732</v>
      </c>
      <c r="F59" s="87">
        <f>SUM(F54:F58)</f>
        <v>25997</v>
      </c>
      <c r="G59" s="87">
        <f>SUM(G54:G58)</f>
        <v>31044</v>
      </c>
      <c r="H59" s="88"/>
      <c r="I59" s="87"/>
      <c r="J59" s="196">
        <f t="shared" si="8"/>
        <v>0.2389405854547767</v>
      </c>
      <c r="K59" s="196">
        <f t="shared" si="9"/>
        <v>0.24353459892414001</v>
      </c>
      <c r="L59" s="196">
        <f t="shared" si="10"/>
        <v>0.2736046999580361</v>
      </c>
      <c r="M59" s="196">
        <f t="shared" si="11"/>
        <v>0.25855055743965627</v>
      </c>
      <c r="N59" s="196">
        <f t="shared" si="12"/>
        <v>0.29617615631201344</v>
      </c>
      <c r="O59" s="195"/>
      <c r="P59" s="196"/>
      <c r="Q59" s="199">
        <f t="shared" si="13"/>
        <v>1</v>
      </c>
      <c r="R59" s="199">
        <f t="shared" si="14"/>
        <v>1.0020403637170103</v>
      </c>
      <c r="S59" s="199">
        <f t="shared" si="15"/>
        <v>1.185717453980927</v>
      </c>
      <c r="T59" s="199">
        <f t="shared" si="16"/>
        <v>1.1531159902417387</v>
      </c>
      <c r="U59" s="199">
        <f t="shared" si="17"/>
        <v>1.376979374584165</v>
      </c>
    </row>
    <row r="60" spans="2:29" ht="15" x14ac:dyDescent="0.2">
      <c r="B60" s="51" t="s">
        <v>278</v>
      </c>
      <c r="C60" s="79">
        <v>17598</v>
      </c>
      <c r="D60" s="79">
        <v>18264</v>
      </c>
      <c r="E60" s="79">
        <v>19671</v>
      </c>
      <c r="F60" s="79">
        <v>18087</v>
      </c>
      <c r="G60" s="79">
        <v>20235</v>
      </c>
      <c r="H60" s="118"/>
      <c r="I60" s="113"/>
      <c r="J60" s="81">
        <f t="shared" si="8"/>
        <v>0.18651037581872523</v>
      </c>
      <c r="K60" s="81">
        <f t="shared" si="9"/>
        <v>0.19688884576824811</v>
      </c>
      <c r="L60" s="81">
        <f t="shared" si="10"/>
        <v>0.20133465707296602</v>
      </c>
      <c r="M60" s="81">
        <f t="shared" si="11"/>
        <v>0.17988244537489184</v>
      </c>
      <c r="N60" s="81">
        <f t="shared" si="12"/>
        <v>0.19305258739123798</v>
      </c>
      <c r="O60" s="119"/>
      <c r="P60" s="114"/>
      <c r="Q60" s="147">
        <f t="shared" si="13"/>
        <v>1</v>
      </c>
      <c r="R60" s="147">
        <f t="shared" si="14"/>
        <v>1.0378452096829185</v>
      </c>
      <c r="S60" s="147">
        <f t="shared" si="15"/>
        <v>1.1177974769860211</v>
      </c>
      <c r="T60" s="147">
        <f t="shared" si="16"/>
        <v>1.0277872485509718</v>
      </c>
      <c r="U60" s="147">
        <f t="shared" si="17"/>
        <v>1.1498465734742584</v>
      </c>
    </row>
    <row r="61" spans="2:29" ht="15" x14ac:dyDescent="0.2">
      <c r="B61" s="51" t="s">
        <v>279</v>
      </c>
      <c r="C61" s="79">
        <v>2129</v>
      </c>
      <c r="D61" s="79">
        <v>1746</v>
      </c>
      <c r="E61" s="79">
        <v>1561</v>
      </c>
      <c r="F61" s="79">
        <v>1319</v>
      </c>
      <c r="G61" s="79">
        <v>1206</v>
      </c>
      <c r="H61" s="118"/>
      <c r="I61" s="113"/>
      <c r="J61" s="81">
        <f t="shared" si="8"/>
        <v>2.2563961252305149E-2</v>
      </c>
      <c r="K61" s="81">
        <f t="shared" si="9"/>
        <v>1.8822159697293103E-2</v>
      </c>
      <c r="L61" s="81">
        <f t="shared" si="10"/>
        <v>1.5976991494631689E-2</v>
      </c>
      <c r="M61" s="81">
        <f t="shared" si="11"/>
        <v>1.3117982277297636E-2</v>
      </c>
      <c r="N61" s="81">
        <f t="shared" si="12"/>
        <v>1.1505876965348801E-2</v>
      </c>
      <c r="O61" s="119"/>
      <c r="P61" s="114"/>
      <c r="Q61" s="147">
        <f t="shared" si="13"/>
        <v>1</v>
      </c>
      <c r="R61" s="147">
        <f t="shared" si="14"/>
        <v>0.82010333489901366</v>
      </c>
      <c r="S61" s="147">
        <f t="shared" si="15"/>
        <v>0.7332080789102865</v>
      </c>
      <c r="T61" s="147">
        <f t="shared" si="16"/>
        <v>0.61953968999530296</v>
      </c>
      <c r="U61" s="147">
        <f t="shared" si="17"/>
        <v>0.56646312822921563</v>
      </c>
    </row>
    <row r="62" spans="2:29" ht="15" x14ac:dyDescent="0.2">
      <c r="B62" s="51" t="s">
        <v>126</v>
      </c>
      <c r="C62" s="79">
        <v>9920</v>
      </c>
      <c r="D62" s="79">
        <v>9841</v>
      </c>
      <c r="E62" s="79">
        <v>9236</v>
      </c>
      <c r="F62" s="79">
        <v>10303</v>
      </c>
      <c r="G62" s="79">
        <v>9613</v>
      </c>
      <c r="H62" s="86"/>
      <c r="I62" s="61"/>
      <c r="J62" s="81">
        <f t="shared" si="8"/>
        <v>0.10513597727706298</v>
      </c>
      <c r="K62" s="81">
        <f t="shared" si="9"/>
        <v>0.10608755646108901</v>
      </c>
      <c r="L62" s="81">
        <f t="shared" si="10"/>
        <v>9.453138593492523E-2</v>
      </c>
      <c r="M62" s="81">
        <f t="shared" si="11"/>
        <v>0.10246745367930064</v>
      </c>
      <c r="N62" s="81">
        <f t="shared" si="12"/>
        <v>9.1713097237063043E-2</v>
      </c>
      <c r="O62" s="82"/>
      <c r="P62" s="81"/>
      <c r="Q62" s="147">
        <f t="shared" si="13"/>
        <v>1</v>
      </c>
      <c r="R62" s="147">
        <f t="shared" si="14"/>
        <v>0.99203629032258067</v>
      </c>
      <c r="S62" s="147">
        <f t="shared" si="15"/>
        <v>0.93104838709677418</v>
      </c>
      <c r="T62" s="147">
        <f t="shared" si="16"/>
        <v>1.0386088709677419</v>
      </c>
      <c r="U62" s="147">
        <f t="shared" si="17"/>
        <v>0.96905241935483866</v>
      </c>
      <c r="AA62" s="191"/>
      <c r="AB62" s="191"/>
      <c r="AC62" s="191"/>
    </row>
    <row r="63" spans="2:29" ht="15" x14ac:dyDescent="0.2">
      <c r="B63" s="51" t="s">
        <v>280</v>
      </c>
      <c r="C63" s="79">
        <v>14465</v>
      </c>
      <c r="D63" s="79">
        <v>14214</v>
      </c>
      <c r="E63" s="79">
        <v>14349</v>
      </c>
      <c r="F63" s="79">
        <v>13301</v>
      </c>
      <c r="G63" s="79">
        <v>12531</v>
      </c>
      <c r="H63" s="86"/>
      <c r="I63" s="61"/>
      <c r="J63" s="81">
        <f t="shared" si="8"/>
        <v>0.1533056362210399</v>
      </c>
      <c r="K63" s="81">
        <f t="shared" si="9"/>
        <v>0.15322919698586721</v>
      </c>
      <c r="L63" s="81">
        <f t="shared" si="10"/>
        <v>0.1468634535275273</v>
      </c>
      <c r="M63" s="81">
        <f t="shared" si="11"/>
        <v>0.13228376214581944</v>
      </c>
      <c r="N63" s="81">
        <f t="shared" si="12"/>
        <v>0.11955235841856206</v>
      </c>
      <c r="O63" s="82"/>
      <c r="P63" s="81"/>
      <c r="Q63" s="147">
        <f t="shared" si="13"/>
        <v>1</v>
      </c>
      <c r="R63" s="147">
        <f t="shared" si="14"/>
        <v>0.98264777048047014</v>
      </c>
      <c r="S63" s="147">
        <f t="shared" si="15"/>
        <v>0.99198064293121324</v>
      </c>
      <c r="T63" s="147">
        <f t="shared" si="16"/>
        <v>0.91952989975803667</v>
      </c>
      <c r="U63" s="147">
        <f t="shared" si="17"/>
        <v>0.86629796059453856</v>
      </c>
    </row>
    <row r="64" spans="2:29" ht="15" x14ac:dyDescent="0.2">
      <c r="B64" s="51" t="s">
        <v>281</v>
      </c>
      <c r="C64" s="79">
        <v>19363</v>
      </c>
      <c r="D64" s="79">
        <v>18782</v>
      </c>
      <c r="E64" s="79">
        <v>18358</v>
      </c>
      <c r="F64" s="79">
        <v>18139</v>
      </c>
      <c r="G64" s="79">
        <v>15491</v>
      </c>
      <c r="H64" s="86"/>
      <c r="I64" s="61"/>
      <c r="J64" s="81">
        <f t="shared" si="8"/>
        <v>0.20521652500158977</v>
      </c>
      <c r="K64" s="81">
        <f t="shared" si="9"/>
        <v>0.20247296874831561</v>
      </c>
      <c r="L64" s="81">
        <f t="shared" si="10"/>
        <v>0.18789597044103046</v>
      </c>
      <c r="M64" s="81">
        <f t="shared" si="11"/>
        <v>0.18039960616216968</v>
      </c>
      <c r="N64" s="81">
        <f t="shared" si="12"/>
        <v>0.14779232178293392</v>
      </c>
      <c r="O64" s="82"/>
      <c r="P64" s="81"/>
      <c r="Q64" s="147">
        <f t="shared" si="13"/>
        <v>1</v>
      </c>
      <c r="R64" s="147">
        <f t="shared" si="14"/>
        <v>0.96999431906212885</v>
      </c>
      <c r="S64" s="147">
        <f t="shared" si="15"/>
        <v>0.94809688581314877</v>
      </c>
      <c r="T64" s="147">
        <f t="shared" si="16"/>
        <v>0.93678665496049163</v>
      </c>
      <c r="U64" s="147">
        <f t="shared" si="17"/>
        <v>0.80003098693384289</v>
      </c>
    </row>
    <row r="65" spans="2:25" ht="15" x14ac:dyDescent="0.2">
      <c r="B65" s="51" t="s">
        <v>282</v>
      </c>
      <c r="C65" s="79">
        <v>8334</v>
      </c>
      <c r="D65" s="79">
        <v>7325</v>
      </c>
      <c r="E65" s="79">
        <v>7796</v>
      </c>
      <c r="F65" s="79">
        <v>13403</v>
      </c>
      <c r="G65" s="79">
        <v>14696</v>
      </c>
      <c r="H65" s="86"/>
      <c r="I65" s="61"/>
      <c r="J65" s="81">
        <f t="shared" si="8"/>
        <v>8.832693897450028E-2</v>
      </c>
      <c r="K65" s="81">
        <f t="shared" si="9"/>
        <v>7.8964673415046954E-2</v>
      </c>
      <c r="L65" s="81">
        <f t="shared" si="10"/>
        <v>7.9792841570883191E-2</v>
      </c>
      <c r="M65" s="81">
        <f t="shared" si="11"/>
        <v>0.13329819292086445</v>
      </c>
      <c r="N65" s="81">
        <f t="shared" si="12"/>
        <v>0.14020760189284079</v>
      </c>
      <c r="O65" s="82"/>
      <c r="P65" s="81"/>
      <c r="Q65" s="147">
        <f t="shared" si="13"/>
        <v>1</v>
      </c>
      <c r="R65" s="147">
        <f t="shared" si="14"/>
        <v>0.87892968562514995</v>
      </c>
      <c r="S65" s="147">
        <f t="shared" si="15"/>
        <v>0.9354451643868491</v>
      </c>
      <c r="T65" s="147">
        <f t="shared" si="16"/>
        <v>1.6082313414926805</v>
      </c>
      <c r="U65" s="147">
        <f t="shared" si="17"/>
        <v>1.763378929685625</v>
      </c>
    </row>
    <row r="66" spans="2:25" ht="15" x14ac:dyDescent="0.2">
      <c r="B66" s="51"/>
      <c r="C66" s="79"/>
      <c r="D66" s="79"/>
      <c r="E66" s="79"/>
      <c r="F66" s="79"/>
      <c r="G66" s="79"/>
      <c r="H66" s="86"/>
      <c r="I66" s="61"/>
      <c r="J66" s="81"/>
      <c r="K66" s="81"/>
      <c r="L66" s="81"/>
      <c r="M66" s="81"/>
      <c r="N66" s="81"/>
      <c r="O66" s="82"/>
      <c r="P66" s="81"/>
      <c r="Q66" s="83"/>
      <c r="R66" s="83"/>
      <c r="S66" s="83"/>
      <c r="T66" s="83"/>
      <c r="U66" s="83"/>
    </row>
    <row r="67" spans="2:25" ht="15" x14ac:dyDescent="0.2">
      <c r="B67" s="121" t="s">
        <v>54</v>
      </c>
      <c r="C67" s="188">
        <f>SUM(C59:C65)</f>
        <v>94354</v>
      </c>
      <c r="D67" s="188">
        <f>SUM(D59:D65)</f>
        <v>92763</v>
      </c>
      <c r="E67" s="188">
        <f>SUM(E59:E65)</f>
        <v>97703</v>
      </c>
      <c r="F67" s="188">
        <f>SUM(F59:F65)</f>
        <v>100549</v>
      </c>
      <c r="G67" s="188">
        <f>SUM(G59:G65)</f>
        <v>104816</v>
      </c>
      <c r="H67" s="88"/>
      <c r="I67" s="87"/>
      <c r="J67" s="200">
        <f>C67/C$67</f>
        <v>1</v>
      </c>
      <c r="K67" s="200">
        <f>D67/D$67</f>
        <v>1</v>
      </c>
      <c r="L67" s="200">
        <f>E67/E$67</f>
        <v>1</v>
      </c>
      <c r="M67" s="200">
        <f>F67/F$67</f>
        <v>1</v>
      </c>
      <c r="N67" s="200">
        <f>G67/G$67</f>
        <v>1</v>
      </c>
      <c r="O67" s="197"/>
      <c r="P67" s="198"/>
      <c r="Q67" s="201">
        <f>C67/$C67</f>
        <v>1</v>
      </c>
      <c r="R67" s="201">
        <f>D67/$C67</f>
        <v>0.98313796977340651</v>
      </c>
      <c r="S67" s="201">
        <f>E67/$C67</f>
        <v>1.0354939907158149</v>
      </c>
      <c r="T67" s="201">
        <f>F67/$C67</f>
        <v>1.0656569938741336</v>
      </c>
      <c r="U67" s="201">
        <f>G67/$C67</f>
        <v>1.1108803018419993</v>
      </c>
    </row>
    <row r="68" spans="2:25" ht="8.25" customHeight="1" x14ac:dyDescent="0.2">
      <c r="B68" s="111"/>
      <c r="C68" s="113"/>
      <c r="D68" s="113"/>
      <c r="E68" s="113"/>
      <c r="F68" s="113"/>
      <c r="G68" s="113"/>
      <c r="H68" s="118"/>
      <c r="I68" s="113"/>
      <c r="J68" s="114"/>
      <c r="K68" s="114"/>
      <c r="L68" s="114"/>
      <c r="M68" s="114"/>
      <c r="N68" s="114"/>
      <c r="O68" s="119"/>
      <c r="P68" s="114"/>
      <c r="Q68" s="120"/>
      <c r="R68" s="120"/>
      <c r="S68" s="120"/>
      <c r="T68" s="120"/>
      <c r="U68" s="120"/>
    </row>
    <row r="69" spans="2:25" ht="15" x14ac:dyDescent="0.2">
      <c r="B69" s="50" t="s">
        <v>55</v>
      </c>
      <c r="C69" s="79"/>
      <c r="D69" s="79"/>
      <c r="E69" s="79"/>
      <c r="F69" s="79"/>
      <c r="G69" s="79"/>
      <c r="H69" s="86"/>
      <c r="I69" s="61"/>
      <c r="J69" s="81"/>
      <c r="K69" s="81"/>
      <c r="L69" s="81"/>
      <c r="M69" s="81"/>
      <c r="N69" s="81"/>
      <c r="O69" s="82"/>
      <c r="P69" s="81"/>
      <c r="Q69" s="83"/>
      <c r="R69" s="83"/>
      <c r="S69" s="83"/>
      <c r="T69" s="83"/>
      <c r="U69" s="83"/>
    </row>
    <row r="70" spans="2:25" ht="15" x14ac:dyDescent="0.2">
      <c r="B70" s="51" t="s">
        <v>56</v>
      </c>
      <c r="C70" s="79"/>
      <c r="D70" s="79"/>
      <c r="E70" s="79"/>
      <c r="F70" s="79"/>
      <c r="G70" s="79"/>
      <c r="H70" s="86"/>
      <c r="I70" s="61"/>
      <c r="J70" s="81"/>
      <c r="K70" s="81"/>
      <c r="L70" s="81"/>
      <c r="M70" s="81"/>
      <c r="N70" s="81"/>
      <c r="O70" s="82"/>
      <c r="P70" s="81"/>
      <c r="Q70" s="83"/>
      <c r="R70" s="83"/>
      <c r="S70" s="83"/>
      <c r="T70" s="83"/>
      <c r="U70" s="83"/>
    </row>
    <row r="71" spans="2:25" ht="15" x14ac:dyDescent="0.2">
      <c r="B71" s="51" t="s">
        <v>283</v>
      </c>
      <c r="C71" s="79">
        <v>14619</v>
      </c>
      <c r="D71" s="79">
        <v>15749</v>
      </c>
      <c r="E71" s="79">
        <v>15485</v>
      </c>
      <c r="F71" s="79">
        <v>21712</v>
      </c>
      <c r="G71" s="79">
        <v>14813</v>
      </c>
      <c r="H71" s="86"/>
      <c r="I71" s="61"/>
      <c r="J71" s="81">
        <f t="shared" ref="J71:J79" si="18">C71/C$67</f>
        <v>0.15493778748118786</v>
      </c>
      <c r="K71" s="81">
        <f t="shared" ref="K71:K79" si="19">D71/D$67</f>
        <v>0.16977674288239925</v>
      </c>
      <c r="L71" s="81">
        <f t="shared" ref="L71:L79" si="20">E71/E$67</f>
        <v>0.15849052741471603</v>
      </c>
      <c r="M71" s="81">
        <f t="shared" ref="M71:M79" si="21">F71/F$67</f>
        <v>0.21593451948801082</v>
      </c>
      <c r="N71" s="81">
        <f t="shared" ref="N71:N79" si="22">G71/G$67</f>
        <v>0.14132384368798656</v>
      </c>
      <c r="O71" s="82"/>
      <c r="P71" s="81"/>
      <c r="Q71" s="147">
        <f t="shared" ref="Q71:Q79" si="23">C71/$C71</f>
        <v>1</v>
      </c>
      <c r="R71" s="147">
        <f t="shared" ref="R71:R79" si="24">D71/$C71</f>
        <v>1.0772966687187906</v>
      </c>
      <c r="S71" s="147">
        <f t="shared" ref="S71:S79" si="25">E71/$C71</f>
        <v>1.0592379779738696</v>
      </c>
      <c r="T71" s="147">
        <f t="shared" ref="T71:T79" si="26">F71/$C71</f>
        <v>1.4851905055065326</v>
      </c>
      <c r="U71" s="147">
        <f t="shared" ref="U71:U79" si="27">G71/$C71</f>
        <v>1.0132704015322525</v>
      </c>
    </row>
    <row r="72" spans="2:25" ht="15" x14ac:dyDescent="0.2">
      <c r="B72" s="51" t="s">
        <v>284</v>
      </c>
      <c r="C72" s="79">
        <v>3307</v>
      </c>
      <c r="D72" s="79">
        <v>2373</v>
      </c>
      <c r="E72" s="79">
        <v>4557</v>
      </c>
      <c r="F72" s="79">
        <v>1499</v>
      </c>
      <c r="G72" s="79">
        <v>1551</v>
      </c>
      <c r="H72" s="86"/>
      <c r="I72" s="61"/>
      <c r="J72" s="81">
        <f t="shared" si="18"/>
        <v>3.5048858553956376E-2</v>
      </c>
      <c r="K72" s="81">
        <f t="shared" si="19"/>
        <v>2.5581320138417258E-2</v>
      </c>
      <c r="L72" s="81">
        <f t="shared" si="20"/>
        <v>4.6641351852041393E-2</v>
      </c>
      <c r="M72" s="81">
        <f t="shared" si="21"/>
        <v>1.4908154233259406E-2</v>
      </c>
      <c r="N72" s="81">
        <f t="shared" si="22"/>
        <v>1.4797359181804305E-2</v>
      </c>
      <c r="O72" s="82"/>
      <c r="P72" s="81"/>
      <c r="Q72" s="147">
        <f t="shared" si="23"/>
        <v>1</v>
      </c>
      <c r="R72" s="147">
        <f t="shared" si="24"/>
        <v>0.71756879346840041</v>
      </c>
      <c r="S72" s="147">
        <f t="shared" si="25"/>
        <v>1.3779860901118839</v>
      </c>
      <c r="T72" s="147">
        <f t="shared" si="26"/>
        <v>0.45328091926217118</v>
      </c>
      <c r="U72" s="147">
        <f t="shared" si="27"/>
        <v>0.46900514061082554</v>
      </c>
    </row>
    <row r="73" spans="2:25" ht="15" x14ac:dyDescent="0.2">
      <c r="B73" s="51" t="s">
        <v>285</v>
      </c>
      <c r="C73" s="79">
        <v>1338</v>
      </c>
      <c r="D73" s="79">
        <v>399</v>
      </c>
      <c r="E73" s="79">
        <v>1960</v>
      </c>
      <c r="F73" s="79">
        <v>648</v>
      </c>
      <c r="G73" s="79">
        <v>1822</v>
      </c>
      <c r="H73" s="86"/>
      <c r="I73" s="61"/>
      <c r="J73" s="81">
        <f t="shared" si="18"/>
        <v>1.4180638870636116E-2</v>
      </c>
      <c r="K73" s="81">
        <f t="shared" si="19"/>
        <v>4.3012839170790077E-3</v>
      </c>
      <c r="L73" s="81">
        <f t="shared" si="20"/>
        <v>2.0060796495501673E-2</v>
      </c>
      <c r="M73" s="81">
        <f t="shared" si="21"/>
        <v>6.4446190414623713E-3</v>
      </c>
      <c r="N73" s="81">
        <f t="shared" si="22"/>
        <v>1.738284231415051E-2</v>
      </c>
      <c r="O73" s="82"/>
      <c r="P73" s="81"/>
      <c r="Q73" s="147">
        <f t="shared" si="23"/>
        <v>1</v>
      </c>
      <c r="R73" s="147">
        <f t="shared" si="24"/>
        <v>0.2982062780269058</v>
      </c>
      <c r="S73" s="147">
        <f t="shared" si="25"/>
        <v>1.4648729446935724</v>
      </c>
      <c r="T73" s="147">
        <f t="shared" si="26"/>
        <v>0.48430493273542602</v>
      </c>
      <c r="U73" s="147">
        <f t="shared" si="27"/>
        <v>1.3617339312406578</v>
      </c>
    </row>
    <row r="74" spans="2:25" ht="15" x14ac:dyDescent="0.2">
      <c r="B74" s="51" t="s">
        <v>286</v>
      </c>
      <c r="C74" s="79">
        <v>686</v>
      </c>
      <c r="D74" s="79">
        <v>1203</v>
      </c>
      <c r="E74" s="79">
        <v>1569</v>
      </c>
      <c r="F74" s="79">
        <v>1390</v>
      </c>
      <c r="G74" s="79">
        <v>3095</v>
      </c>
      <c r="H74" s="86"/>
      <c r="I74" s="61"/>
      <c r="J74" s="81">
        <f t="shared" si="18"/>
        <v>7.2704919770227019E-3</v>
      </c>
      <c r="K74" s="81">
        <f t="shared" si="19"/>
        <v>1.2968532712396107E-2</v>
      </c>
      <c r="L74" s="81">
        <f t="shared" si="20"/>
        <v>1.6058872296654144E-2</v>
      </c>
      <c r="M74" s="81">
        <f t="shared" si="21"/>
        <v>1.3824105659927E-2</v>
      </c>
      <c r="N74" s="81">
        <f t="shared" si="22"/>
        <v>2.9527934666463137E-2</v>
      </c>
      <c r="O74" s="82"/>
      <c r="P74" s="81"/>
      <c r="Q74" s="147">
        <f t="shared" si="23"/>
        <v>1</v>
      </c>
      <c r="R74" s="147">
        <f t="shared" si="24"/>
        <v>1.7536443148688046</v>
      </c>
      <c r="S74" s="147">
        <f t="shared" si="25"/>
        <v>2.2871720116618075</v>
      </c>
      <c r="T74" s="147">
        <f t="shared" si="26"/>
        <v>2.0262390670553936</v>
      </c>
      <c r="U74" s="147">
        <f t="shared" si="27"/>
        <v>4.5116618075801753</v>
      </c>
    </row>
    <row r="75" spans="2:25" ht="15" x14ac:dyDescent="0.2">
      <c r="B75" s="121" t="s">
        <v>63</v>
      </c>
      <c r="C75" s="87">
        <f>SUM(C71:C74)</f>
        <v>19950</v>
      </c>
      <c r="D75" s="87">
        <f>SUM(D71:D74)</f>
        <v>19724</v>
      </c>
      <c r="E75" s="87">
        <f>SUM(E71:E74)</f>
        <v>23571</v>
      </c>
      <c r="F75" s="87">
        <f>SUM(F71:F74)</f>
        <v>25249</v>
      </c>
      <c r="G75" s="87">
        <f>SUM(G71:G74)</f>
        <v>21281</v>
      </c>
      <c r="H75" s="88"/>
      <c r="I75" s="87"/>
      <c r="J75" s="198">
        <f t="shared" si="18"/>
        <v>0.21143777688280307</v>
      </c>
      <c r="K75" s="198">
        <f t="shared" si="19"/>
        <v>0.21262787965029159</v>
      </c>
      <c r="L75" s="198">
        <f t="shared" si="20"/>
        <v>0.24125154805891325</v>
      </c>
      <c r="M75" s="198">
        <f t="shared" si="21"/>
        <v>0.25111139842265962</v>
      </c>
      <c r="N75" s="198">
        <f t="shared" si="22"/>
        <v>0.20303197985040453</v>
      </c>
      <c r="O75" s="197"/>
      <c r="P75" s="198"/>
      <c r="Q75" s="187">
        <f t="shared" si="23"/>
        <v>1</v>
      </c>
      <c r="R75" s="187">
        <f t="shared" si="24"/>
        <v>0.98867167919799503</v>
      </c>
      <c r="S75" s="187">
        <f t="shared" si="25"/>
        <v>1.1815037593984963</v>
      </c>
      <c r="T75" s="187">
        <f t="shared" si="26"/>
        <v>1.2656140350877192</v>
      </c>
      <c r="U75" s="187">
        <f t="shared" si="27"/>
        <v>1.0667167919799498</v>
      </c>
    </row>
    <row r="76" spans="2:25" ht="15" x14ac:dyDescent="0.2">
      <c r="B76" s="51" t="s">
        <v>287</v>
      </c>
      <c r="C76" s="79">
        <v>38116</v>
      </c>
      <c r="D76" s="79">
        <v>36377</v>
      </c>
      <c r="E76" s="79">
        <v>35547</v>
      </c>
      <c r="F76" s="79">
        <v>42375</v>
      </c>
      <c r="G76" s="79">
        <v>42119</v>
      </c>
      <c r="H76" s="86"/>
      <c r="I76" s="61"/>
      <c r="J76" s="81">
        <f t="shared" si="18"/>
        <v>0.40396803527142461</v>
      </c>
      <c r="K76" s="81">
        <f t="shared" si="19"/>
        <v>0.39214988734732598</v>
      </c>
      <c r="L76" s="81">
        <f t="shared" si="20"/>
        <v>0.36382710868652957</v>
      </c>
      <c r="M76" s="81">
        <f t="shared" si="21"/>
        <v>0.42143631463266668</v>
      </c>
      <c r="N76" s="81">
        <f t="shared" si="22"/>
        <v>0.40183750572431692</v>
      </c>
      <c r="O76" s="82"/>
      <c r="P76" s="81"/>
      <c r="Q76" s="147">
        <f t="shared" si="23"/>
        <v>1</v>
      </c>
      <c r="R76" s="147">
        <f t="shared" si="24"/>
        <v>0.95437611501731556</v>
      </c>
      <c r="S76" s="147">
        <f t="shared" si="25"/>
        <v>0.93260048273690843</v>
      </c>
      <c r="T76" s="147">
        <f t="shared" si="26"/>
        <v>1.1117378528701858</v>
      </c>
      <c r="U76" s="147">
        <f t="shared" si="27"/>
        <v>1.105021513275265</v>
      </c>
      <c r="X76" s="191"/>
      <c r="Y76" s="191"/>
    </row>
    <row r="77" spans="2:25" ht="15" x14ac:dyDescent="0.2">
      <c r="B77" s="51" t="s">
        <v>288</v>
      </c>
      <c r="C77" s="79">
        <v>8607</v>
      </c>
      <c r="D77" s="79">
        <v>7922</v>
      </c>
      <c r="E77" s="79">
        <v>8466</v>
      </c>
      <c r="F77" s="79">
        <v>4084</v>
      </c>
      <c r="G77" s="79">
        <v>4735</v>
      </c>
      <c r="H77" s="86"/>
      <c r="I77" s="61"/>
      <c r="J77" s="81">
        <f t="shared" si="18"/>
        <v>9.1220298026580743E-2</v>
      </c>
      <c r="K77" s="81">
        <f t="shared" si="19"/>
        <v>8.540042905037569E-2</v>
      </c>
      <c r="L77" s="81">
        <f t="shared" si="20"/>
        <v>8.6650358740263861E-2</v>
      </c>
      <c r="M77" s="81">
        <f t="shared" si="21"/>
        <v>4.0617012600821491E-2</v>
      </c>
      <c r="N77" s="81">
        <f t="shared" si="22"/>
        <v>4.517440085483132E-2</v>
      </c>
      <c r="O77" s="82"/>
      <c r="P77" s="81"/>
      <c r="Q77" s="147">
        <f t="shared" si="23"/>
        <v>1</v>
      </c>
      <c r="R77" s="147">
        <f t="shared" si="24"/>
        <v>0.92041361682351575</v>
      </c>
      <c r="S77" s="147">
        <f t="shared" si="25"/>
        <v>0.98361798536075284</v>
      </c>
      <c r="T77" s="147">
        <f t="shared" si="26"/>
        <v>0.47449750203322877</v>
      </c>
      <c r="U77" s="147">
        <f t="shared" si="27"/>
        <v>0.55013361217613566</v>
      </c>
    </row>
    <row r="78" spans="2:25" ht="15" x14ac:dyDescent="0.2">
      <c r="B78" s="51" t="s">
        <v>289</v>
      </c>
      <c r="C78" s="79">
        <v>2821</v>
      </c>
      <c r="D78" s="79">
        <v>2914</v>
      </c>
      <c r="E78" s="79">
        <v>2639</v>
      </c>
      <c r="F78" s="79">
        <v>2469</v>
      </c>
      <c r="G78" s="79">
        <v>2406</v>
      </c>
      <c r="H78" s="86"/>
      <c r="I78" s="61"/>
      <c r="J78" s="81">
        <f t="shared" si="18"/>
        <v>2.9898043538164783E-2</v>
      </c>
      <c r="K78" s="81">
        <f t="shared" si="19"/>
        <v>3.1413386802927892E-2</v>
      </c>
      <c r="L78" s="81">
        <f t="shared" si="20"/>
        <v>2.7010429567157612E-2</v>
      </c>
      <c r="M78" s="81">
        <f t="shared" si="21"/>
        <v>2.4555191995942277E-2</v>
      </c>
      <c r="N78" s="81">
        <f t="shared" si="22"/>
        <v>2.2954510761715768E-2</v>
      </c>
      <c r="O78" s="82"/>
      <c r="P78" s="81"/>
      <c r="Q78" s="147">
        <f t="shared" si="23"/>
        <v>1</v>
      </c>
      <c r="R78" s="147">
        <f t="shared" si="24"/>
        <v>1.0329670329670331</v>
      </c>
      <c r="S78" s="147">
        <f t="shared" si="25"/>
        <v>0.93548387096774188</v>
      </c>
      <c r="T78" s="147">
        <f t="shared" si="26"/>
        <v>0.87522155264090751</v>
      </c>
      <c r="U78" s="147">
        <f t="shared" si="27"/>
        <v>0.85288904643743357</v>
      </c>
    </row>
    <row r="79" spans="2:25" ht="15" x14ac:dyDescent="0.2">
      <c r="B79" s="121" t="s">
        <v>67</v>
      </c>
      <c r="C79" s="87">
        <f>SUM(C75:C78)</f>
        <v>69494</v>
      </c>
      <c r="D79" s="87">
        <f>SUM(D75:D78)</f>
        <v>66937</v>
      </c>
      <c r="E79" s="87">
        <f>SUM(E75:E78)</f>
        <v>70223</v>
      </c>
      <c r="F79" s="87">
        <f>SUM(F75:F78)</f>
        <v>74177</v>
      </c>
      <c r="G79" s="87">
        <f>SUM(G75:G78)</f>
        <v>70541</v>
      </c>
      <c r="H79" s="88"/>
      <c r="I79" s="87"/>
      <c r="J79" s="198">
        <f t="shared" si="18"/>
        <v>0.73652415371897317</v>
      </c>
      <c r="K79" s="198">
        <f t="shared" si="19"/>
        <v>0.72159158285092118</v>
      </c>
      <c r="L79" s="198">
        <f t="shared" si="20"/>
        <v>0.71873944505286425</v>
      </c>
      <c r="M79" s="198">
        <f t="shared" si="21"/>
        <v>0.73771991765209</v>
      </c>
      <c r="N79" s="198">
        <f t="shared" si="22"/>
        <v>0.67299839719126853</v>
      </c>
      <c r="O79" s="197"/>
      <c r="P79" s="198"/>
      <c r="Q79" s="187">
        <f t="shared" si="23"/>
        <v>1</v>
      </c>
      <c r="R79" s="187">
        <f t="shared" si="24"/>
        <v>0.96320545658618006</v>
      </c>
      <c r="S79" s="187">
        <f t="shared" si="25"/>
        <v>1.010490114254468</v>
      </c>
      <c r="T79" s="187">
        <f t="shared" si="26"/>
        <v>1.0673871125564798</v>
      </c>
      <c r="U79" s="187">
        <f t="shared" si="27"/>
        <v>1.015066048867528</v>
      </c>
    </row>
    <row r="80" spans="2:25" ht="15" x14ac:dyDescent="0.2">
      <c r="B80" s="51" t="s">
        <v>68</v>
      </c>
      <c r="C80" s="79"/>
      <c r="D80" s="79"/>
      <c r="E80" s="79"/>
      <c r="F80" s="79"/>
      <c r="G80" s="79"/>
      <c r="H80" s="86"/>
      <c r="I80" s="61"/>
      <c r="J80" s="81"/>
      <c r="K80" s="81"/>
      <c r="L80" s="81"/>
      <c r="M80" s="81"/>
      <c r="N80" s="81"/>
      <c r="O80" s="82"/>
      <c r="P80" s="81"/>
      <c r="Q80" s="83"/>
      <c r="R80" s="83"/>
      <c r="S80" s="83"/>
      <c r="T80" s="83"/>
      <c r="U80" s="83"/>
    </row>
    <row r="81" spans="2:22" ht="15" x14ac:dyDescent="0.2">
      <c r="B81" s="179" t="s">
        <v>290</v>
      </c>
      <c r="C81" s="79">
        <v>1760</v>
      </c>
      <c r="D81" s="79">
        <v>1760</v>
      </c>
      <c r="E81" s="79">
        <v>1760</v>
      </c>
      <c r="F81" s="79">
        <v>1760</v>
      </c>
      <c r="G81" s="79">
        <v>1760</v>
      </c>
      <c r="H81" s="86"/>
      <c r="I81" s="61"/>
      <c r="J81" s="81">
        <f t="shared" ref="J81:J89" si="28">C81/C$67</f>
        <v>1.8653157258833753E-2</v>
      </c>
      <c r="K81" s="81">
        <f t="shared" ref="K81:K89" si="29">D81/D$67</f>
        <v>1.8973081939997628E-2</v>
      </c>
      <c r="L81" s="81">
        <f t="shared" ref="L81:L89" si="30">E81/E$67</f>
        <v>1.8013776444940278E-2</v>
      </c>
      <c r="M81" s="81">
        <f t="shared" ref="M81:M89" si="31">F81/F$67</f>
        <v>1.7503903569403973E-2</v>
      </c>
      <c r="N81" s="81">
        <f t="shared" ref="N81:N89" si="32">G81/G$67</f>
        <v>1.6791329568004883E-2</v>
      </c>
      <c r="O81" s="82"/>
      <c r="P81" s="81"/>
      <c r="Q81" s="147">
        <f t="shared" ref="Q81:Q89" si="33">C81/$C81</f>
        <v>1</v>
      </c>
      <c r="R81" s="147">
        <f t="shared" ref="R81:R89" si="34">D81/$C81</f>
        <v>1</v>
      </c>
      <c r="S81" s="147">
        <f t="shared" ref="S81:S89" si="35">E81/$C81</f>
        <v>1</v>
      </c>
      <c r="T81" s="147">
        <f t="shared" ref="T81:T89" si="36">F81/$C81</f>
        <v>1</v>
      </c>
      <c r="U81" s="147">
        <f t="shared" ref="U81:U89" si="37">G81/$C81</f>
        <v>1</v>
      </c>
    </row>
    <row r="82" spans="2:22" ht="15" x14ac:dyDescent="0.2">
      <c r="B82" s="179" t="s">
        <v>291</v>
      </c>
      <c r="C82" s="79">
        <v>18116</v>
      </c>
      <c r="D82" s="79">
        <v>18822</v>
      </c>
      <c r="E82" s="79">
        <v>19209</v>
      </c>
      <c r="F82" s="79">
        <v>19801</v>
      </c>
      <c r="G82" s="79">
        <v>20581</v>
      </c>
      <c r="H82" s="86"/>
      <c r="I82" s="61"/>
      <c r="J82" s="81">
        <f t="shared" si="28"/>
        <v>0.1920003391483138</v>
      </c>
      <c r="K82" s="81">
        <f t="shared" si="29"/>
        <v>0.20290417515604281</v>
      </c>
      <c r="L82" s="81">
        <f t="shared" si="30"/>
        <v>0.19660604075616922</v>
      </c>
      <c r="M82" s="81">
        <f t="shared" si="31"/>
        <v>0.19692886055555003</v>
      </c>
      <c r="N82" s="81">
        <f t="shared" si="32"/>
        <v>0.19635361013585712</v>
      </c>
      <c r="O82" s="82"/>
      <c r="P82" s="81"/>
      <c r="Q82" s="147">
        <f t="shared" si="33"/>
        <v>1</v>
      </c>
      <c r="R82" s="147">
        <f t="shared" si="34"/>
        <v>1.0389710752925592</v>
      </c>
      <c r="S82" s="147">
        <f t="shared" si="35"/>
        <v>1.0603334069330979</v>
      </c>
      <c r="T82" s="147">
        <f t="shared" si="36"/>
        <v>1.0930117023625525</v>
      </c>
      <c r="U82" s="147">
        <f t="shared" si="37"/>
        <v>1.1360675645837934</v>
      </c>
    </row>
    <row r="83" spans="2:22" ht="15" x14ac:dyDescent="0.2">
      <c r="B83" s="179" t="s">
        <v>292</v>
      </c>
      <c r="C83" s="79">
        <v>69094</v>
      </c>
      <c r="D83" s="79">
        <v>71019</v>
      </c>
      <c r="E83" s="79">
        <v>73782</v>
      </c>
      <c r="F83" s="79">
        <v>76054</v>
      </c>
      <c r="G83" s="79">
        <v>80382</v>
      </c>
      <c r="H83" s="86"/>
      <c r="I83" s="61"/>
      <c r="J83" s="81">
        <f t="shared" si="28"/>
        <v>0.73228479979651107</v>
      </c>
      <c r="K83" s="81">
        <f t="shared" si="29"/>
        <v>0.76559619675948387</v>
      </c>
      <c r="L83" s="81">
        <f t="shared" si="30"/>
        <v>0.75516616685260429</v>
      </c>
      <c r="M83" s="81">
        <f t="shared" si="31"/>
        <v>0.75638743299286915</v>
      </c>
      <c r="N83" s="81">
        <f t="shared" si="32"/>
        <v>0.76688673484964132</v>
      </c>
      <c r="O83" s="82"/>
      <c r="P83" s="81"/>
      <c r="Q83" s="147">
        <f t="shared" si="33"/>
        <v>1</v>
      </c>
      <c r="R83" s="147">
        <f t="shared" si="34"/>
        <v>1.0278605957101918</v>
      </c>
      <c r="S83" s="147">
        <f t="shared" si="35"/>
        <v>1.0678495962022752</v>
      </c>
      <c r="T83" s="147">
        <f t="shared" si="36"/>
        <v>1.1007323356586678</v>
      </c>
      <c r="U83" s="147">
        <f t="shared" si="37"/>
        <v>1.1633716386372188</v>
      </c>
    </row>
    <row r="84" spans="2:22" ht="15" x14ac:dyDescent="0.2">
      <c r="B84" s="179" t="s">
        <v>293</v>
      </c>
      <c r="C84" s="79">
        <v>-14330</v>
      </c>
      <c r="D84" s="79">
        <v>-14895</v>
      </c>
      <c r="E84" s="79">
        <v>-14275</v>
      </c>
      <c r="F84" s="79">
        <v>-16843</v>
      </c>
      <c r="G84" s="79">
        <v>-14131</v>
      </c>
      <c r="H84" s="86"/>
      <c r="I84" s="61"/>
      <c r="J84" s="81">
        <f t="shared" si="28"/>
        <v>-0.15187485427220893</v>
      </c>
      <c r="K84" s="81">
        <f t="shared" si="29"/>
        <v>-0.16057048607742311</v>
      </c>
      <c r="L84" s="81">
        <f t="shared" si="30"/>
        <v>-0.14610605610881958</v>
      </c>
      <c r="M84" s="81">
        <f t="shared" si="31"/>
        <v>-0.16751036807924494</v>
      </c>
      <c r="N84" s="81">
        <f t="shared" si="32"/>
        <v>-0.13481720348038467</v>
      </c>
      <c r="O84" s="82"/>
      <c r="P84" s="81"/>
      <c r="Q84" s="147">
        <f t="shared" si="33"/>
        <v>1</v>
      </c>
      <c r="R84" s="147">
        <f t="shared" si="34"/>
        <v>1.0394277739009072</v>
      </c>
      <c r="S84" s="147">
        <f t="shared" si="35"/>
        <v>0.99616189811584088</v>
      </c>
      <c r="T84" s="147">
        <f t="shared" si="36"/>
        <v>1.1753663642707606</v>
      </c>
      <c r="U84" s="147">
        <f t="shared" si="37"/>
        <v>0.98611304954640611</v>
      </c>
    </row>
    <row r="85" spans="2:22" ht="15" x14ac:dyDescent="0.2">
      <c r="B85" s="179" t="s">
        <v>294</v>
      </c>
      <c r="C85" s="79">
        <v>-51641</v>
      </c>
      <c r="D85" s="79">
        <v>-52601</v>
      </c>
      <c r="E85" s="79">
        <v>-54535</v>
      </c>
      <c r="F85" s="79">
        <v>-55916</v>
      </c>
      <c r="G85" s="79">
        <v>-56423</v>
      </c>
      <c r="H85" s="86"/>
      <c r="I85" s="61"/>
      <c r="J85" s="81">
        <f t="shared" si="28"/>
        <v>-0.5473111897746783</v>
      </c>
      <c r="K85" s="81">
        <f t="shared" si="29"/>
        <v>-0.56704720632148597</v>
      </c>
      <c r="L85" s="81">
        <f t="shared" si="30"/>
        <v>-0.55817119228682843</v>
      </c>
      <c r="M85" s="81">
        <f t="shared" si="31"/>
        <v>-0.5561069727197685</v>
      </c>
      <c r="N85" s="81">
        <f t="shared" si="32"/>
        <v>-0.53830522057701113</v>
      </c>
      <c r="O85" s="82"/>
      <c r="P85" s="81"/>
      <c r="Q85" s="147">
        <f t="shared" si="33"/>
        <v>1</v>
      </c>
      <c r="R85" s="147">
        <f t="shared" si="34"/>
        <v>1.0185898801340021</v>
      </c>
      <c r="S85" s="147">
        <f t="shared" si="35"/>
        <v>1.0560407428206271</v>
      </c>
      <c r="T85" s="147">
        <f t="shared" si="36"/>
        <v>1.0827830599717279</v>
      </c>
      <c r="U85" s="147">
        <f t="shared" si="37"/>
        <v>1.0926008404174978</v>
      </c>
    </row>
    <row r="86" spans="2:22" ht="15" x14ac:dyDescent="0.2">
      <c r="B86" s="180" t="s">
        <v>74</v>
      </c>
      <c r="C86" s="190">
        <f>SUM(C81:C85)</f>
        <v>22999</v>
      </c>
      <c r="D86" s="190">
        <f>SUM(D81:D85)</f>
        <v>24105</v>
      </c>
      <c r="E86" s="190">
        <f>SUM(E81:E85)</f>
        <v>25941</v>
      </c>
      <c r="F86" s="190">
        <f>SUM(F81:F85)</f>
        <v>24856</v>
      </c>
      <c r="G86" s="190">
        <f>SUM(G81:G85)</f>
        <v>32169</v>
      </c>
      <c r="H86" s="86"/>
      <c r="I86" s="61"/>
      <c r="J86" s="202">
        <f t="shared" si="28"/>
        <v>0.24375225215677132</v>
      </c>
      <c r="K86" s="202">
        <f t="shared" si="29"/>
        <v>0.25985576145661526</v>
      </c>
      <c r="L86" s="202">
        <f t="shared" si="30"/>
        <v>0.26550873565806576</v>
      </c>
      <c r="M86" s="202">
        <f t="shared" si="31"/>
        <v>0.24720285631880973</v>
      </c>
      <c r="N86" s="202">
        <f t="shared" si="32"/>
        <v>0.30690925049610746</v>
      </c>
      <c r="O86" s="185"/>
      <c r="P86" s="202"/>
      <c r="Q86" s="184">
        <f t="shared" si="33"/>
        <v>1</v>
      </c>
      <c r="R86" s="184">
        <f t="shared" si="34"/>
        <v>1.0480890473498847</v>
      </c>
      <c r="S86" s="184">
        <f t="shared" si="35"/>
        <v>1.127918605156746</v>
      </c>
      <c r="T86" s="184">
        <f t="shared" si="36"/>
        <v>1.0807426409843905</v>
      </c>
      <c r="U86" s="184">
        <f t="shared" si="37"/>
        <v>1.3987129875211965</v>
      </c>
    </row>
    <row r="87" spans="2:22" ht="15" x14ac:dyDescent="0.2">
      <c r="B87" s="179" t="s">
        <v>295</v>
      </c>
      <c r="C87" s="79">
        <v>1861</v>
      </c>
      <c r="D87" s="79">
        <v>1721</v>
      </c>
      <c r="E87" s="79">
        <v>1539</v>
      </c>
      <c r="F87" s="79">
        <v>1516</v>
      </c>
      <c r="G87" s="79">
        <v>2106</v>
      </c>
      <c r="H87" s="86"/>
      <c r="I87" s="61"/>
      <c r="J87" s="81">
        <f t="shared" si="28"/>
        <v>1.9723594124255464E-2</v>
      </c>
      <c r="K87" s="81">
        <f t="shared" si="29"/>
        <v>1.8552655692463591E-2</v>
      </c>
      <c r="L87" s="81">
        <f t="shared" si="30"/>
        <v>1.5751819289069935E-2</v>
      </c>
      <c r="M87" s="81">
        <f t="shared" si="31"/>
        <v>1.507722602910024E-2</v>
      </c>
      <c r="N87" s="81">
        <f t="shared" si="32"/>
        <v>2.0092352312624028E-2</v>
      </c>
      <c r="O87" s="82"/>
      <c r="P87" s="81"/>
      <c r="Q87" s="147">
        <f t="shared" si="33"/>
        <v>1</v>
      </c>
      <c r="R87" s="147">
        <f t="shared" si="34"/>
        <v>0.92477162815690483</v>
      </c>
      <c r="S87" s="147">
        <f t="shared" si="35"/>
        <v>0.82697474476088129</v>
      </c>
      <c r="T87" s="147">
        <f t="shared" si="36"/>
        <v>0.81461579795808703</v>
      </c>
      <c r="U87" s="147">
        <f t="shared" si="37"/>
        <v>1.1316496507254163</v>
      </c>
    </row>
    <row r="88" spans="2:22" ht="15" x14ac:dyDescent="0.2">
      <c r="B88" s="121" t="s">
        <v>296</v>
      </c>
      <c r="C88" s="189">
        <f>SUM(C86:C87)</f>
        <v>24860</v>
      </c>
      <c r="D88" s="189">
        <f>SUM(D86:D87)</f>
        <v>25826</v>
      </c>
      <c r="E88" s="189">
        <f>SUM(E86:E87)</f>
        <v>27480</v>
      </c>
      <c r="F88" s="189">
        <f>SUM(F86:F87)</f>
        <v>26372</v>
      </c>
      <c r="G88" s="189">
        <f>SUM(G86:G87)</f>
        <v>34275</v>
      </c>
      <c r="H88" s="88"/>
      <c r="I88" s="87"/>
      <c r="J88" s="198">
        <f t="shared" si="28"/>
        <v>0.26347584628102677</v>
      </c>
      <c r="K88" s="198">
        <f t="shared" si="29"/>
        <v>0.27840841714907882</v>
      </c>
      <c r="L88" s="198">
        <f t="shared" si="30"/>
        <v>0.2812605549471357</v>
      </c>
      <c r="M88" s="198">
        <f t="shared" si="31"/>
        <v>0.26228008234790995</v>
      </c>
      <c r="N88" s="198">
        <f t="shared" si="32"/>
        <v>0.32700160280873147</v>
      </c>
      <c r="O88" s="197"/>
      <c r="P88" s="198"/>
      <c r="Q88" s="187">
        <f t="shared" si="33"/>
        <v>1</v>
      </c>
      <c r="R88" s="187">
        <f t="shared" si="34"/>
        <v>1.0388576025744167</v>
      </c>
      <c r="S88" s="187">
        <f t="shared" si="35"/>
        <v>1.1053901850362027</v>
      </c>
      <c r="T88" s="187">
        <f t="shared" si="36"/>
        <v>1.0608205953338696</v>
      </c>
      <c r="U88" s="187">
        <f t="shared" si="37"/>
        <v>1.3787208366854384</v>
      </c>
    </row>
    <row r="89" spans="2:22" ht="15" x14ac:dyDescent="0.2">
      <c r="B89" s="122" t="s">
        <v>75</v>
      </c>
      <c r="C89" s="188">
        <f>C88+C79</f>
        <v>94354</v>
      </c>
      <c r="D89" s="188">
        <f>D88+D79</f>
        <v>92763</v>
      </c>
      <c r="E89" s="188">
        <f>E88+E79</f>
        <v>97703</v>
      </c>
      <c r="F89" s="188">
        <f>F88+F79</f>
        <v>100549</v>
      </c>
      <c r="G89" s="188">
        <f>G88+G79</f>
        <v>104816</v>
      </c>
      <c r="H89" s="97"/>
      <c r="I89" s="96"/>
      <c r="J89" s="203">
        <f t="shared" si="28"/>
        <v>1</v>
      </c>
      <c r="K89" s="203">
        <f t="shared" si="29"/>
        <v>1</v>
      </c>
      <c r="L89" s="203">
        <f t="shared" si="30"/>
        <v>1</v>
      </c>
      <c r="M89" s="203">
        <f t="shared" si="31"/>
        <v>1</v>
      </c>
      <c r="N89" s="203">
        <f t="shared" si="32"/>
        <v>1</v>
      </c>
      <c r="O89" s="195"/>
      <c r="P89" s="196"/>
      <c r="Q89" s="204">
        <f t="shared" si="33"/>
        <v>1</v>
      </c>
      <c r="R89" s="204">
        <f t="shared" si="34"/>
        <v>0.98313796977340651</v>
      </c>
      <c r="S89" s="204">
        <f t="shared" si="35"/>
        <v>1.0354939907158149</v>
      </c>
      <c r="T89" s="204">
        <f t="shared" si="36"/>
        <v>1.0656569938741336</v>
      </c>
      <c r="U89" s="204">
        <f t="shared" si="37"/>
        <v>1.1108803018419993</v>
      </c>
    </row>
    <row r="90" spans="2:22" ht="16" thickTop="1" x14ac:dyDescent="0.2">
      <c r="B90" s="51"/>
      <c r="C90" s="115"/>
      <c r="D90" s="115"/>
      <c r="E90" s="56"/>
      <c r="F90" s="56"/>
      <c r="G90" s="56"/>
      <c r="H90" s="56"/>
      <c r="I90" s="56"/>
      <c r="J90" s="76"/>
      <c r="K90" s="76"/>
      <c r="L90" s="76"/>
      <c r="M90" s="76"/>
      <c r="N90" s="76"/>
      <c r="O90" s="76"/>
      <c r="P90" s="76"/>
      <c r="Q90" s="116"/>
      <c r="R90" s="116"/>
      <c r="S90" s="116"/>
      <c r="T90" s="116"/>
      <c r="U90" s="116"/>
      <c r="V90" s="117"/>
    </row>
    <row r="91" spans="2:22" ht="24" thickBot="1" x14ac:dyDescent="0.3"/>
    <row r="92" spans="2:22" ht="15" x14ac:dyDescent="0.2">
      <c r="B92" s="228" t="s">
        <v>151</v>
      </c>
      <c r="C92" s="229">
        <v>2021</v>
      </c>
      <c r="D92" s="229">
        <v>2022</v>
      </c>
      <c r="E92" s="229">
        <v>2023</v>
      </c>
      <c r="F92" s="229">
        <v>2024</v>
      </c>
      <c r="G92" s="230">
        <v>2025</v>
      </c>
    </row>
    <row r="93" spans="2:22" ht="15" x14ac:dyDescent="0.2">
      <c r="B93" s="224" t="str">
        <f>'FINANCIAL RATIOS'!B15</f>
        <v xml:space="preserve">Current Ratio = Current Assets / Current Liabilities </v>
      </c>
      <c r="C93" s="176">
        <f>'FINANCIAL RATIOS'!C18</f>
        <v>1.1300751879699249</v>
      </c>
      <c r="D93" s="176">
        <f>'FINANCIAL RATIOS'!D18</f>
        <v>1.1453559115798013</v>
      </c>
      <c r="E93" s="176">
        <f>'FINANCIAL RATIOS'!E18</f>
        <v>1.1341054685842773</v>
      </c>
      <c r="F93" s="176">
        <f>'FINANCIAL RATIOS'!F18</f>
        <v>1.0296249356410154</v>
      </c>
      <c r="G93" s="222">
        <f>'FINANCIAL RATIOS'!G18</f>
        <v>1.4587660354306657</v>
      </c>
    </row>
    <row r="94" spans="2:22" ht="15" x14ac:dyDescent="0.2">
      <c r="B94" s="224" t="str">
        <f>'FINANCIAL RATIOS'!B23</f>
        <v xml:space="preserve">Quick Ratio = (Current Assets - Inventories) / Current Liabilities </v>
      </c>
      <c r="C94" s="176">
        <f>'FINANCIAL RATIOS'!C26</f>
        <v>0.95894736842105266</v>
      </c>
      <c r="D94" s="176">
        <f>'FINANCIAL RATIOS'!D26</f>
        <v>0.93074427093895762</v>
      </c>
      <c r="E94" s="176">
        <f>'FINANCIAL RATIOS'!E26</f>
        <v>0.94641720758559245</v>
      </c>
      <c r="F94" s="176">
        <f>'FINANCIAL RATIOS'!F26</f>
        <v>0.84236999485128128</v>
      </c>
      <c r="G94" s="222">
        <f>'FINANCIAL RATIOS'!G26</f>
        <v>1.2508340773459894</v>
      </c>
    </row>
    <row r="95" spans="2:22" ht="15" x14ac:dyDescent="0.2">
      <c r="B95" s="224" t="str">
        <f>'FINANCIAL RATIOS'!B31</f>
        <v xml:space="preserve">Cash Ratio = Cash / Current Liabilities </v>
      </c>
      <c r="C95" s="176">
        <f>'FINANCIAL RATIOS'!C34</f>
        <v>0.48541353383458646</v>
      </c>
      <c r="D95" s="176">
        <f>'FINANCIAL RATIOS'!D34</f>
        <v>0.48261001825187588</v>
      </c>
      <c r="E95" s="176">
        <f>'FINANCIAL RATIOS'!E34</f>
        <v>0.39735267913962075</v>
      </c>
      <c r="F95" s="176">
        <f>'FINANCIAL RATIOS'!F34</f>
        <v>0.42884866727395143</v>
      </c>
      <c r="G95" s="222">
        <f>'FINANCIAL RATIOS'!G34</f>
        <v>0.48259010384850337</v>
      </c>
    </row>
    <row r="96" spans="2:22" ht="15" x14ac:dyDescent="0.2">
      <c r="B96" s="224" t="str">
        <f>'FINANCIAL RATIOS'!B39</f>
        <v xml:space="preserve">NWC Ratio = (Current Assets - Current Liabilities) / Total Assets </v>
      </c>
      <c r="C96" s="177">
        <f>'FINANCIAL RATIOS'!C42</f>
        <v>2.7502808571973632E-2</v>
      </c>
      <c r="D96" s="177">
        <f>'FINANCIAL RATIOS'!D42</f>
        <v>3.0906719273848408E-2</v>
      </c>
      <c r="E96" s="177">
        <f>'FINANCIAL RATIOS'!E42</f>
        <v>3.2353151899122849E-2</v>
      </c>
      <c r="F96" s="177">
        <f>'FINANCIAL RATIOS'!F42</f>
        <v>7.4391590169966878E-3</v>
      </c>
      <c r="G96" s="223">
        <f>'FINANCIAL RATIOS'!G42</f>
        <v>9.3144176461608913E-2</v>
      </c>
    </row>
    <row r="97" spans="2:7" ht="15" x14ac:dyDescent="0.2">
      <c r="B97" s="225" t="str">
        <f>'FINANCIAL RATIOS'!B47</f>
        <v>Interval Measure = Current Assets / Average Daily Costs (COGS + Oper. Exp.)</v>
      </c>
      <c r="C97" s="226">
        <f>'FINANCIAL RATIOS'!C50</f>
        <v>290.29262355804849</v>
      </c>
      <c r="D97" s="226">
        <f>'FINANCIAL RATIOS'!D50</f>
        <v>256.9158747468453</v>
      </c>
      <c r="E97" s="226">
        <f>'FINANCIAL RATIOS'!E50</f>
        <v>283.28484742908574</v>
      </c>
      <c r="F97" s="226">
        <f>'FINANCIAL RATIOS'!F50</f>
        <v>255.97952467020963</v>
      </c>
      <c r="G97" s="227">
        <f>'FINANCIAL RATIOS'!G50</f>
        <v>331.52110945317304</v>
      </c>
    </row>
    <row r="98" spans="2:7" ht="15" x14ac:dyDescent="0.2">
      <c r="B98"/>
      <c r="C98" s="176"/>
      <c r="D98" s="176"/>
      <c r="E98" s="176"/>
      <c r="F98" s="176"/>
      <c r="G98" s="176"/>
    </row>
    <row r="99" spans="2:7" ht="15" x14ac:dyDescent="0.2">
      <c r="B99" s="228" t="s">
        <v>156</v>
      </c>
      <c r="C99" s="229">
        <v>2021</v>
      </c>
      <c r="D99" s="229">
        <v>2022</v>
      </c>
      <c r="E99" s="229">
        <v>2023</v>
      </c>
      <c r="F99" s="229">
        <v>2024</v>
      </c>
      <c r="G99" s="230">
        <v>2025</v>
      </c>
    </row>
    <row r="100" spans="2:7" ht="15" x14ac:dyDescent="0.2">
      <c r="B100" s="224" t="str">
        <f>'FINANCIAL RATIOS'!B58</f>
        <v>Total Debt Ratio = Financial Debt / Total Assets</v>
      </c>
      <c r="C100" s="177">
        <f>'FINANCIAL RATIOS'!C61</f>
        <v>0.45319753269601715</v>
      </c>
      <c r="D100" s="177">
        <f>'FINANCIAL RATIOS'!D61</f>
        <v>0.42203249140282223</v>
      </c>
      <c r="E100" s="177">
        <f>'FINANCIAL RATIOS'!E61</f>
        <v>0.43052925703407263</v>
      </c>
      <c r="F100" s="177">
        <f>'FINANCIAL RATIOS'!F61</f>
        <v>0.44278908790738841</v>
      </c>
      <c r="G100" s="223">
        <f>'FINANCIAL RATIOS'!G61</f>
        <v>0.43401770722027172</v>
      </c>
    </row>
    <row r="101" spans="2:7" ht="15" x14ac:dyDescent="0.2">
      <c r="B101" s="224" t="str">
        <f>'FINANCIAL RATIOS'!B66</f>
        <v xml:space="preserve">Debt-to-Equity Ratio = (Short-term Debt + Long-term Debt) / Total Equity </v>
      </c>
      <c r="C101" s="177">
        <f>'FINANCIAL RATIOS'!C69</f>
        <v>1.7200724054706356</v>
      </c>
      <c r="D101" s="177">
        <f>'FINANCIAL RATIOS'!D69</f>
        <v>1.5158754743281964</v>
      </c>
      <c r="E101" s="177">
        <f>'FINANCIAL RATIOS'!E69</f>
        <v>1.5307132459970887</v>
      </c>
      <c r="F101" s="177">
        <f>'FINANCIAL RATIOS'!F69</f>
        <v>1.6882299408463521</v>
      </c>
      <c r="G101" s="223">
        <f>'FINANCIAL RATIOS'!G69</f>
        <v>1.3272647702407001</v>
      </c>
    </row>
    <row r="102" spans="2:7" ht="15" x14ac:dyDescent="0.2">
      <c r="B102" s="224" t="str">
        <f>'FINANCIAL RATIOS'!B74</f>
        <v>Times Interest Earned = EBIT / Interest Expenses</v>
      </c>
      <c r="C102" s="176">
        <f>'FINANCIAL RATIOS'!C77</f>
        <v>6.4546023794614902</v>
      </c>
      <c r="D102" s="176">
        <f>'FINANCIAL RATIOS'!D77</f>
        <v>12.368480725623582</v>
      </c>
      <c r="E102" s="176">
        <f>'FINANCIAL RATIOS'!E77</f>
        <v>7.4073346430910281</v>
      </c>
      <c r="F102" s="176">
        <f>'FINANCIAL RATIOS'!F77</f>
        <v>6.0338164251207731</v>
      </c>
      <c r="G102" s="222">
        <f>'FINANCIAL RATIOS'!G77</f>
        <v>8.3204353083434093</v>
      </c>
    </row>
    <row r="103" spans="2:7" ht="15" x14ac:dyDescent="0.2">
      <c r="B103" s="225" t="str">
        <f>'FINANCIAL RATIOS'!B82</f>
        <v>Cash Coverage Ratio = (EBIT+Depreciation) / Interest Expenses</v>
      </c>
      <c r="C103" s="226">
        <f>'FINANCIAL RATIOS'!C85</f>
        <v>7.1120851596743897</v>
      </c>
      <c r="D103" s="226">
        <f>'FINANCIAL RATIOS'!D85</f>
        <v>13.587301587301587</v>
      </c>
      <c r="E103" s="226">
        <f>'FINANCIAL RATIOS'!E85</f>
        <v>8.1460379829731497</v>
      </c>
      <c r="F103" s="226">
        <f>'FINANCIAL RATIOS'!F85</f>
        <v>6.7946859903381647</v>
      </c>
      <c r="G103" s="227">
        <f>'FINANCIAL RATIOS'!G85</f>
        <v>9.1983071342200731</v>
      </c>
    </row>
    <row r="104" spans="2:7" ht="23" x14ac:dyDescent="0.25"/>
    <row r="105" spans="2:7" ht="15" x14ac:dyDescent="0.2">
      <c r="B105" s="228" t="s">
        <v>160</v>
      </c>
      <c r="C105" s="229">
        <v>2021</v>
      </c>
      <c r="D105" s="229">
        <v>2022</v>
      </c>
      <c r="E105" s="229">
        <v>2023</v>
      </c>
      <c r="F105" s="229">
        <v>2024</v>
      </c>
      <c r="G105" s="230">
        <v>2025</v>
      </c>
    </row>
    <row r="106" spans="2:7" ht="15" x14ac:dyDescent="0.2">
      <c r="B106" s="224" t="s">
        <v>161</v>
      </c>
      <c r="C106" s="176">
        <f>'FINANCIAL RATIOS'!C96</f>
        <v>0.40968056468194247</v>
      </c>
      <c r="D106" s="176">
        <f>'FINANCIAL RATIOS'!D96</f>
        <v>0.46359000894753294</v>
      </c>
      <c r="E106" s="176">
        <f>'FINANCIAL RATIOS'!E96</f>
        <v>0.46829677696693039</v>
      </c>
      <c r="F106" s="176">
        <f>'FINANCIAL RATIOS'!F96</f>
        <v>0.46804045788620474</v>
      </c>
      <c r="G106" s="222">
        <f>'FINANCIAL RATIOS'!G96</f>
        <v>0.45738246069302396</v>
      </c>
    </row>
    <row r="107" spans="2:7" ht="15" x14ac:dyDescent="0.2">
      <c r="B107" s="224" t="str">
        <f>'FINANCIAL RATIOS'!B100</f>
        <v>Inventory Turnover = COGS / Inventories</v>
      </c>
      <c r="C107" s="176">
        <f>'FINANCIAL RATIOS'!C103</f>
        <v>4.4982425307557117</v>
      </c>
      <c r="D107" s="176">
        <f>'FINANCIAL RATIOS'!D103</f>
        <v>4.2523033309709426</v>
      </c>
      <c r="E107" s="176">
        <f>'FINANCIAL RATIOS'!E103</f>
        <v>4.1862567811934897</v>
      </c>
      <c r="F107" s="176">
        <f>'FINANCIAL RATIOS'!F103</f>
        <v>3.8756345177664975</v>
      </c>
      <c r="G107" s="222">
        <f>'FINANCIAL RATIOS'!G103</f>
        <v>4.157514124293785</v>
      </c>
    </row>
    <row r="108" spans="2:7" ht="15" x14ac:dyDescent="0.2">
      <c r="B108" s="224" t="str">
        <f>'FINANCIAL RATIOS'!B107</f>
        <v>Days Sales in Inventory = 365 / Inventory Turnover</v>
      </c>
      <c r="C108" s="176">
        <f>'FINANCIAL RATIOS'!C110</f>
        <v>81.142801328384451</v>
      </c>
      <c r="D108" s="176">
        <f>'FINANCIAL RATIOS'!D110</f>
        <v>85.835833333333326</v>
      </c>
      <c r="E108" s="176">
        <f>'FINANCIAL RATIOS'!E110</f>
        <v>87.190064794816422</v>
      </c>
      <c r="F108" s="176">
        <f>'FINANCIAL RATIOS'!F110</f>
        <v>94.1781270464964</v>
      </c>
      <c r="G108" s="222">
        <f>'FINANCIAL RATIOS'!G110</f>
        <v>87.792846659781489</v>
      </c>
    </row>
    <row r="109" spans="2:7" ht="15" x14ac:dyDescent="0.2">
      <c r="B109" s="224" t="str">
        <f>'FINANCIAL RATIOS'!B114</f>
        <v xml:space="preserve">Receivables Turnover = Sales / Accounts Receivables </v>
      </c>
      <c r="C109" s="176">
        <f>'FINANCIAL RATIOS'!C117</f>
        <v>11.006548974943053</v>
      </c>
      <c r="D109" s="176">
        <f>'FINANCIAL RATIOS'!D117</f>
        <v>12.332664181244622</v>
      </c>
      <c r="E109" s="176">
        <f>'FINANCIAL RATIOS'!E117</f>
        <v>13.417595307917889</v>
      </c>
      <c r="F109" s="176">
        <f>'FINANCIAL RATIOS'!F117</f>
        <v>13.186046511627907</v>
      </c>
      <c r="G109" s="222">
        <f>'FINANCIAL RATIOS'!G117</f>
        <v>15.780447662936142</v>
      </c>
    </row>
    <row r="110" spans="2:7" ht="15" x14ac:dyDescent="0.2">
      <c r="B110" s="224" t="str">
        <f>'FINANCIAL RATIOS'!B121</f>
        <v>Days Sales in Receivables = 365 / Receivables Turnover</v>
      </c>
      <c r="C110" s="176">
        <f>'FINANCIAL RATIOS'!C124</f>
        <v>33.16207476393739</v>
      </c>
      <c r="D110" s="176">
        <f>'FINANCIAL RATIOS'!D124</f>
        <v>29.596200353455494</v>
      </c>
      <c r="E110" s="176">
        <f>'FINANCIAL RATIOS'!E124</f>
        <v>27.203086068977576</v>
      </c>
      <c r="F110" s="176">
        <f>'FINANCIAL RATIOS'!F124</f>
        <v>27.680776014109348</v>
      </c>
      <c r="G110" s="222">
        <f>'FINANCIAL RATIOS'!G124</f>
        <v>23.129888821676644</v>
      </c>
    </row>
    <row r="111" spans="2:7" ht="15" x14ac:dyDescent="0.2">
      <c r="B111" s="225" t="str">
        <f>'FINANCIAL RATIOS'!B128</f>
        <v>Operating Cycle = Days Sales in Inventory + Days Sales in Receivables</v>
      </c>
      <c r="C111" s="226">
        <f>'FINANCIAL RATIOS'!C131</f>
        <v>114.30487609232185</v>
      </c>
      <c r="D111" s="226">
        <f>'FINANCIAL RATIOS'!D131</f>
        <v>115.43203368678883</v>
      </c>
      <c r="E111" s="226">
        <f>'FINANCIAL RATIOS'!E131</f>
        <v>114.39315086379401</v>
      </c>
      <c r="F111" s="226">
        <f>'FINANCIAL RATIOS'!F131</f>
        <v>121.85890306060574</v>
      </c>
      <c r="G111" s="227">
        <f>'FINANCIAL RATIOS'!G131</f>
        <v>110.92273548145813</v>
      </c>
    </row>
    <row r="112" spans="2:7" ht="23" x14ac:dyDescent="0.25"/>
    <row r="113" spans="2:7" ht="15" x14ac:dyDescent="0.2">
      <c r="B113" s="228" t="str">
        <f>'FINANCIAL RATIOS'!B137</f>
        <v xml:space="preserve">Profitability Ratios </v>
      </c>
      <c r="C113" s="229">
        <v>2021</v>
      </c>
      <c r="D113" s="229">
        <v>2022</v>
      </c>
      <c r="E113" s="229">
        <v>2023</v>
      </c>
      <c r="F113" s="229">
        <v>2024</v>
      </c>
      <c r="G113" s="230">
        <v>2025</v>
      </c>
    </row>
    <row r="114" spans="2:7" ht="15" x14ac:dyDescent="0.2">
      <c r="B114" s="224" t="str">
        <f>'FINANCIAL RATIOS'!B139</f>
        <v xml:space="preserve">Gross Profit Margin = Gross Profits / Sales </v>
      </c>
      <c r="C114" s="176">
        <f>'FINANCIAL RATIOS'!C142</f>
        <v>0.60271633682576642</v>
      </c>
      <c r="D114" s="176">
        <f>'FINANCIAL RATIOS'!D142</f>
        <v>0.58143428518277374</v>
      </c>
      <c r="E114" s="176">
        <f>'FINANCIAL RATIOS'!E142</f>
        <v>0.5952266468505486</v>
      </c>
      <c r="F114" s="176">
        <f>'FINANCIAL RATIOS'!F142</f>
        <v>0.61063300822336963</v>
      </c>
      <c r="G114" s="222">
        <f>'FINANCIAL RATIOS'!G142</f>
        <v>0.61625748315637974</v>
      </c>
    </row>
    <row r="115" spans="2:7" ht="15" x14ac:dyDescent="0.2">
      <c r="B115" s="224" t="str">
        <f>'FINANCIAL RATIOS'!B147</f>
        <v>Operating Profit Margin = Operating Profits / Sales</v>
      </c>
      <c r="C115" s="176">
        <f>'FINANCIAL RATIOS'!C150</f>
        <v>0.26666666666666666</v>
      </c>
      <c r="D115" s="176">
        <f>'FINANCIAL RATIOS'!D150</f>
        <v>0.25367407683006232</v>
      </c>
      <c r="E115" s="176">
        <f>'FINANCIAL RATIOS'!E150</f>
        <v>0.24721335839489444</v>
      </c>
      <c r="F115" s="176">
        <f>'FINANCIAL RATIOS'!F150</f>
        <v>0.21232018019166612</v>
      </c>
      <c r="G115" s="222">
        <f>'FINANCIAL RATIOS'!G150</f>
        <v>0.28706117936630443</v>
      </c>
    </row>
    <row r="116" spans="2:7" ht="15" x14ac:dyDescent="0.2">
      <c r="B116" s="224" t="str">
        <f>'FINANCIAL RATIOS'!B155</f>
        <v xml:space="preserve">Net Profit Margin = Net Income / Sales </v>
      </c>
      <c r="C116" s="176">
        <f>'FINANCIAL RATIOS'!C158</f>
        <v>0.25362824990298799</v>
      </c>
      <c r="D116" s="176">
        <f>'FINANCIAL RATIOS'!D158</f>
        <v>0.2225606920286485</v>
      </c>
      <c r="E116" s="176">
        <f>'FINANCIAL RATIOS'!E158</f>
        <v>0.23392490274074398</v>
      </c>
      <c r="F116" s="176">
        <f>'FINANCIAL RATIOS'!F158</f>
        <v>0.22628078451371625</v>
      </c>
      <c r="G116" s="222">
        <f>'FINANCIAL RATIOS'!G158</f>
        <v>0.27402432156191986</v>
      </c>
    </row>
    <row r="117" spans="2:7" ht="15" x14ac:dyDescent="0.2">
      <c r="B117" s="224" t="str">
        <f>'FINANCIAL RATIOS'!B163</f>
        <v xml:space="preserve">Return on Assets (ROA) = Net Income / Total Assets </v>
      </c>
      <c r="C117" s="176">
        <f>'FINANCIAL RATIOS'!C166</f>
        <v>0.10390656463954893</v>
      </c>
      <c r="D117" s="176">
        <f>'FINANCIAL RATIOS'!D166</f>
        <v>0.10317691320893028</v>
      </c>
      <c r="E117" s="176">
        <f>'FINANCIAL RATIOS'!E166</f>
        <v>0.10954627800579307</v>
      </c>
      <c r="F117" s="176">
        <f>'FINANCIAL RATIOS'!F166</f>
        <v>0.10590856199464938</v>
      </c>
      <c r="G117" s="222">
        <f>'FINANCIAL RATIOS'!G166</f>
        <v>0.12533391848572736</v>
      </c>
    </row>
    <row r="118" spans="2:7" ht="15" x14ac:dyDescent="0.2">
      <c r="B118" s="224" t="str">
        <f>'FINANCIAL RATIOS'!B170</f>
        <v>Return on Equity (ROE) -based  on BV of equity = Net Income / Total Equity</v>
      </c>
      <c r="C118" s="176">
        <f>'FINANCIAL RATIOS'!C173</f>
        <v>0.39436846339501208</v>
      </c>
      <c r="D118" s="176">
        <f>'FINANCIAL RATIOS'!D173</f>
        <v>0.37059552389065281</v>
      </c>
      <c r="E118" s="176">
        <f>'FINANCIAL RATIOS'!E173</f>
        <v>0.38948326055312954</v>
      </c>
      <c r="F118" s="176">
        <f>'FINANCIAL RATIOS'!F173</f>
        <v>0.40379948430153195</v>
      </c>
      <c r="G118" s="222">
        <f>'FINANCIAL RATIOS'!G173</f>
        <v>0.38328227571115975</v>
      </c>
    </row>
    <row r="119" spans="2:7" ht="15" x14ac:dyDescent="0.2">
      <c r="B119" s="225" t="str">
        <f>'FINANCIAL RATIOS'!B178</f>
        <v xml:space="preserve">Return on Equity (ROE) - based on MV of equity = Net Income / Market Value of Equity </v>
      </c>
      <c r="C119" s="226">
        <f>'FINANCIAL RATIOS'!C181</f>
        <v>3.8373149128648879E-2</v>
      </c>
      <c r="D119" s="226">
        <f>'FINANCIAL RATIOS'!D181</f>
        <v>3.4765194907391127E-2</v>
      </c>
      <c r="E119" s="226">
        <f>'FINANCIAL RATIOS'!E181</f>
        <v>4.201301496708261E-2</v>
      </c>
      <c r="F119" s="226">
        <f>'FINANCIAL RATIOS'!F181</f>
        <v>3.9693849305911175E-2</v>
      </c>
      <c r="G119" s="227">
        <f>'FINANCIAL RATIOS'!G181</f>
        <v>4.3670237285593418E-2</v>
      </c>
    </row>
    <row r="120" spans="2:7" ht="23" x14ac:dyDescent="0.25"/>
    <row r="121" spans="2:7" ht="15" x14ac:dyDescent="0.2">
      <c r="B121" s="228" t="s">
        <v>174</v>
      </c>
      <c r="C121" s="229">
        <v>2021</v>
      </c>
      <c r="D121" s="229">
        <v>2022</v>
      </c>
      <c r="E121" s="229">
        <v>2023</v>
      </c>
      <c r="F121" s="229">
        <v>2024</v>
      </c>
      <c r="G121" s="230">
        <v>2025</v>
      </c>
    </row>
    <row r="122" spans="2:7" ht="15" x14ac:dyDescent="0.2">
      <c r="B122" s="224" t="str">
        <f>'FINANCIAL RATIOS'!B189</f>
        <v xml:space="preserve">Earnings Per Share (EPS) = Net Income / Number of shares outstanding </v>
      </c>
      <c r="C122" s="176">
        <f>'FINANCIAL RATIOS'!C192</f>
        <v>2.2720741599073002</v>
      </c>
      <c r="D122" s="176">
        <f>'FINANCIAL RATIOS'!D192</f>
        <v>2.2114140480591495</v>
      </c>
      <c r="E122" s="176">
        <f>'FINANCIAL RATIOS'!E192</f>
        <v>2.4758269720101782</v>
      </c>
      <c r="F122" s="176">
        <f>'FINANCIAL RATIOS'!F192</f>
        <v>2.4713390577860292</v>
      </c>
      <c r="G122" s="222">
        <f>'FINANCIAL RATIOS'!G192</f>
        <v>3.0529862886358354</v>
      </c>
    </row>
    <row r="123" spans="2:7" ht="15" x14ac:dyDescent="0.2">
      <c r="B123" s="224" t="str">
        <f>'FINANCIAL RATIOS'!B196</f>
        <v>Price-Earnings Ratio (P/E Ratio) = Price per share / EPS</v>
      </c>
      <c r="C123" s="176">
        <f>'FINANCIAL RATIOS'!C199</f>
        <v>26.059888820889434</v>
      </c>
      <c r="D123" s="176">
        <f>'FINANCIAL RATIOS'!D199</f>
        <v>28.764400794065409</v>
      </c>
      <c r="E123" s="176">
        <f>'FINANCIAL RATIOS'!E199</f>
        <v>23.802147995889001</v>
      </c>
      <c r="F123" s="176">
        <f>'FINANCIAL RATIOS'!F199</f>
        <v>25.192819983097003</v>
      </c>
      <c r="G123" s="222">
        <f>'FINANCIAL RATIOS'!G199</f>
        <v>22.898890918779021</v>
      </c>
    </row>
    <row r="124" spans="2:7" ht="15" x14ac:dyDescent="0.2">
      <c r="B124" s="224" t="str">
        <f>'FINANCIAL RATIOS'!B203</f>
        <v>Market-to-Book Ratio = Market Value of Equity / Book Value of Equity</v>
      </c>
      <c r="C124" s="176">
        <f>'FINANCIAL RATIOS'!C206</f>
        <v>11.108793860602635</v>
      </c>
      <c r="D124" s="176">
        <f>'FINANCIAL RATIOS'!D206</f>
        <v>11.421036299522921</v>
      </c>
      <c r="E124" s="176">
        <f>'FINANCIAL RATIOS'!E206</f>
        <v>9.8205308199375505</v>
      </c>
      <c r="F124" s="176">
        <f>'FINANCIAL RATIOS'!F206</f>
        <v>10.793303025426455</v>
      </c>
      <c r="G124" s="222">
        <f>'FINANCIAL RATIOS'!G206</f>
        <v>9.3513236345550066</v>
      </c>
    </row>
    <row r="125" spans="2:7" ht="15" x14ac:dyDescent="0.2">
      <c r="B125" s="225" t="str">
        <f>'FINANCIAL RATIOS'!J21</f>
        <v>Free Cash Flow = Operating Cash Flow + Capital Expenditure</v>
      </c>
      <c r="C125" s="226">
        <f>'FINANCIAL RATIOS'!K25</f>
        <v>5296</v>
      </c>
      <c r="D125" s="226">
        <f>'FINANCIAL RATIOS'!L25</f>
        <v>4741</v>
      </c>
      <c r="E125" s="226">
        <f>'FINANCIAL RATIOS'!M25</f>
        <v>9747</v>
      </c>
      <c r="F125" s="226">
        <f>'FINANCIAL RATIOS'!N25</f>
        <v>9534</v>
      </c>
      <c r="G125" s="227">
        <f>'FINANCIAL RATIOS'!O25</f>
        <v>11258</v>
      </c>
    </row>
    <row r="126" spans="2:7" ht="23" x14ac:dyDescent="0.25"/>
    <row r="127" spans="2:7" ht="23" x14ac:dyDescent="0.25"/>
  </sheetData>
  <mergeCells count="17">
    <mergeCell ref="U44:V44"/>
    <mergeCell ref="B1:V1"/>
    <mergeCell ref="B2:V2"/>
    <mergeCell ref="B3:V3"/>
    <mergeCell ref="U4:V4"/>
    <mergeCell ref="J6:N6"/>
    <mergeCell ref="Q6:U6"/>
    <mergeCell ref="J7:N7"/>
    <mergeCell ref="Q7:U7"/>
    <mergeCell ref="B41:V41"/>
    <mergeCell ref="B42:V42"/>
    <mergeCell ref="B43:V43"/>
    <mergeCell ref="U46:V46"/>
    <mergeCell ref="J47:N47"/>
    <mergeCell ref="Q47:U47"/>
    <mergeCell ref="J48:N48"/>
    <mergeCell ref="Q48:U48"/>
  </mergeCells>
  <phoneticPr fontId="4" type="noConversion"/>
  <pageMargins left="0.7" right="0.7" top="0.75" bottom="0.75" header="0.3" footer="0.3"/>
  <pageSetup orientation="portrait" horizontalDpi="4294967292" verticalDpi="429496729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B8365-FC8D-5140-A4E5-67298CCA9E47}">
  <sheetPr>
    <tabColor rgb="FF92D050"/>
  </sheetPr>
  <dimension ref="B1:AC128"/>
  <sheetViews>
    <sheetView showGridLines="0" workbookViewId="0">
      <selection activeCell="M71" sqref="M71"/>
    </sheetView>
  </sheetViews>
  <sheetFormatPr baseColWidth="10" defaultColWidth="8.83203125" defaultRowHeight="23.25" customHeight="1" x14ac:dyDescent="0.25"/>
  <cols>
    <col min="2" max="2" width="79.33203125" style="47" bestFit="1" customWidth="1"/>
    <col min="3" max="3" width="9.33203125" customWidth="1"/>
    <col min="4" max="5" width="10.1640625" bestFit="1" customWidth="1"/>
    <col min="6" max="7" width="10.5" bestFit="1" customWidth="1"/>
    <col min="8" max="9" width="1.6640625" customWidth="1"/>
    <col min="10" max="14" width="7.6640625" customWidth="1"/>
    <col min="15" max="16" width="1.6640625" customWidth="1"/>
    <col min="17" max="17" width="7.83203125" customWidth="1"/>
    <col min="18" max="18" width="8.5" bestFit="1" customWidth="1"/>
    <col min="19" max="20" width="7.83203125" customWidth="1"/>
    <col min="21" max="21" width="8.83203125" customWidth="1"/>
    <col min="22" max="22" width="9.33203125" customWidth="1"/>
  </cols>
  <sheetData>
    <row r="1" spans="2:23" ht="20.25" customHeight="1" x14ac:dyDescent="0.2">
      <c r="B1" s="627"/>
      <c r="C1" s="627"/>
      <c r="D1" s="627"/>
      <c r="E1" s="627"/>
      <c r="F1" s="627"/>
      <c r="G1" s="627"/>
      <c r="H1" s="627"/>
      <c r="I1" s="627"/>
      <c r="J1" s="627"/>
      <c r="K1" s="627"/>
      <c r="L1" s="627"/>
      <c r="M1" s="627"/>
      <c r="N1" s="627"/>
      <c r="O1" s="627"/>
      <c r="P1" s="627"/>
      <c r="Q1" s="627"/>
      <c r="R1" s="627"/>
      <c r="S1" s="627"/>
      <c r="T1" s="627"/>
      <c r="U1" s="627"/>
      <c r="V1" s="627"/>
      <c r="W1" s="106"/>
    </row>
    <row r="2" spans="2:23" ht="15.75" customHeight="1" x14ac:dyDescent="0.2">
      <c r="B2" s="628" t="s">
        <v>1</v>
      </c>
      <c r="C2" s="628"/>
      <c r="D2" s="628"/>
      <c r="E2" s="628"/>
      <c r="F2" s="628"/>
      <c r="G2" s="628"/>
      <c r="H2" s="628"/>
      <c r="I2" s="628"/>
      <c r="J2" s="628"/>
      <c r="K2" s="628"/>
      <c r="L2" s="628"/>
      <c r="M2" s="628"/>
      <c r="N2" s="628"/>
      <c r="O2" s="628"/>
      <c r="P2" s="628"/>
      <c r="Q2" s="628"/>
      <c r="R2" s="628"/>
      <c r="S2" s="628"/>
      <c r="T2" s="628"/>
      <c r="U2" s="628"/>
      <c r="V2" s="628"/>
      <c r="W2" s="107"/>
    </row>
    <row r="3" spans="2:23" ht="15.75" customHeight="1" x14ac:dyDescent="0.2">
      <c r="B3" s="629" t="s">
        <v>2</v>
      </c>
      <c r="C3" s="629"/>
      <c r="D3" s="629"/>
      <c r="E3" s="629"/>
      <c r="F3" s="629"/>
      <c r="G3" s="629"/>
      <c r="H3" s="629"/>
      <c r="I3" s="629"/>
      <c r="J3" s="629"/>
      <c r="K3" s="629"/>
      <c r="L3" s="629"/>
      <c r="M3" s="629"/>
      <c r="N3" s="629"/>
      <c r="O3" s="629"/>
      <c r="P3" s="629"/>
      <c r="Q3" s="629"/>
      <c r="R3" s="629"/>
      <c r="S3" s="629"/>
      <c r="T3" s="629"/>
      <c r="U3" s="629"/>
      <c r="V3" s="629"/>
      <c r="W3" s="5"/>
    </row>
    <row r="4" spans="2:23" s="109" customFormat="1" ht="16" x14ac:dyDescent="0.2">
      <c r="B4" s="106" t="s">
        <v>3</v>
      </c>
      <c r="U4" s="616" t="s">
        <v>4</v>
      </c>
      <c r="V4" s="616"/>
    </row>
    <row r="5" spans="2:23" s="109" customFormat="1" ht="16" x14ac:dyDescent="0.2">
      <c r="B5" s="106" t="s">
        <v>5</v>
      </c>
    </row>
    <row r="6" spans="2:23" ht="15" x14ac:dyDescent="0.2">
      <c r="B6" s="2"/>
      <c r="J6" s="620" t="s">
        <v>7</v>
      </c>
      <c r="K6" s="620"/>
      <c r="L6" s="620"/>
      <c r="M6" s="620"/>
      <c r="N6" s="620"/>
      <c r="O6" s="3"/>
      <c r="P6" s="3"/>
      <c r="Q6" s="620" t="s">
        <v>8</v>
      </c>
      <c r="R6" s="620"/>
      <c r="S6" s="620"/>
      <c r="T6" s="620"/>
      <c r="U6" s="620"/>
      <c r="V6" s="4"/>
    </row>
    <row r="7" spans="2:23" ht="15" x14ac:dyDescent="0.2">
      <c r="B7" s="5"/>
      <c r="J7" s="621" t="s">
        <v>9</v>
      </c>
      <c r="K7" s="621"/>
      <c r="L7" s="621"/>
      <c r="M7" s="621"/>
      <c r="N7" s="621"/>
      <c r="O7" s="6"/>
      <c r="P7" s="6"/>
      <c r="Q7" s="622" t="s">
        <v>10</v>
      </c>
      <c r="R7" s="622"/>
      <c r="S7" s="622"/>
      <c r="T7" s="622"/>
      <c r="U7" s="622"/>
    </row>
    <row r="8" spans="2:23" ht="15" x14ac:dyDescent="0.2">
      <c r="B8" s="7" t="s">
        <v>11</v>
      </c>
      <c r="C8" s="8">
        <v>2021</v>
      </c>
      <c r="D8" s="8">
        <v>2022</v>
      </c>
      <c r="E8" s="8">
        <v>2023</v>
      </c>
      <c r="F8" s="8">
        <v>2024</v>
      </c>
      <c r="G8" s="134">
        <v>2025</v>
      </c>
      <c r="H8" s="9"/>
      <c r="I8" s="8"/>
      <c r="J8" s="8">
        <v>2021</v>
      </c>
      <c r="K8" s="8">
        <v>2022</v>
      </c>
      <c r="L8" s="8">
        <v>2023</v>
      </c>
      <c r="M8" s="8">
        <v>2024</v>
      </c>
      <c r="N8" s="134">
        <v>2025</v>
      </c>
      <c r="O8" s="9"/>
      <c r="P8" s="8"/>
      <c r="Q8" s="8">
        <v>2021</v>
      </c>
      <c r="R8" s="8">
        <v>2022</v>
      </c>
      <c r="S8" s="8">
        <v>2023</v>
      </c>
      <c r="T8" s="8">
        <v>2024</v>
      </c>
      <c r="U8" s="134">
        <v>2025</v>
      </c>
    </row>
    <row r="9" spans="2:23" ht="15" x14ac:dyDescent="0.2">
      <c r="B9" s="10" t="s">
        <v>268</v>
      </c>
      <c r="C9" s="205">
        <v>314272</v>
      </c>
      <c r="D9" s="206">
        <v>653604</v>
      </c>
      <c r="E9" s="206">
        <v>1318014</v>
      </c>
      <c r="F9" s="206">
        <v>1355630</v>
      </c>
      <c r="G9" s="206">
        <v>2515269</v>
      </c>
      <c r="H9" s="12"/>
      <c r="I9" s="11"/>
      <c r="J9" s="13">
        <f t="shared" ref="J9:N11" si="0">C9/C$9</f>
        <v>1</v>
      </c>
      <c r="K9" s="13">
        <f t="shared" si="0"/>
        <v>1</v>
      </c>
      <c r="L9" s="13">
        <f t="shared" si="0"/>
        <v>1</v>
      </c>
      <c r="M9" s="13">
        <f t="shared" si="0"/>
        <v>1</v>
      </c>
      <c r="N9" s="13">
        <f t="shared" si="0"/>
        <v>1</v>
      </c>
      <c r="O9" s="14"/>
      <c r="P9" s="13"/>
      <c r="Q9" s="13">
        <f t="shared" ref="Q9:U11" si="1">C9/$C9</f>
        <v>1</v>
      </c>
      <c r="R9" s="13">
        <f t="shared" si="1"/>
        <v>2.0797398431931575</v>
      </c>
      <c r="S9" s="13">
        <f t="shared" si="1"/>
        <v>4.1938639140617049</v>
      </c>
      <c r="T9" s="13">
        <f t="shared" si="1"/>
        <v>4.3135564097342431</v>
      </c>
      <c r="U9" s="13">
        <f t="shared" si="1"/>
        <v>8.0034778790347207</v>
      </c>
    </row>
    <row r="10" spans="2:23" ht="14.25" customHeight="1" x14ac:dyDescent="0.2">
      <c r="B10" s="5" t="s">
        <v>13</v>
      </c>
      <c r="C10" s="207">
        <v>186103</v>
      </c>
      <c r="D10" s="207">
        <v>382735</v>
      </c>
      <c r="E10" s="207">
        <v>684875</v>
      </c>
      <c r="F10" s="207">
        <v>675423</v>
      </c>
      <c r="G10" s="207">
        <v>1247936</v>
      </c>
      <c r="H10" s="22"/>
      <c r="I10" s="23"/>
      <c r="J10" s="181">
        <f t="shared" si="0"/>
        <v>0.59217174931269723</v>
      </c>
      <c r="K10" s="181">
        <f t="shared" si="0"/>
        <v>0.58557628166290288</v>
      </c>
      <c r="L10" s="181">
        <f t="shared" si="0"/>
        <v>0.51962649865631172</v>
      </c>
      <c r="M10" s="181">
        <f t="shared" si="0"/>
        <v>0.49823550673856437</v>
      </c>
      <c r="N10" s="181">
        <f t="shared" si="0"/>
        <v>0.496144149989524</v>
      </c>
      <c r="O10" s="19"/>
      <c r="P10" s="18"/>
      <c r="Q10" s="181">
        <f t="shared" si="1"/>
        <v>1</v>
      </c>
      <c r="R10" s="181">
        <f t="shared" si="1"/>
        <v>2.0565761970521699</v>
      </c>
      <c r="S10" s="181">
        <f t="shared" si="1"/>
        <v>3.6800857589614355</v>
      </c>
      <c r="T10" s="181">
        <f t="shared" si="1"/>
        <v>3.6292966797955972</v>
      </c>
      <c r="U10" s="181">
        <f t="shared" si="1"/>
        <v>6.7056200061256401</v>
      </c>
    </row>
    <row r="11" spans="2:23" ht="15" x14ac:dyDescent="0.2">
      <c r="B11" s="53" t="s">
        <v>14</v>
      </c>
      <c r="C11" s="208">
        <f>C9-C10</f>
        <v>128169</v>
      </c>
      <c r="D11" s="208">
        <f>D9-D10</f>
        <v>270869</v>
      </c>
      <c r="E11" s="208">
        <f>E9-E10</f>
        <v>633139</v>
      </c>
      <c r="F11" s="208">
        <f>F9-F10</f>
        <v>680207</v>
      </c>
      <c r="G11" s="208">
        <f>G9-G10</f>
        <v>1267333</v>
      </c>
      <c r="H11" s="25"/>
      <c r="I11" s="24"/>
      <c r="J11" s="16">
        <f t="shared" si="0"/>
        <v>0.40782825068730272</v>
      </c>
      <c r="K11" s="16">
        <f t="shared" si="0"/>
        <v>0.41442371833709707</v>
      </c>
      <c r="L11" s="16">
        <f t="shared" si="0"/>
        <v>0.48037350134368828</v>
      </c>
      <c r="M11" s="16">
        <f t="shared" si="0"/>
        <v>0.50176449326143568</v>
      </c>
      <c r="N11" s="16">
        <f t="shared" si="0"/>
        <v>0.50385585001047606</v>
      </c>
      <c r="O11" s="17"/>
      <c r="P11" s="16"/>
      <c r="Q11" s="16">
        <f t="shared" si="1"/>
        <v>1</v>
      </c>
      <c r="R11" s="16">
        <f t="shared" si="1"/>
        <v>2.11337374872239</v>
      </c>
      <c r="S11" s="16">
        <f t="shared" si="1"/>
        <v>4.9398762571292592</v>
      </c>
      <c r="T11" s="16">
        <f t="shared" si="1"/>
        <v>5.3071101436384769</v>
      </c>
      <c r="U11" s="16">
        <f t="shared" si="1"/>
        <v>9.8879838338443768</v>
      </c>
    </row>
    <row r="12" spans="2:23" ht="6" customHeight="1" x14ac:dyDescent="0.2">
      <c r="B12" s="5"/>
      <c r="C12" s="209"/>
      <c r="D12" s="209"/>
      <c r="E12" s="209"/>
      <c r="F12" s="209"/>
      <c r="G12" s="209"/>
      <c r="H12" s="28"/>
      <c r="I12" s="27"/>
      <c r="J12" s="18"/>
      <c r="K12" s="18"/>
      <c r="L12" s="18"/>
      <c r="M12" s="18"/>
      <c r="N12" s="18"/>
      <c r="O12" s="19"/>
      <c r="P12" s="18"/>
      <c r="Q12" s="18"/>
      <c r="R12" s="18"/>
      <c r="S12" s="18"/>
      <c r="T12" s="18"/>
      <c r="U12" s="18"/>
    </row>
    <row r="13" spans="2:23" ht="15" x14ac:dyDescent="0.2">
      <c r="B13" s="5" t="s">
        <v>15</v>
      </c>
      <c r="C13" s="209"/>
      <c r="D13" s="209"/>
      <c r="E13" s="209"/>
      <c r="F13" s="209"/>
      <c r="G13" s="209"/>
      <c r="H13" s="28"/>
      <c r="I13" s="27"/>
      <c r="J13" s="18"/>
      <c r="K13" s="18"/>
      <c r="L13" s="18"/>
      <c r="M13" s="18"/>
      <c r="N13" s="18"/>
      <c r="O13" s="19"/>
      <c r="P13" s="18"/>
      <c r="Q13" s="183"/>
      <c r="R13" s="18"/>
      <c r="S13" s="18"/>
      <c r="T13" s="18"/>
      <c r="U13" s="18"/>
    </row>
    <row r="14" spans="2:23" ht="15" x14ac:dyDescent="0.2">
      <c r="B14" s="5" t="s">
        <v>269</v>
      </c>
      <c r="C14" s="209">
        <v>132259</v>
      </c>
      <c r="D14" s="209">
        <v>428670</v>
      </c>
      <c r="E14" s="209">
        <v>366773</v>
      </c>
      <c r="F14" s="209">
        <v>524479</v>
      </c>
      <c r="G14" s="209">
        <v>798810</v>
      </c>
      <c r="H14" s="34"/>
      <c r="I14" s="33"/>
      <c r="J14" s="18">
        <f t="shared" ref="J14:N16" si="2">C14/C$9</f>
        <v>0.42084245494348843</v>
      </c>
      <c r="K14" s="18">
        <f t="shared" si="2"/>
        <v>0.65585583931554892</v>
      </c>
      <c r="L14" s="18">
        <f t="shared" si="2"/>
        <v>0.27827701374947461</v>
      </c>
      <c r="M14" s="18">
        <f t="shared" si="2"/>
        <v>0.38688949049519411</v>
      </c>
      <c r="N14" s="18">
        <f t="shared" si="2"/>
        <v>0.31758432199498343</v>
      </c>
      <c r="O14" s="19"/>
      <c r="P14" s="18"/>
      <c r="Q14" s="18">
        <f t="shared" ref="Q14:U16" si="3">C14/$C14</f>
        <v>1</v>
      </c>
      <c r="R14" s="18">
        <f t="shared" si="3"/>
        <v>3.2411404894940987</v>
      </c>
      <c r="S14" s="18">
        <f t="shared" si="3"/>
        <v>2.7731420924095902</v>
      </c>
      <c r="T14" s="18">
        <f t="shared" si="3"/>
        <v>3.9655448778533029</v>
      </c>
      <c r="U14" s="18">
        <f t="shared" si="3"/>
        <v>6.039740206715611</v>
      </c>
    </row>
    <row r="15" spans="2:23" ht="15" x14ac:dyDescent="0.2">
      <c r="B15" s="5" t="s">
        <v>270</v>
      </c>
      <c r="C15" s="209"/>
      <c r="D15" s="209"/>
      <c r="E15" s="209"/>
      <c r="F15" s="209"/>
      <c r="G15" s="209">
        <v>327461</v>
      </c>
      <c r="H15" s="34"/>
      <c r="I15" s="33"/>
      <c r="J15" s="18">
        <f t="shared" si="2"/>
        <v>0</v>
      </c>
      <c r="K15" s="18">
        <f t="shared" si="2"/>
        <v>0</v>
      </c>
      <c r="L15" s="18">
        <f t="shared" si="2"/>
        <v>0</v>
      </c>
      <c r="M15" s="18">
        <f t="shared" si="2"/>
        <v>0</v>
      </c>
      <c r="N15" s="18">
        <f t="shared" si="2"/>
        <v>0.13018925609944701</v>
      </c>
      <c r="O15" s="19"/>
      <c r="P15" s="18"/>
      <c r="Q15" s="18"/>
      <c r="R15" s="18"/>
      <c r="S15" s="18"/>
      <c r="T15" s="18"/>
      <c r="U15" s="18"/>
    </row>
    <row r="16" spans="2:23" ht="15" x14ac:dyDescent="0.2">
      <c r="B16" s="52" t="s">
        <v>20</v>
      </c>
      <c r="C16" s="210">
        <f>+C14+C15</f>
        <v>132259</v>
      </c>
      <c r="D16" s="210">
        <f>+D14+D15</f>
        <v>428670</v>
      </c>
      <c r="E16" s="210">
        <f>+E14+E15</f>
        <v>366773</v>
      </c>
      <c r="F16" s="210">
        <f>+F14+F15</f>
        <v>524479</v>
      </c>
      <c r="G16" s="210">
        <f>+G14+G15</f>
        <v>1126271</v>
      </c>
      <c r="H16" s="34"/>
      <c r="I16" s="33"/>
      <c r="J16" s="181">
        <f t="shared" si="2"/>
        <v>0.42084245494348843</v>
      </c>
      <c r="K16" s="181">
        <f t="shared" si="2"/>
        <v>0.65585583931554892</v>
      </c>
      <c r="L16" s="181">
        <f t="shared" si="2"/>
        <v>0.27827701374947461</v>
      </c>
      <c r="M16" s="181">
        <f t="shared" si="2"/>
        <v>0.38688949049519411</v>
      </c>
      <c r="N16" s="181">
        <f t="shared" si="2"/>
        <v>0.44777357809443047</v>
      </c>
      <c r="O16" s="19"/>
      <c r="P16" s="18"/>
      <c r="Q16" s="181">
        <f t="shared" si="3"/>
        <v>1</v>
      </c>
      <c r="R16" s="181">
        <f t="shared" si="3"/>
        <v>3.2411404894940987</v>
      </c>
      <c r="S16" s="181">
        <f t="shared" si="3"/>
        <v>2.7731420924095902</v>
      </c>
      <c r="T16" s="181">
        <f t="shared" si="3"/>
        <v>3.9655448778533029</v>
      </c>
      <c r="U16" s="181">
        <f t="shared" si="3"/>
        <v>8.515647328348166</v>
      </c>
    </row>
    <row r="17" spans="2:21" ht="6.75" customHeight="1" x14ac:dyDescent="0.2">
      <c r="B17" s="5"/>
      <c r="C17" s="209"/>
      <c r="D17" s="209"/>
      <c r="E17" s="209"/>
      <c r="F17" s="209"/>
      <c r="G17" s="209"/>
      <c r="H17" s="36"/>
      <c r="I17" s="35"/>
      <c r="J17" s="18"/>
      <c r="K17" s="18"/>
      <c r="L17" s="18"/>
      <c r="M17" s="18"/>
      <c r="N17" s="18"/>
      <c r="O17" s="19"/>
      <c r="P17" s="18"/>
      <c r="Q17" s="18"/>
      <c r="R17" s="18"/>
      <c r="S17" s="18"/>
      <c r="T17" s="18"/>
      <c r="U17" s="18"/>
    </row>
    <row r="18" spans="2:21" ht="15" x14ac:dyDescent="0.2">
      <c r="B18" s="10" t="s">
        <v>21</v>
      </c>
      <c r="C18" s="206">
        <f>C11-C16</f>
        <v>-4090</v>
      </c>
      <c r="D18" s="206">
        <f>D11-D16</f>
        <v>-157801</v>
      </c>
      <c r="E18" s="206">
        <f>E11-E16</f>
        <v>266366</v>
      </c>
      <c r="F18" s="206">
        <f>F11-F16</f>
        <v>155728</v>
      </c>
      <c r="G18" s="206">
        <f>G11-G16</f>
        <v>141062</v>
      </c>
      <c r="H18" s="38"/>
      <c r="I18" s="37"/>
      <c r="J18" s="16">
        <f t="shared" ref="J18:N22" si="4">C18/C$9</f>
        <v>-1.3014204256185725E-2</v>
      </c>
      <c r="K18" s="16">
        <f t="shared" si="4"/>
        <v>-0.24143212097845179</v>
      </c>
      <c r="L18" s="16">
        <f t="shared" si="4"/>
        <v>0.20209648759421373</v>
      </c>
      <c r="M18" s="16">
        <f t="shared" si="4"/>
        <v>0.11487500276624153</v>
      </c>
      <c r="N18" s="16">
        <f t="shared" si="4"/>
        <v>5.6082271916045562E-2</v>
      </c>
      <c r="O18" s="17"/>
      <c r="P18" s="16"/>
      <c r="Q18" s="16">
        <f t="shared" ref="Q18:U20" si="5">C18/$C18</f>
        <v>1</v>
      </c>
      <c r="R18" s="16">
        <f t="shared" si="5"/>
        <v>38.582151589242052</v>
      </c>
      <c r="S18" s="16">
        <f t="shared" si="5"/>
        <v>-65.126161369193156</v>
      </c>
      <c r="T18" s="16">
        <f t="shared" si="5"/>
        <v>-38.075305623471884</v>
      </c>
      <c r="U18" s="16">
        <f t="shared" si="5"/>
        <v>-34.489486552567236</v>
      </c>
    </row>
    <row r="19" spans="2:21" ht="15" x14ac:dyDescent="0.2">
      <c r="B19" s="5" t="s">
        <v>271</v>
      </c>
      <c r="C19" s="209">
        <v>315</v>
      </c>
      <c r="D19" s="209">
        <v>237</v>
      </c>
      <c r="E19" s="209">
        <v>26629</v>
      </c>
      <c r="F19" s="209">
        <v>39263</v>
      </c>
      <c r="G19" s="209">
        <v>21085</v>
      </c>
      <c r="H19" s="17"/>
      <c r="I19" s="16"/>
      <c r="J19" s="18">
        <f t="shared" si="4"/>
        <v>1.0023164647184604E-3</v>
      </c>
      <c r="K19" s="18">
        <f t="shared" si="4"/>
        <v>3.6260488001909415E-4</v>
      </c>
      <c r="L19" s="18">
        <f t="shared" si="4"/>
        <v>2.0203882508076546E-2</v>
      </c>
      <c r="M19" s="18">
        <f t="shared" si="4"/>
        <v>2.8962917610262387E-2</v>
      </c>
      <c r="N19" s="18">
        <f t="shared" si="4"/>
        <v>8.3828012033702951E-3</v>
      </c>
      <c r="O19" s="19"/>
      <c r="P19" s="18"/>
      <c r="Q19" s="18">
        <f t="shared" si="5"/>
        <v>1</v>
      </c>
      <c r="R19" s="18">
        <f t="shared" si="5"/>
        <v>0.75238095238095237</v>
      </c>
      <c r="S19" s="18">
        <f t="shared" si="5"/>
        <v>84.536507936507931</v>
      </c>
      <c r="T19" s="18">
        <f t="shared" si="5"/>
        <v>124.64444444444445</v>
      </c>
      <c r="U19" s="18">
        <f t="shared" si="5"/>
        <v>66.936507936507937</v>
      </c>
    </row>
    <row r="20" spans="2:21" ht="15" x14ac:dyDescent="0.2">
      <c r="B20" s="5" t="s">
        <v>272</v>
      </c>
      <c r="C20" s="209">
        <v>8</v>
      </c>
      <c r="D20" s="209">
        <v>-5292</v>
      </c>
      <c r="E20" s="209"/>
      <c r="F20" s="209"/>
      <c r="G20" s="209">
        <v>48977</v>
      </c>
      <c r="H20" s="17"/>
      <c r="I20" s="16"/>
      <c r="J20" s="18">
        <f t="shared" si="4"/>
        <v>2.5455656246818042E-5</v>
      </c>
      <c r="K20" s="18">
        <f t="shared" si="4"/>
        <v>-8.0966456753630636E-3</v>
      </c>
      <c r="L20" s="18">
        <f t="shared" si="4"/>
        <v>0</v>
      </c>
      <c r="M20" s="18">
        <f t="shared" si="4"/>
        <v>0</v>
      </c>
      <c r="N20" s="18">
        <f t="shared" si="4"/>
        <v>1.9471873584892909E-2</v>
      </c>
      <c r="O20" s="19"/>
      <c r="P20" s="18"/>
      <c r="Q20" s="18">
        <f t="shared" si="5"/>
        <v>1</v>
      </c>
      <c r="R20" s="18">
        <f t="shared" si="5"/>
        <v>-661.5</v>
      </c>
      <c r="S20" s="18">
        <f t="shared" si="5"/>
        <v>0</v>
      </c>
      <c r="T20" s="18">
        <f t="shared" si="5"/>
        <v>0</v>
      </c>
      <c r="U20" s="18">
        <f t="shared" si="5"/>
        <v>6122.125</v>
      </c>
    </row>
    <row r="21" spans="2:21" ht="15" x14ac:dyDescent="0.2">
      <c r="B21" s="5" t="s">
        <v>273</v>
      </c>
      <c r="C21" s="209"/>
      <c r="D21" s="209"/>
      <c r="E21" s="209"/>
      <c r="F21" s="209"/>
      <c r="G21" s="209"/>
      <c r="H21" s="17"/>
      <c r="I21" s="16"/>
      <c r="J21" s="18">
        <f t="shared" si="4"/>
        <v>0</v>
      </c>
      <c r="K21" s="18">
        <f t="shared" si="4"/>
        <v>0</v>
      </c>
      <c r="L21" s="18">
        <f t="shared" si="4"/>
        <v>0</v>
      </c>
      <c r="M21" s="18">
        <f t="shared" si="4"/>
        <v>0</v>
      </c>
      <c r="N21" s="18">
        <f t="shared" si="4"/>
        <v>0</v>
      </c>
      <c r="O21" s="19"/>
      <c r="P21" s="18"/>
      <c r="Q21" s="18"/>
      <c r="R21" s="18"/>
      <c r="S21" s="18"/>
      <c r="T21" s="18"/>
      <c r="U21" s="18"/>
    </row>
    <row r="22" spans="2:21" ht="15" x14ac:dyDescent="0.2">
      <c r="B22" s="5" t="s">
        <v>274</v>
      </c>
      <c r="C22" s="210"/>
      <c r="D22" s="210">
        <v>-392</v>
      </c>
      <c r="E22" s="210">
        <v>-1246</v>
      </c>
      <c r="F22" s="210">
        <v>59</v>
      </c>
      <c r="G22" s="210">
        <v>11863</v>
      </c>
      <c r="H22" s="17"/>
      <c r="I22" s="16"/>
      <c r="J22" s="181">
        <f t="shared" si="4"/>
        <v>0</v>
      </c>
      <c r="K22" s="181">
        <f t="shared" si="4"/>
        <v>-5.9975153150837511E-4</v>
      </c>
      <c r="L22" s="181">
        <f t="shared" si="4"/>
        <v>-9.4536173363864119E-4</v>
      </c>
      <c r="M22" s="181">
        <f t="shared" si="4"/>
        <v>4.3522200010327305E-5</v>
      </c>
      <c r="N22" s="181">
        <f t="shared" si="4"/>
        <v>4.7163941510828464E-3</v>
      </c>
      <c r="O22" s="19"/>
      <c r="P22" s="18"/>
      <c r="Q22" s="181"/>
      <c r="R22" s="181"/>
      <c r="S22" s="181"/>
      <c r="T22" s="181"/>
      <c r="U22" s="181"/>
    </row>
    <row r="23" spans="2:21" ht="6.75" customHeight="1" x14ac:dyDescent="0.2">
      <c r="B23" s="5"/>
      <c r="C23" s="209"/>
      <c r="D23" s="209"/>
      <c r="E23" s="209"/>
      <c r="F23" s="209"/>
      <c r="G23" s="209"/>
      <c r="H23" s="32"/>
      <c r="I23" s="31"/>
      <c r="J23" s="18"/>
      <c r="K23" s="18"/>
      <c r="L23" s="18"/>
      <c r="M23" s="18"/>
      <c r="N23" s="18"/>
      <c r="O23" s="19"/>
      <c r="P23" s="18"/>
      <c r="Q23" s="18"/>
      <c r="R23" s="18"/>
      <c r="S23" s="18"/>
      <c r="T23" s="18"/>
      <c r="U23" s="18"/>
    </row>
    <row r="24" spans="2:21" ht="15" x14ac:dyDescent="0.2">
      <c r="B24" s="5" t="s">
        <v>24</v>
      </c>
      <c r="C24" s="206">
        <f>C18+C19-C20+C21+C22</f>
        <v>-3783</v>
      </c>
      <c r="D24" s="206">
        <f>D18+D19-D20+D21+D22</f>
        <v>-152664</v>
      </c>
      <c r="E24" s="206">
        <f>E18+E19-E20+E21+E22</f>
        <v>291749</v>
      </c>
      <c r="F24" s="206">
        <f>F18+F19-F20+F21+F22</f>
        <v>195050</v>
      </c>
      <c r="G24" s="206">
        <f>G18+G19-G20+G21+G22</f>
        <v>125033</v>
      </c>
      <c r="H24" s="32"/>
      <c r="I24" s="31"/>
      <c r="J24" s="16">
        <f t="shared" ref="J24:N26" si="6">C24/C$9</f>
        <v>-1.2037343447714082E-2</v>
      </c>
      <c r="K24" s="16">
        <f t="shared" si="6"/>
        <v>-0.23357262195457801</v>
      </c>
      <c r="L24" s="16">
        <f t="shared" si="6"/>
        <v>0.22135500836865163</v>
      </c>
      <c r="M24" s="16">
        <f t="shared" si="6"/>
        <v>0.14388144257651425</v>
      </c>
      <c r="N24" s="16">
        <f t="shared" si="6"/>
        <v>4.9709593685605791E-2</v>
      </c>
      <c r="O24" s="19"/>
      <c r="P24" s="18"/>
      <c r="Q24" s="16">
        <f t="shared" ref="Q24:U26" si="7">C24/$C24</f>
        <v>1</v>
      </c>
      <c r="R24" s="16">
        <f t="shared" si="7"/>
        <v>40.355273592386993</v>
      </c>
      <c r="S24" s="16">
        <f t="shared" si="7"/>
        <v>-77.121067935500932</v>
      </c>
      <c r="T24" s="16">
        <f t="shared" si="7"/>
        <v>-51.559608776103623</v>
      </c>
      <c r="U24" s="16">
        <f t="shared" si="7"/>
        <v>-33.051282051282051</v>
      </c>
    </row>
    <row r="25" spans="2:21" ht="15" x14ac:dyDescent="0.2">
      <c r="B25" s="5" t="s">
        <v>25</v>
      </c>
      <c r="C25" s="209">
        <v>-7996</v>
      </c>
      <c r="D25" s="209">
        <v>34618</v>
      </c>
      <c r="E25" s="209">
        <v>64948</v>
      </c>
      <c r="F25" s="209">
        <v>49976</v>
      </c>
      <c r="G25" s="209">
        <v>17034</v>
      </c>
      <c r="H25" s="34"/>
      <c r="I25" s="33"/>
      <c r="J25" s="18">
        <f t="shared" si="6"/>
        <v>-2.5442928418694635E-2</v>
      </c>
      <c r="K25" s="18">
        <f t="shared" si="6"/>
        <v>5.2964792137135022E-2</v>
      </c>
      <c r="L25" s="18">
        <f t="shared" si="6"/>
        <v>4.9277170045234728E-2</v>
      </c>
      <c r="M25" s="18">
        <f t="shared" si="6"/>
        <v>3.6865516401968092E-2</v>
      </c>
      <c r="N25" s="18">
        <f t="shared" si="6"/>
        <v>6.7722378799245728E-3</v>
      </c>
      <c r="O25" s="19"/>
      <c r="P25" s="18"/>
      <c r="Q25" s="18">
        <f t="shared" si="7"/>
        <v>1</v>
      </c>
      <c r="R25" s="18">
        <f t="shared" si="7"/>
        <v>-4.3294147073536768</v>
      </c>
      <c r="S25" s="18">
        <f t="shared" si="7"/>
        <v>-8.1225612806403209</v>
      </c>
      <c r="T25" s="18">
        <f t="shared" si="7"/>
        <v>-6.2501250625312652</v>
      </c>
      <c r="U25" s="18">
        <f t="shared" si="7"/>
        <v>-2.1303151575787895</v>
      </c>
    </row>
    <row r="26" spans="2:21" ht="15" x14ac:dyDescent="0.2">
      <c r="B26" s="5" t="s">
        <v>26</v>
      </c>
      <c r="C26" s="209">
        <f>C25/C24</f>
        <v>2.1136664023261962</v>
      </c>
      <c r="D26" s="209">
        <f>D25/D24</f>
        <v>-0.22675941937850444</v>
      </c>
      <c r="E26" s="209">
        <f>E25/E24</f>
        <v>0.22261601582181945</v>
      </c>
      <c r="F26" s="209">
        <f>F25/F24</f>
        <v>0.25622148167136632</v>
      </c>
      <c r="G26" s="209">
        <f>G25/G24</f>
        <v>0.1362360336871066</v>
      </c>
      <c r="H26" s="19"/>
      <c r="I26" s="18"/>
      <c r="J26" s="18">
        <f t="shared" si="6"/>
        <v>6.7255956697580317E-6</v>
      </c>
      <c r="K26" s="18">
        <f t="shared" si="6"/>
        <v>-3.4693701289848969E-7</v>
      </c>
      <c r="L26" s="18">
        <f t="shared" si="6"/>
        <v>1.6890261850163917E-7</v>
      </c>
      <c r="M26" s="18">
        <f t="shared" si="6"/>
        <v>1.8900546732616297E-7</v>
      </c>
      <c r="N26" s="18">
        <f t="shared" si="6"/>
        <v>5.4163603847980715E-8</v>
      </c>
      <c r="O26" s="19"/>
      <c r="P26" s="18"/>
      <c r="Q26" s="18">
        <f t="shared" si="7"/>
        <v>1</v>
      </c>
      <c r="R26" s="18">
        <f t="shared" si="7"/>
        <v>-0.10728250168945501</v>
      </c>
      <c r="S26" s="18">
        <f t="shared" si="7"/>
        <v>0.10532220958653614</v>
      </c>
      <c r="T26" s="18">
        <f t="shared" si="7"/>
        <v>0.12122134381725598</v>
      </c>
      <c r="U26" s="18">
        <f t="shared" si="7"/>
        <v>6.4454841850715885E-2</v>
      </c>
    </row>
    <row r="27" spans="2:21" ht="9" customHeight="1" x14ac:dyDescent="0.2">
      <c r="B27" s="5"/>
      <c r="C27" s="209"/>
      <c r="D27" s="209"/>
      <c r="E27" s="209"/>
      <c r="F27" s="209"/>
      <c r="G27" s="209"/>
      <c r="H27" s="32"/>
      <c r="I27" s="31"/>
      <c r="J27" s="18"/>
      <c r="K27" s="18"/>
      <c r="L27" s="18"/>
      <c r="M27" s="18"/>
      <c r="N27" s="18"/>
      <c r="O27" s="19"/>
      <c r="P27" s="18"/>
      <c r="Q27" s="18"/>
      <c r="R27" s="18"/>
      <c r="S27" s="18"/>
      <c r="T27" s="18"/>
      <c r="U27" s="18"/>
    </row>
    <row r="28" spans="2:21" ht="16" thickBot="1" x14ac:dyDescent="0.25">
      <c r="B28" s="10" t="s">
        <v>27</v>
      </c>
      <c r="C28" s="211">
        <f>C24-C25</f>
        <v>4213</v>
      </c>
      <c r="D28" s="211">
        <f>D24-D25</f>
        <v>-187282</v>
      </c>
      <c r="E28" s="211">
        <f>E24-E25</f>
        <v>226801</v>
      </c>
      <c r="F28" s="211">
        <f>F24-F25</f>
        <v>145074</v>
      </c>
      <c r="G28" s="211">
        <f>G24-G25</f>
        <v>107999</v>
      </c>
      <c r="H28" s="38"/>
      <c r="I28" s="37"/>
      <c r="J28" s="182">
        <f>C28/C$9</f>
        <v>1.3405584970980551E-2</v>
      </c>
      <c r="K28" s="182">
        <f>D28/D$9</f>
        <v>-0.28653741409171302</v>
      </c>
      <c r="L28" s="182">
        <f>E28/E$9</f>
        <v>0.17207783832341689</v>
      </c>
      <c r="M28" s="182">
        <f>F28/F$9</f>
        <v>0.10701592617454615</v>
      </c>
      <c r="N28" s="182">
        <f>G28/G$9</f>
        <v>4.293735580568122E-2</v>
      </c>
      <c r="O28" s="17"/>
      <c r="P28" s="16"/>
      <c r="Q28" s="182">
        <f>C28/$C28</f>
        <v>1</v>
      </c>
      <c r="R28" s="182">
        <f>D28/$C28</f>
        <v>-44.453358651792072</v>
      </c>
      <c r="S28" s="182">
        <f>E28/$C28</f>
        <v>53.833610253975792</v>
      </c>
      <c r="T28" s="182">
        <f>F28/$C28</f>
        <v>34.434844528839307</v>
      </c>
      <c r="U28" s="182">
        <f>G28/$C28</f>
        <v>25.634702112508901</v>
      </c>
    </row>
    <row r="29" spans="2:21" ht="9.75" customHeight="1" thickTop="1" x14ac:dyDescent="0.2">
      <c r="B29" s="5"/>
      <c r="C29" s="31"/>
      <c r="D29" s="31"/>
      <c r="E29" s="31"/>
      <c r="F29" s="31"/>
      <c r="G29" s="31"/>
      <c r="H29" s="32"/>
      <c r="I29" s="31"/>
      <c r="J29" s="18"/>
      <c r="K29" s="18"/>
      <c r="L29" s="18"/>
      <c r="M29" s="18"/>
      <c r="N29" s="18"/>
      <c r="O29" s="19"/>
      <c r="P29" s="18"/>
      <c r="Q29" s="20"/>
      <c r="R29" s="20"/>
      <c r="S29" s="20"/>
      <c r="T29" s="20"/>
      <c r="U29" s="20"/>
    </row>
    <row r="30" spans="2:21" ht="15" x14ac:dyDescent="0.2">
      <c r="B30" s="10" t="s">
        <v>118</v>
      </c>
      <c r="C30" s="31">
        <f>74909000/1000</f>
        <v>74909</v>
      </c>
      <c r="D30" s="31">
        <f>76382000/1000</f>
        <v>76382</v>
      </c>
      <c r="E30" s="31">
        <f>231787482/1000</f>
        <v>231787.48199999999</v>
      </c>
      <c r="F30" s="31">
        <f>235014000/1000</f>
        <v>235014</v>
      </c>
      <c r="G30" s="31">
        <f>256906000/1000</f>
        <v>256906</v>
      </c>
      <c r="H30" s="40"/>
      <c r="I30" s="39"/>
      <c r="J30" s="18"/>
      <c r="K30" s="18"/>
      <c r="L30" s="18"/>
      <c r="M30" s="18"/>
      <c r="N30" s="18"/>
      <c r="O30" s="19"/>
      <c r="P30" s="18"/>
      <c r="Q30" s="20"/>
      <c r="R30" s="20"/>
      <c r="S30" s="20"/>
      <c r="T30" s="20"/>
      <c r="U30" s="20"/>
    </row>
    <row r="31" spans="2:21" ht="15" x14ac:dyDescent="0.2">
      <c r="B31" s="53" t="s">
        <v>30</v>
      </c>
      <c r="C31" s="41">
        <v>24.86</v>
      </c>
      <c r="D31" s="41">
        <v>34.68</v>
      </c>
      <c r="E31" s="41">
        <v>54.52</v>
      </c>
      <c r="F31" s="41">
        <v>26.34</v>
      </c>
      <c r="G31" s="41">
        <v>45.74</v>
      </c>
      <c r="H31" s="42"/>
      <c r="I31" s="41"/>
      <c r="J31" s="18"/>
      <c r="K31" s="18"/>
      <c r="L31" s="18"/>
      <c r="M31" s="18"/>
      <c r="N31" s="18"/>
      <c r="O31" s="19"/>
      <c r="P31" s="18"/>
      <c r="Q31" s="20"/>
      <c r="R31" s="20"/>
      <c r="S31" s="20"/>
      <c r="T31" s="20"/>
      <c r="U31" s="20"/>
    </row>
    <row r="32" spans="2:21" ht="15" x14ac:dyDescent="0.2">
      <c r="B32" s="52"/>
      <c r="C32" s="41"/>
      <c r="D32" s="41"/>
      <c r="E32" s="41"/>
      <c r="F32" s="41"/>
      <c r="G32" s="41"/>
      <c r="H32" s="42"/>
      <c r="I32" s="41"/>
      <c r="J32" s="18"/>
      <c r="K32" s="18"/>
      <c r="L32" s="18"/>
      <c r="M32" s="18"/>
      <c r="N32" s="18"/>
      <c r="O32" s="19"/>
      <c r="P32" s="18"/>
      <c r="Q32" s="20"/>
      <c r="R32" s="20"/>
      <c r="S32" s="20"/>
      <c r="T32" s="20"/>
      <c r="U32" s="20"/>
    </row>
    <row r="33" spans="2:22" ht="8.25" customHeight="1" x14ac:dyDescent="0.2">
      <c r="B33" s="43"/>
      <c r="C33" s="44"/>
      <c r="D33" s="44"/>
      <c r="E33" s="44"/>
      <c r="F33" s="44"/>
      <c r="G33" s="44"/>
      <c r="H33" s="44"/>
      <c r="I33" s="44"/>
      <c r="J33" s="45"/>
      <c r="K33" s="45"/>
      <c r="L33" s="45"/>
      <c r="M33" s="45"/>
      <c r="N33" s="45"/>
      <c r="O33" s="44"/>
      <c r="P33" s="44"/>
      <c r="Q33" s="46"/>
      <c r="R33" s="46"/>
      <c r="S33" s="46"/>
      <c r="T33" s="46"/>
      <c r="U33" s="46"/>
    </row>
    <row r="34" spans="2:22" ht="15" x14ac:dyDescent="0.2">
      <c r="B34" s="1"/>
      <c r="C34" s="54"/>
      <c r="D34" s="54"/>
      <c r="E34" s="54"/>
      <c r="F34" s="54"/>
      <c r="G34" s="54"/>
      <c r="H34" s="54"/>
      <c r="I34" s="54"/>
      <c r="J34" s="69"/>
      <c r="K34" s="69"/>
      <c r="L34" s="69"/>
      <c r="M34" s="69"/>
      <c r="N34" s="69"/>
      <c r="O34" s="69"/>
      <c r="P34" s="69"/>
      <c r="Q34" s="70"/>
      <c r="R34" s="70"/>
      <c r="S34" s="70"/>
      <c r="T34" s="70"/>
      <c r="U34" s="70"/>
    </row>
    <row r="35" spans="2:22" ht="15" x14ac:dyDescent="0.2">
      <c r="B35" s="5" t="s">
        <v>119</v>
      </c>
      <c r="C35" s="209">
        <f>'Celsius Holdings, Inc.'!B104</f>
        <v>1264</v>
      </c>
      <c r="D35" s="209">
        <f>'Celsius Holdings, Inc.'!C104</f>
        <v>1917</v>
      </c>
      <c r="E35" s="209">
        <f>'Celsius Holdings, Inc.'!D104</f>
        <v>3226</v>
      </c>
      <c r="F35" s="209">
        <f>'Celsius Holdings, Inc.'!E104</f>
        <v>7274</v>
      </c>
      <c r="G35" s="209">
        <f>'Celsius Holdings, Inc.'!F104</f>
        <v>29451</v>
      </c>
    </row>
    <row r="36" spans="2:22" ht="15" x14ac:dyDescent="0.2">
      <c r="B36" s="5" t="s">
        <v>120</v>
      </c>
      <c r="C36" s="209"/>
      <c r="D36" s="209"/>
      <c r="E36" s="209"/>
      <c r="F36" s="209"/>
      <c r="G36" s="209"/>
    </row>
    <row r="37" spans="2:22" ht="15" x14ac:dyDescent="0.2">
      <c r="B37" s="5" t="s">
        <v>121</v>
      </c>
      <c r="C37" s="209"/>
      <c r="D37" s="209"/>
      <c r="E37" s="209"/>
      <c r="F37" s="209"/>
      <c r="G37" s="209"/>
    </row>
    <row r="38" spans="2:22" ht="15" x14ac:dyDescent="0.2">
      <c r="B38" s="5" t="s">
        <v>122</v>
      </c>
      <c r="C38" s="209"/>
      <c r="D38" s="209"/>
      <c r="E38" s="209"/>
      <c r="F38" s="209"/>
      <c r="G38" s="209"/>
    </row>
    <row r="39" spans="2:22" ht="15" x14ac:dyDescent="0.2">
      <c r="B39"/>
      <c r="C39" s="191"/>
      <c r="D39" s="191"/>
      <c r="E39" s="191"/>
    </row>
    <row r="40" spans="2:22" ht="17.25" customHeight="1" x14ac:dyDescent="0.25"/>
    <row r="41" spans="2:22" ht="18" x14ac:dyDescent="0.2">
      <c r="B41" s="627" t="s">
        <v>487</v>
      </c>
      <c r="C41" s="627"/>
      <c r="D41" s="627"/>
      <c r="E41" s="627"/>
      <c r="F41" s="627"/>
      <c r="G41" s="627"/>
      <c r="H41" s="627"/>
      <c r="I41" s="627"/>
      <c r="J41" s="627"/>
      <c r="K41" s="627"/>
      <c r="L41" s="627"/>
      <c r="M41" s="627"/>
      <c r="N41" s="627"/>
      <c r="O41" s="627"/>
      <c r="P41" s="627"/>
      <c r="Q41" s="627"/>
      <c r="R41" s="627"/>
      <c r="S41" s="627"/>
      <c r="T41" s="627"/>
      <c r="U41" s="627"/>
      <c r="V41" s="627"/>
    </row>
    <row r="42" spans="2:22" ht="14.25" customHeight="1" x14ac:dyDescent="0.2">
      <c r="B42" s="630" t="s">
        <v>32</v>
      </c>
      <c r="C42" s="631"/>
      <c r="D42" s="631"/>
      <c r="E42" s="631"/>
      <c r="F42" s="631"/>
      <c r="G42" s="631"/>
      <c r="H42" s="631"/>
      <c r="I42" s="631"/>
      <c r="J42" s="631"/>
      <c r="K42" s="631"/>
      <c r="L42" s="631"/>
      <c r="M42" s="631"/>
      <c r="N42" s="631"/>
      <c r="O42" s="631"/>
      <c r="P42" s="631"/>
      <c r="Q42" s="631"/>
      <c r="R42" s="631"/>
      <c r="S42" s="631"/>
      <c r="T42" s="631"/>
      <c r="U42" s="631"/>
      <c r="V42" s="631"/>
    </row>
    <row r="43" spans="2:22" ht="16" x14ac:dyDescent="0.2">
      <c r="B43" s="632" t="s">
        <v>33</v>
      </c>
      <c r="C43" s="633"/>
      <c r="D43" s="633"/>
      <c r="E43" s="633"/>
      <c r="F43" s="633"/>
      <c r="G43" s="633"/>
      <c r="H43" s="633"/>
      <c r="I43" s="633"/>
      <c r="J43" s="633"/>
      <c r="K43" s="633"/>
      <c r="L43" s="633"/>
      <c r="M43" s="633"/>
      <c r="N43" s="633"/>
      <c r="O43" s="633"/>
      <c r="P43" s="633"/>
      <c r="Q43" s="633"/>
      <c r="R43" s="633"/>
      <c r="S43" s="633"/>
      <c r="T43" s="633"/>
      <c r="U43" s="633"/>
      <c r="V43" s="633"/>
    </row>
    <row r="44" spans="2:22" s="109" customFormat="1" ht="16" x14ac:dyDescent="0.2">
      <c r="B44" s="106" t="s">
        <v>34</v>
      </c>
      <c r="U44" s="616" t="s">
        <v>35</v>
      </c>
      <c r="V44" s="616"/>
    </row>
    <row r="45" spans="2:22" s="109" customFormat="1" ht="16" x14ac:dyDescent="0.2">
      <c r="B45" s="106" t="str">
        <f>B5</f>
        <v>FIN320 Section B</v>
      </c>
    </row>
    <row r="46" spans="2:22" ht="6" customHeight="1" x14ac:dyDescent="0.2">
      <c r="B46" s="1"/>
      <c r="U46" s="613"/>
      <c r="V46" s="613"/>
    </row>
    <row r="47" spans="2:22" ht="15" x14ac:dyDescent="0.2">
      <c r="B47" s="48"/>
      <c r="C47" s="55"/>
      <c r="D47" s="55"/>
      <c r="E47" s="55"/>
      <c r="F47" s="55"/>
      <c r="G47" s="55"/>
      <c r="H47" s="55"/>
      <c r="I47" s="55"/>
      <c r="J47" s="614" t="s">
        <v>7</v>
      </c>
      <c r="K47" s="614"/>
      <c r="L47" s="614"/>
      <c r="M47" s="614"/>
      <c r="N47" s="614"/>
      <c r="O47" s="71"/>
      <c r="P47" s="71"/>
      <c r="Q47" s="614" t="s">
        <v>8</v>
      </c>
      <c r="R47" s="614"/>
      <c r="S47" s="614"/>
      <c r="T47" s="614"/>
      <c r="U47" s="614"/>
      <c r="V47" s="71"/>
    </row>
    <row r="48" spans="2:22" ht="15" x14ac:dyDescent="0.2">
      <c r="B48" s="49"/>
      <c r="C48" s="55"/>
      <c r="D48" s="55"/>
      <c r="E48" s="55"/>
      <c r="F48" s="55"/>
      <c r="G48" s="72"/>
      <c r="H48" s="72"/>
      <c r="I48" s="72"/>
      <c r="J48" s="615" t="s">
        <v>36</v>
      </c>
      <c r="K48" s="615"/>
      <c r="L48" s="615"/>
      <c r="M48" s="615"/>
      <c r="N48" s="615"/>
      <c r="O48" s="73"/>
      <c r="P48" s="73"/>
      <c r="Q48" s="615" t="s">
        <v>275</v>
      </c>
      <c r="R48" s="615"/>
      <c r="S48" s="615"/>
      <c r="T48" s="615"/>
      <c r="U48" s="615"/>
    </row>
    <row r="49" spans="2:29" ht="15" x14ac:dyDescent="0.2">
      <c r="B49" s="131" t="s">
        <v>38</v>
      </c>
      <c r="C49" s="8">
        <v>2021</v>
      </c>
      <c r="D49" s="8">
        <v>2022</v>
      </c>
      <c r="E49" s="8">
        <v>2023</v>
      </c>
      <c r="F49" s="8">
        <v>2024</v>
      </c>
      <c r="G49" s="134">
        <v>2025</v>
      </c>
      <c r="H49" s="9"/>
      <c r="I49" s="8"/>
      <c r="J49" s="8">
        <v>2021</v>
      </c>
      <c r="K49" s="8">
        <v>2022</v>
      </c>
      <c r="L49" s="8">
        <v>2023</v>
      </c>
      <c r="M49" s="8">
        <v>2024</v>
      </c>
      <c r="N49" s="134">
        <v>2025</v>
      </c>
      <c r="O49" s="9"/>
      <c r="P49" s="8"/>
      <c r="Q49" s="8">
        <v>2021</v>
      </c>
      <c r="R49" s="8">
        <v>2022</v>
      </c>
      <c r="S49" s="8">
        <v>2023</v>
      </c>
      <c r="T49" s="8">
        <v>2024</v>
      </c>
      <c r="U49" s="134">
        <v>2025</v>
      </c>
    </row>
    <row r="50" spans="2:29" ht="15" x14ac:dyDescent="0.2">
      <c r="B50" s="50" t="s">
        <v>39</v>
      </c>
      <c r="C50" s="56"/>
      <c r="D50" s="56"/>
      <c r="E50" s="56"/>
      <c r="F50" s="56"/>
      <c r="G50" s="56"/>
      <c r="H50" s="74"/>
      <c r="I50" s="56"/>
      <c r="J50" s="75"/>
      <c r="K50" s="76"/>
      <c r="L50" s="76"/>
      <c r="M50" s="76"/>
      <c r="N50" s="76"/>
      <c r="O50" s="77"/>
      <c r="P50" s="76"/>
      <c r="Q50" s="78"/>
      <c r="R50" s="56"/>
      <c r="S50" s="56"/>
      <c r="T50" s="56"/>
      <c r="U50" s="56"/>
    </row>
    <row r="51" spans="2:29" ht="15" x14ac:dyDescent="0.2">
      <c r="B51" s="51" t="s">
        <v>40</v>
      </c>
      <c r="C51" s="56"/>
      <c r="D51" s="56"/>
      <c r="E51" s="56"/>
      <c r="F51" s="56"/>
      <c r="G51" s="56"/>
      <c r="H51" s="74"/>
      <c r="I51" s="56"/>
      <c r="J51" s="76"/>
      <c r="K51" s="76"/>
      <c r="L51" s="76"/>
      <c r="M51" s="76"/>
      <c r="N51" s="76"/>
      <c r="O51" s="77"/>
      <c r="P51" s="76"/>
      <c r="Q51" s="56"/>
      <c r="R51" s="56"/>
      <c r="S51" s="56"/>
      <c r="T51" s="56"/>
      <c r="U51" s="56"/>
    </row>
    <row r="52" spans="2:29" ht="15" x14ac:dyDescent="0.2">
      <c r="B52" s="51" t="s">
        <v>41</v>
      </c>
      <c r="C52" s="79">
        <v>16255</v>
      </c>
      <c r="D52" s="79">
        <v>614159</v>
      </c>
      <c r="E52" s="79">
        <v>755981</v>
      </c>
      <c r="F52" s="79">
        <v>890190</v>
      </c>
      <c r="G52" s="79">
        <v>398866</v>
      </c>
      <c r="H52" s="80"/>
      <c r="I52" s="79"/>
      <c r="J52" s="81">
        <f t="shared" ref="J52:N65" si="8">C52/C$67</f>
        <v>5.1764548529065216E-2</v>
      </c>
      <c r="K52" s="81">
        <f t="shared" si="8"/>
        <v>0.5025567296118304</v>
      </c>
      <c r="L52" s="81">
        <f t="shared" si="8"/>
        <v>0.49204827401268941</v>
      </c>
      <c r="M52" s="81">
        <f t="shared" si="8"/>
        <v>0.50382000825182904</v>
      </c>
      <c r="N52" s="81">
        <f t="shared" si="8"/>
        <v>7.7909282737921415E-2</v>
      </c>
      <c r="O52" s="82"/>
      <c r="P52" s="81"/>
      <c r="Q52" s="147">
        <f t="shared" ref="Q52:U65" si="9">C52/$C52</f>
        <v>1</v>
      </c>
      <c r="R52" s="147">
        <f t="shared" si="9"/>
        <v>37.782774530913564</v>
      </c>
      <c r="S52" s="147">
        <f t="shared" si="9"/>
        <v>46.507597662257766</v>
      </c>
      <c r="T52" s="147">
        <f t="shared" si="9"/>
        <v>54.76407259304829</v>
      </c>
      <c r="U52" s="147">
        <f t="shared" si="9"/>
        <v>24.538049830821286</v>
      </c>
    </row>
    <row r="53" spans="2:29" ht="15" x14ac:dyDescent="0.2">
      <c r="B53" s="51" t="s">
        <v>42</v>
      </c>
      <c r="C53" s="79"/>
      <c r="D53" s="79"/>
      <c r="E53" s="79"/>
      <c r="F53" s="79"/>
      <c r="G53" s="79"/>
      <c r="H53" s="85"/>
      <c r="I53" s="84"/>
      <c r="J53" s="81">
        <f t="shared" si="8"/>
        <v>0</v>
      </c>
      <c r="K53" s="81">
        <f t="shared" si="8"/>
        <v>0</v>
      </c>
      <c r="L53" s="81">
        <f t="shared" si="8"/>
        <v>0</v>
      </c>
      <c r="M53" s="81">
        <f t="shared" si="8"/>
        <v>0</v>
      </c>
      <c r="N53" s="81">
        <f t="shared" si="8"/>
        <v>0</v>
      </c>
      <c r="O53" s="82"/>
      <c r="P53" s="81"/>
      <c r="Q53" s="147"/>
      <c r="R53" s="147"/>
      <c r="S53" s="147"/>
      <c r="T53" s="147"/>
      <c r="U53" s="147"/>
    </row>
    <row r="54" spans="2:29" ht="15" x14ac:dyDescent="0.2">
      <c r="B54" s="51" t="s">
        <v>276</v>
      </c>
      <c r="C54" s="79">
        <f>SUM(C52:C53)</f>
        <v>16255</v>
      </c>
      <c r="D54" s="79">
        <f>SUM(D52:D53)</f>
        <v>614159</v>
      </c>
      <c r="E54" s="79">
        <f>SUM(E52:E53)</f>
        <v>755981</v>
      </c>
      <c r="F54" s="79">
        <f>SUM(F52:F53)</f>
        <v>890190</v>
      </c>
      <c r="G54" s="79">
        <f>SUM(G52:G53)</f>
        <v>398866</v>
      </c>
      <c r="H54" s="85"/>
      <c r="I54" s="84"/>
      <c r="J54" s="81">
        <f t="shared" si="8"/>
        <v>5.1764548529065216E-2</v>
      </c>
      <c r="K54" s="81">
        <f t="shared" si="8"/>
        <v>0.5025567296118304</v>
      </c>
      <c r="L54" s="81">
        <f t="shared" si="8"/>
        <v>0.49204827401268941</v>
      </c>
      <c r="M54" s="81">
        <f t="shared" si="8"/>
        <v>0.50382000825182904</v>
      </c>
      <c r="N54" s="81">
        <f t="shared" si="8"/>
        <v>7.7909282737921415E-2</v>
      </c>
      <c r="O54" s="82"/>
      <c r="P54" s="81"/>
      <c r="Q54" s="147">
        <f t="shared" si="9"/>
        <v>1</v>
      </c>
      <c r="R54" s="147">
        <f t="shared" si="9"/>
        <v>37.782774530913564</v>
      </c>
      <c r="S54" s="147">
        <f t="shared" si="9"/>
        <v>46.507597662257766</v>
      </c>
      <c r="T54" s="147">
        <f t="shared" si="9"/>
        <v>54.76407259304829</v>
      </c>
      <c r="U54" s="147">
        <f t="shared" si="9"/>
        <v>24.538049830821286</v>
      </c>
    </row>
    <row r="55" spans="2:29" ht="15" x14ac:dyDescent="0.2">
      <c r="B55" s="51" t="s">
        <v>277</v>
      </c>
      <c r="C55" s="79"/>
      <c r="D55" s="79"/>
      <c r="E55" s="79"/>
      <c r="F55" s="79"/>
      <c r="G55" s="79"/>
      <c r="H55" s="85"/>
      <c r="I55" s="84"/>
      <c r="J55" s="81">
        <f t="shared" si="8"/>
        <v>0</v>
      </c>
      <c r="K55" s="81">
        <f t="shared" si="8"/>
        <v>0</v>
      </c>
      <c r="L55" s="81">
        <f t="shared" si="8"/>
        <v>0</v>
      </c>
      <c r="M55" s="81">
        <f t="shared" si="8"/>
        <v>0</v>
      </c>
      <c r="N55" s="81">
        <f t="shared" si="8"/>
        <v>0</v>
      </c>
      <c r="O55" s="82"/>
      <c r="P55" s="81"/>
      <c r="Q55" s="147"/>
      <c r="R55" s="147"/>
      <c r="S55" s="147"/>
      <c r="T55" s="147"/>
      <c r="U55" s="147"/>
    </row>
    <row r="56" spans="2:29" ht="15" x14ac:dyDescent="0.2">
      <c r="B56" s="51" t="s">
        <v>43</v>
      </c>
      <c r="C56" s="79">
        <v>38741</v>
      </c>
      <c r="D56" s="79">
        <v>63311</v>
      </c>
      <c r="E56" s="79">
        <v>183703</v>
      </c>
      <c r="F56" s="79">
        <v>270342</v>
      </c>
      <c r="G56" s="79">
        <v>755499</v>
      </c>
      <c r="H56" s="86"/>
      <c r="I56" s="61"/>
      <c r="J56" s="81">
        <f t="shared" si="8"/>
        <v>0.1233719086167035</v>
      </c>
      <c r="K56" s="81">
        <f t="shared" si="8"/>
        <v>5.1806403730067611E-2</v>
      </c>
      <c r="L56" s="81">
        <f t="shared" si="8"/>
        <v>0.11956748130039391</v>
      </c>
      <c r="M56" s="81">
        <f t="shared" si="8"/>
        <v>0.15300521087724639</v>
      </c>
      <c r="N56" s="81">
        <f t="shared" si="8"/>
        <v>0.14756932202598591</v>
      </c>
      <c r="O56" s="82"/>
      <c r="P56" s="81"/>
      <c r="Q56" s="147">
        <f t="shared" si="9"/>
        <v>1</v>
      </c>
      <c r="R56" s="147">
        <f t="shared" si="9"/>
        <v>1.6342118169381277</v>
      </c>
      <c r="S56" s="147">
        <f t="shared" si="9"/>
        <v>4.7418239074881905</v>
      </c>
      <c r="T56" s="147">
        <f t="shared" si="9"/>
        <v>6.9781884824862548</v>
      </c>
      <c r="U56" s="147">
        <f t="shared" si="9"/>
        <v>19.501277716114711</v>
      </c>
    </row>
    <row r="57" spans="2:29" ht="15" x14ac:dyDescent="0.2">
      <c r="B57" s="51" t="s">
        <v>44</v>
      </c>
      <c r="C57" s="79">
        <v>191222</v>
      </c>
      <c r="D57" s="79">
        <v>173289</v>
      </c>
      <c r="E57" s="79">
        <v>229275</v>
      </c>
      <c r="F57" s="79">
        <v>131165</v>
      </c>
      <c r="G57" s="79">
        <v>337698</v>
      </c>
      <c r="H57" s="86"/>
      <c r="I57" s="61"/>
      <c r="J57" s="81">
        <f t="shared" si="8"/>
        <v>0.6089523530498252</v>
      </c>
      <c r="K57" s="81">
        <f t="shared" si="8"/>
        <v>0.14179968561513304</v>
      </c>
      <c r="L57" s="81">
        <f t="shared" si="8"/>
        <v>0.14922910499636813</v>
      </c>
      <c r="M57" s="81">
        <f t="shared" si="8"/>
        <v>7.4235333335974527E-2</v>
      </c>
      <c r="N57" s="81">
        <f t="shared" si="8"/>
        <v>6.5961523323699159E-2</v>
      </c>
      <c r="O57" s="82"/>
      <c r="P57" s="81"/>
      <c r="Q57" s="147">
        <f t="shared" si="9"/>
        <v>1</v>
      </c>
      <c r="R57" s="147">
        <f t="shared" si="9"/>
        <v>0.9062189497024401</v>
      </c>
      <c r="S57" s="147">
        <f t="shared" si="9"/>
        <v>1.1989990691447636</v>
      </c>
      <c r="T57" s="147">
        <f t="shared" si="9"/>
        <v>0.68593048916965627</v>
      </c>
      <c r="U57" s="147">
        <f t="shared" si="9"/>
        <v>1.7659997280647624</v>
      </c>
    </row>
    <row r="58" spans="2:29" ht="15" x14ac:dyDescent="0.2">
      <c r="B58" s="51" t="s">
        <v>124</v>
      </c>
      <c r="C58" s="79">
        <v>16143</v>
      </c>
      <c r="D58" s="79">
        <v>67212</v>
      </c>
      <c r="E58" s="79">
        <v>35945</v>
      </c>
      <c r="F58" s="79">
        <v>32883</v>
      </c>
      <c r="G58" s="79">
        <v>319091</v>
      </c>
      <c r="H58" s="86"/>
      <c r="I58" s="61"/>
      <c r="J58" s="192">
        <f t="shared" si="8"/>
        <v>5.1407881076880942E-2</v>
      </c>
      <c r="K58" s="192">
        <f t="shared" si="8"/>
        <v>5.4998531179499682E-2</v>
      </c>
      <c r="L58" s="192">
        <f t="shared" si="8"/>
        <v>2.3395661014478038E-2</v>
      </c>
      <c r="M58" s="192">
        <f t="shared" si="8"/>
        <v>1.8610760996354593E-2</v>
      </c>
      <c r="N58" s="192">
        <f t="shared" si="8"/>
        <v>6.2327074601811347E-2</v>
      </c>
      <c r="O58" s="194"/>
      <c r="P58" s="192"/>
      <c r="Q58" s="193">
        <f t="shared" si="9"/>
        <v>1</v>
      </c>
      <c r="R58" s="193">
        <f t="shared" si="9"/>
        <v>4.1635383757665858</v>
      </c>
      <c r="S58" s="193">
        <f t="shared" si="9"/>
        <v>2.22666171095831</v>
      </c>
      <c r="T58" s="193">
        <f t="shared" si="9"/>
        <v>2.0369819736108532</v>
      </c>
      <c r="U58" s="193">
        <f t="shared" si="9"/>
        <v>19.766524190051417</v>
      </c>
    </row>
    <row r="59" spans="2:29" ht="15" x14ac:dyDescent="0.2">
      <c r="B59" s="121" t="s">
        <v>47</v>
      </c>
      <c r="C59" s="87">
        <f>SUM(C54:C58)</f>
        <v>262361</v>
      </c>
      <c r="D59" s="87">
        <f>SUM(D54:D58)</f>
        <v>917971</v>
      </c>
      <c r="E59" s="87">
        <f>SUM(E54:E58)</f>
        <v>1204904</v>
      </c>
      <c r="F59" s="87">
        <f>SUM(F54:F58)</f>
        <v>1324580</v>
      </c>
      <c r="G59" s="87">
        <f>SUM(G54:G58)</f>
        <v>1811154</v>
      </c>
      <c r="H59" s="88"/>
      <c r="I59" s="87"/>
      <c r="J59" s="196">
        <f t="shared" si="8"/>
        <v>0.83549669127247483</v>
      </c>
      <c r="K59" s="196">
        <f t="shared" si="8"/>
        <v>0.75116135013653074</v>
      </c>
      <c r="L59" s="196">
        <f t="shared" si="8"/>
        <v>0.78424052132392952</v>
      </c>
      <c r="M59" s="196">
        <f t="shared" si="8"/>
        <v>0.74967131346140459</v>
      </c>
      <c r="N59" s="196">
        <f t="shared" si="8"/>
        <v>0.3537672026894178</v>
      </c>
      <c r="O59" s="195"/>
      <c r="P59" s="196"/>
      <c r="Q59" s="199">
        <f t="shared" si="9"/>
        <v>1</v>
      </c>
      <c r="R59" s="199">
        <f t="shared" si="9"/>
        <v>3.4988851239322916</v>
      </c>
      <c r="S59" s="199">
        <f t="shared" si="9"/>
        <v>4.5925423367040068</v>
      </c>
      <c r="T59" s="199">
        <f t="shared" si="9"/>
        <v>5.0486924504785389</v>
      </c>
      <c r="U59" s="199">
        <f t="shared" si="9"/>
        <v>6.9032897419967147</v>
      </c>
    </row>
    <row r="60" spans="2:29" ht="15" x14ac:dyDescent="0.2">
      <c r="B60" s="51" t="s">
        <v>278</v>
      </c>
      <c r="C60" s="79"/>
      <c r="D60" s="79"/>
      <c r="E60" s="79"/>
      <c r="F60" s="79"/>
      <c r="G60" s="79"/>
      <c r="H60" s="118"/>
      <c r="I60" s="113"/>
      <c r="J60" s="81">
        <f t="shared" si="8"/>
        <v>0</v>
      </c>
      <c r="K60" s="81">
        <f t="shared" si="8"/>
        <v>0</v>
      </c>
      <c r="L60" s="81">
        <f t="shared" si="8"/>
        <v>0</v>
      </c>
      <c r="M60" s="81">
        <f t="shared" si="8"/>
        <v>0</v>
      </c>
      <c r="N60" s="81">
        <f t="shared" si="8"/>
        <v>0</v>
      </c>
      <c r="O60" s="119"/>
      <c r="P60" s="114"/>
      <c r="Q60" s="147"/>
      <c r="R60" s="147"/>
      <c r="S60" s="147"/>
      <c r="T60" s="147"/>
      <c r="U60" s="147"/>
    </row>
    <row r="61" spans="2:29" ht="15" x14ac:dyDescent="0.2">
      <c r="B61" s="51" t="s">
        <v>279</v>
      </c>
      <c r="C61" s="79">
        <v>9019</v>
      </c>
      <c r="D61" s="79">
        <v>501</v>
      </c>
      <c r="E61" s="79">
        <v>29518</v>
      </c>
      <c r="F61" s="79">
        <v>38699</v>
      </c>
      <c r="G61" s="79">
        <v>96013</v>
      </c>
      <c r="H61" s="118"/>
      <c r="I61" s="113"/>
      <c r="J61" s="81">
        <f t="shared" si="8"/>
        <v>2.872128349330293E-2</v>
      </c>
      <c r="K61" s="81">
        <f t="shared" si="8"/>
        <v>4.0996048504626169E-4</v>
      </c>
      <c r="L61" s="81">
        <f t="shared" si="8"/>
        <v>1.9212494695378016E-2</v>
      </c>
      <c r="M61" s="81">
        <f t="shared" si="8"/>
        <v>2.1902437119421171E-2</v>
      </c>
      <c r="N61" s="81">
        <f t="shared" si="8"/>
        <v>1.8753927292664826E-2</v>
      </c>
      <c r="O61" s="119"/>
      <c r="P61" s="114"/>
      <c r="Q61" s="147">
        <f t="shared" si="9"/>
        <v>1</v>
      </c>
      <c r="R61" s="147">
        <f t="shared" si="9"/>
        <v>5.5549395720146361E-2</v>
      </c>
      <c r="S61" s="147">
        <f t="shared" si="9"/>
        <v>3.2728683889566472</v>
      </c>
      <c r="T61" s="147">
        <f t="shared" si="9"/>
        <v>4.290830469009868</v>
      </c>
      <c r="U61" s="147">
        <f t="shared" si="9"/>
        <v>10.645636988579666</v>
      </c>
    </row>
    <row r="62" spans="2:29" ht="15" x14ac:dyDescent="0.2">
      <c r="B62" s="51" t="s">
        <v>126</v>
      </c>
      <c r="C62" s="79">
        <v>3180</v>
      </c>
      <c r="D62" s="79">
        <v>10185</v>
      </c>
      <c r="E62" s="79">
        <v>24868</v>
      </c>
      <c r="F62" s="79">
        <v>55602</v>
      </c>
      <c r="G62" s="79">
        <v>87910</v>
      </c>
      <c r="H62" s="86"/>
      <c r="I62" s="61"/>
      <c r="J62" s="81">
        <f t="shared" si="8"/>
        <v>1.0126808017374801E-2</v>
      </c>
      <c r="K62" s="81">
        <f t="shared" si="8"/>
        <v>8.3342266271380742E-3</v>
      </c>
      <c r="L62" s="81">
        <f t="shared" si="8"/>
        <v>1.6185931231271104E-2</v>
      </c>
      <c r="M62" s="81">
        <f t="shared" si="8"/>
        <v>3.1469012344351434E-2</v>
      </c>
      <c r="N62" s="81">
        <f t="shared" si="8"/>
        <v>1.7171192945727817E-2</v>
      </c>
      <c r="O62" s="82"/>
      <c r="P62" s="81"/>
      <c r="Q62" s="147">
        <f t="shared" si="9"/>
        <v>1</v>
      </c>
      <c r="R62" s="147">
        <f t="shared" si="9"/>
        <v>3.2028301886792452</v>
      </c>
      <c r="S62" s="147">
        <f t="shared" si="9"/>
        <v>7.8201257861635218</v>
      </c>
      <c r="T62" s="147">
        <f t="shared" si="9"/>
        <v>17.484905660377358</v>
      </c>
      <c r="U62" s="147">
        <f t="shared" si="9"/>
        <v>27.644654088050313</v>
      </c>
      <c r="AA62" s="191"/>
      <c r="AB62" s="191"/>
      <c r="AC62" s="191"/>
    </row>
    <row r="63" spans="2:29" ht="15" x14ac:dyDescent="0.2">
      <c r="B63" s="51" t="s">
        <v>280</v>
      </c>
      <c r="C63" s="79">
        <v>16301</v>
      </c>
      <c r="D63" s="79">
        <v>12254</v>
      </c>
      <c r="E63" s="79">
        <v>12139</v>
      </c>
      <c r="F63" s="79">
        <v>12213</v>
      </c>
      <c r="G63" s="79">
        <f>111604+1280311</f>
        <v>1391915</v>
      </c>
      <c r="H63" s="86"/>
      <c r="I63" s="61"/>
      <c r="J63" s="81">
        <f t="shared" si="8"/>
        <v>5.1911036946926607E-2</v>
      </c>
      <c r="K63" s="81">
        <f t="shared" si="8"/>
        <v>1.0027257053406968E-2</v>
      </c>
      <c r="L63" s="81">
        <f t="shared" si="8"/>
        <v>7.9009578259771566E-3</v>
      </c>
      <c r="M63" s="81">
        <f t="shared" si="8"/>
        <v>6.9121802769965832E-3</v>
      </c>
      <c r="N63" s="81">
        <f t="shared" si="8"/>
        <v>0.27187852382041561</v>
      </c>
      <c r="O63" s="82"/>
      <c r="P63" s="81"/>
      <c r="Q63" s="147">
        <f t="shared" si="9"/>
        <v>1</v>
      </c>
      <c r="R63" s="147">
        <f t="shared" si="9"/>
        <v>0.75173302251395624</v>
      </c>
      <c r="S63" s="147">
        <f t="shared" si="9"/>
        <v>0.74467824059873622</v>
      </c>
      <c r="T63" s="147">
        <f t="shared" si="9"/>
        <v>0.749217839396356</v>
      </c>
      <c r="U63" s="147">
        <f t="shared" si="9"/>
        <v>85.388319734985586</v>
      </c>
    </row>
    <row r="64" spans="2:29" ht="15" x14ac:dyDescent="0.2">
      <c r="B64" s="51" t="s">
        <v>281</v>
      </c>
      <c r="C64" s="79">
        <v>14527</v>
      </c>
      <c r="D64" s="79">
        <v>13679</v>
      </c>
      <c r="E64" s="79">
        <v>14173</v>
      </c>
      <c r="F64" s="79">
        <v>71582</v>
      </c>
      <c r="G64" s="79">
        <v>917560</v>
      </c>
      <c r="H64" s="86"/>
      <c r="I64" s="61"/>
      <c r="J64" s="81">
        <f t="shared" si="8"/>
        <v>4.6261679266793622E-2</v>
      </c>
      <c r="K64" s="81">
        <f t="shared" si="8"/>
        <v>1.1193312325245137E-2</v>
      </c>
      <c r="L64" s="81">
        <f t="shared" si="8"/>
        <v>9.2248352638252124E-3</v>
      </c>
      <c r="M64" s="81">
        <f t="shared" si="8"/>
        <v>4.0513198115775764E-2</v>
      </c>
      <c r="N64" s="81">
        <f t="shared" si="8"/>
        <v>0.17922420429168487</v>
      </c>
      <c r="O64" s="82"/>
      <c r="P64" s="81"/>
      <c r="Q64" s="147">
        <f t="shared" si="9"/>
        <v>1</v>
      </c>
      <c r="R64" s="147">
        <f t="shared" si="9"/>
        <v>0.94162593790872173</v>
      </c>
      <c r="S64" s="147">
        <f t="shared" si="9"/>
        <v>0.97563158257038618</v>
      </c>
      <c r="T64" s="147">
        <f t="shared" si="9"/>
        <v>4.927514283747505</v>
      </c>
      <c r="U64" s="147">
        <f t="shared" si="9"/>
        <v>63.162387278860052</v>
      </c>
    </row>
    <row r="65" spans="2:25" ht="15" x14ac:dyDescent="0.2">
      <c r="B65" s="51" t="s">
        <v>282</v>
      </c>
      <c r="C65" s="79">
        <v>8630</v>
      </c>
      <c r="D65" s="79">
        <v>267479</v>
      </c>
      <c r="E65" s="79">
        <v>250794</v>
      </c>
      <c r="F65" s="79">
        <v>264205</v>
      </c>
      <c r="G65" s="79">
        <v>815069</v>
      </c>
      <c r="H65" s="86"/>
      <c r="I65" s="61"/>
      <c r="J65" s="81">
        <f t="shared" si="8"/>
        <v>2.748250100312721E-2</v>
      </c>
      <c r="K65" s="81">
        <f t="shared" si="8"/>
        <v>0.2188738933726328</v>
      </c>
      <c r="L65" s="81">
        <f t="shared" si="8"/>
        <v>0.16323525965961899</v>
      </c>
      <c r="M65" s="81">
        <f t="shared" si="8"/>
        <v>0.14953185868205046</v>
      </c>
      <c r="N65" s="81">
        <f t="shared" si="8"/>
        <v>0.15920494896008905</v>
      </c>
      <c r="O65" s="82"/>
      <c r="P65" s="81"/>
      <c r="Q65" s="147">
        <f t="shared" si="9"/>
        <v>1</v>
      </c>
      <c r="R65" s="147">
        <f t="shared" si="9"/>
        <v>30.994090382387022</v>
      </c>
      <c r="S65" s="147">
        <f t="shared" si="9"/>
        <v>29.060718424101971</v>
      </c>
      <c r="T65" s="147">
        <f t="shared" si="9"/>
        <v>30.614716106604867</v>
      </c>
      <c r="U65" s="147">
        <f t="shared" si="9"/>
        <v>94.446002317497104</v>
      </c>
    </row>
    <row r="66" spans="2:25" ht="15" x14ac:dyDescent="0.2">
      <c r="B66" s="51"/>
      <c r="C66" s="79"/>
      <c r="D66" s="79"/>
      <c r="E66" s="79"/>
      <c r="F66" s="79"/>
      <c r="G66" s="79"/>
      <c r="H66" s="86"/>
      <c r="I66" s="61"/>
      <c r="J66" s="81"/>
      <c r="K66" s="81"/>
      <c r="L66" s="81"/>
      <c r="M66" s="81"/>
      <c r="N66" s="81"/>
      <c r="O66" s="82"/>
      <c r="P66" s="81"/>
      <c r="Q66" s="83"/>
      <c r="R66" s="83"/>
      <c r="S66" s="83"/>
      <c r="T66" s="83"/>
      <c r="U66" s="83"/>
    </row>
    <row r="67" spans="2:25" ht="16" thickBot="1" x14ac:dyDescent="0.25">
      <c r="B67" s="121" t="s">
        <v>54</v>
      </c>
      <c r="C67" s="188">
        <f>SUM(C59:C65)</f>
        <v>314018</v>
      </c>
      <c r="D67" s="188">
        <f>SUM(D59:D65)</f>
        <v>1222069</v>
      </c>
      <c r="E67" s="188">
        <f>SUM(E59:E65)</f>
        <v>1536396</v>
      </c>
      <c r="F67" s="188">
        <f>SUM(F59:F65)</f>
        <v>1766881</v>
      </c>
      <c r="G67" s="188">
        <f>SUM(G59:G65)</f>
        <v>5119621</v>
      </c>
      <c r="H67" s="88"/>
      <c r="I67" s="87"/>
      <c r="J67" s="200">
        <f>C67/C$67</f>
        <v>1</v>
      </c>
      <c r="K67" s="200">
        <f>D67/D$67</f>
        <v>1</v>
      </c>
      <c r="L67" s="200">
        <f>E67/E$67</f>
        <v>1</v>
      </c>
      <c r="M67" s="200">
        <f>F67/F$67</f>
        <v>1</v>
      </c>
      <c r="N67" s="200">
        <f>G67/G$67</f>
        <v>1</v>
      </c>
      <c r="O67" s="197"/>
      <c r="P67" s="198"/>
      <c r="Q67" s="201">
        <f>C67/$C67</f>
        <v>1</v>
      </c>
      <c r="R67" s="201">
        <f>D67/$C67</f>
        <v>3.8917163984230205</v>
      </c>
      <c r="S67" s="201">
        <f>E67/$C67</f>
        <v>4.8927004184473502</v>
      </c>
      <c r="T67" s="201">
        <f>F67/$C67</f>
        <v>5.6266870052035234</v>
      </c>
      <c r="U67" s="201">
        <f>G67/$C67</f>
        <v>16.303590876956097</v>
      </c>
    </row>
    <row r="68" spans="2:25" ht="8.25" customHeight="1" thickTop="1" x14ac:dyDescent="0.2">
      <c r="B68" s="111"/>
      <c r="C68" s="113"/>
      <c r="D68" s="113"/>
      <c r="E68" s="113"/>
      <c r="F68" s="113"/>
      <c r="G68" s="113"/>
      <c r="H68" s="118"/>
      <c r="I68" s="113"/>
      <c r="J68" s="114"/>
      <c r="K68" s="114"/>
      <c r="L68" s="114"/>
      <c r="M68" s="114"/>
      <c r="N68" s="114"/>
      <c r="O68" s="119"/>
      <c r="P68" s="114"/>
      <c r="Q68" s="120"/>
      <c r="R68" s="120"/>
      <c r="S68" s="120"/>
      <c r="T68" s="120"/>
      <c r="U68" s="120"/>
    </row>
    <row r="69" spans="2:25" ht="15" x14ac:dyDescent="0.2">
      <c r="B69" s="50" t="s">
        <v>55</v>
      </c>
      <c r="C69" s="79"/>
      <c r="D69" s="79"/>
      <c r="E69" s="79"/>
      <c r="F69" s="79"/>
      <c r="G69" s="79"/>
      <c r="H69" s="86"/>
      <c r="I69" s="61"/>
      <c r="J69" s="81"/>
      <c r="K69" s="81"/>
      <c r="L69" s="81"/>
      <c r="M69" s="81"/>
      <c r="N69" s="81"/>
      <c r="O69" s="82"/>
      <c r="P69" s="81"/>
      <c r="Q69" s="83"/>
      <c r="R69" s="83"/>
      <c r="S69" s="83"/>
      <c r="T69" s="83"/>
      <c r="U69" s="83"/>
    </row>
    <row r="70" spans="2:25" ht="15" x14ac:dyDescent="0.2">
      <c r="B70" s="51" t="s">
        <v>56</v>
      </c>
      <c r="C70" s="79"/>
      <c r="D70" s="79"/>
      <c r="E70" s="79"/>
      <c r="F70" s="79"/>
      <c r="G70" s="79"/>
      <c r="H70" s="86"/>
      <c r="I70" s="61"/>
      <c r="J70" s="81"/>
      <c r="K70" s="81"/>
      <c r="L70" s="81"/>
      <c r="M70" s="81"/>
      <c r="N70" s="81"/>
      <c r="O70" s="82"/>
      <c r="P70" s="81"/>
      <c r="Q70" s="83"/>
      <c r="R70" s="83"/>
      <c r="S70" s="83"/>
      <c r="T70" s="83"/>
      <c r="U70" s="83"/>
    </row>
    <row r="71" spans="2:25" ht="15" x14ac:dyDescent="0.2">
      <c r="B71" s="51" t="s">
        <v>283</v>
      </c>
      <c r="C71" s="79">
        <v>72442</v>
      </c>
      <c r="D71" s="79">
        <v>107340</v>
      </c>
      <c r="E71" s="79">
        <v>104960</v>
      </c>
      <c r="F71" s="79">
        <v>190067</v>
      </c>
      <c r="G71" s="79">
        <v>368651</v>
      </c>
      <c r="H71" s="86"/>
      <c r="I71" s="61"/>
      <c r="J71" s="81">
        <f t="shared" ref="J71:N79" si="10">C71/C$67</f>
        <v>0.23069378188511486</v>
      </c>
      <c r="K71" s="81">
        <f t="shared" si="10"/>
        <v>8.783464763446254E-2</v>
      </c>
      <c r="L71" s="81">
        <f t="shared" si="10"/>
        <v>6.831572068659382E-2</v>
      </c>
      <c r="M71" s="81">
        <f t="shared" si="10"/>
        <v>0.10757204361810445</v>
      </c>
      <c r="N71" s="81">
        <f t="shared" si="10"/>
        <v>7.2007478678597497E-2</v>
      </c>
      <c r="O71" s="82"/>
      <c r="P71" s="81"/>
      <c r="Q71" s="147">
        <f t="shared" ref="Q71:U79" si="11">C71/$C71</f>
        <v>1</v>
      </c>
      <c r="R71" s="147">
        <f t="shared" si="11"/>
        <v>1.4817371138289943</v>
      </c>
      <c r="S71" s="147">
        <f t="shared" si="11"/>
        <v>1.4488832445266557</v>
      </c>
      <c r="T71" s="147">
        <f t="shared" si="11"/>
        <v>2.6237127633140997</v>
      </c>
      <c r="U71" s="147">
        <f t="shared" si="11"/>
        <v>5.0889125093177991</v>
      </c>
    </row>
    <row r="72" spans="2:25" ht="15" x14ac:dyDescent="0.2">
      <c r="B72" s="51" t="s">
        <v>284</v>
      </c>
      <c r="C72" s="79"/>
      <c r="D72" s="79"/>
      <c r="E72" s="79"/>
      <c r="F72" s="79"/>
      <c r="G72" s="79"/>
      <c r="H72" s="86"/>
      <c r="I72" s="61"/>
      <c r="J72" s="81">
        <f t="shared" si="10"/>
        <v>0</v>
      </c>
      <c r="K72" s="81">
        <f t="shared" si="10"/>
        <v>0</v>
      </c>
      <c r="L72" s="81">
        <f t="shared" si="10"/>
        <v>0</v>
      </c>
      <c r="M72" s="81">
        <f t="shared" si="10"/>
        <v>0</v>
      </c>
      <c r="N72" s="81">
        <f t="shared" si="10"/>
        <v>0</v>
      </c>
      <c r="O72" s="82"/>
      <c r="P72" s="81"/>
      <c r="Q72" s="147"/>
      <c r="R72" s="147"/>
      <c r="S72" s="147"/>
      <c r="T72" s="147"/>
      <c r="U72" s="147"/>
    </row>
    <row r="73" spans="2:25" ht="15" x14ac:dyDescent="0.2">
      <c r="B73" s="51" t="s">
        <v>286</v>
      </c>
      <c r="C73" s="79">
        <v>0</v>
      </c>
      <c r="D73" s="79">
        <v>0</v>
      </c>
      <c r="E73" s="79">
        <v>50424</v>
      </c>
      <c r="F73" s="79">
        <v>10834</v>
      </c>
      <c r="G73" s="79">
        <v>49612</v>
      </c>
      <c r="H73" s="86"/>
      <c r="I73" s="61"/>
      <c r="J73" s="81">
        <f t="shared" si="10"/>
        <v>0</v>
      </c>
      <c r="K73" s="81">
        <f t="shared" si="10"/>
        <v>0</v>
      </c>
      <c r="L73" s="81">
        <f t="shared" si="10"/>
        <v>3.2819663680457384E-2</v>
      </c>
      <c r="M73" s="81">
        <f t="shared" si="10"/>
        <v>6.1317089266339948E-3</v>
      </c>
      <c r="N73" s="81">
        <f t="shared" si="10"/>
        <v>9.6905610786423447E-3</v>
      </c>
      <c r="O73" s="82"/>
      <c r="P73" s="81"/>
      <c r="Q73" s="147"/>
      <c r="R73" s="147"/>
      <c r="S73" s="147"/>
      <c r="T73" s="147"/>
      <c r="U73" s="147"/>
    </row>
    <row r="74" spans="2:25" ht="15" x14ac:dyDescent="0.2">
      <c r="B74" s="51" t="s">
        <v>488</v>
      </c>
      <c r="C74" s="79">
        <v>20682</v>
      </c>
      <c r="D74" s="79">
        <v>53955</v>
      </c>
      <c r="E74" s="79">
        <v>121229</v>
      </c>
      <c r="F74" s="79">
        <v>164634</v>
      </c>
      <c r="G74" s="79">
        <v>660463</v>
      </c>
      <c r="H74" s="86"/>
      <c r="I74" s="61"/>
      <c r="J74" s="81">
        <f t="shared" si="10"/>
        <v>6.586246648281309E-2</v>
      </c>
      <c r="K74" s="81">
        <f t="shared" si="10"/>
        <v>4.4150534871598902E-2</v>
      </c>
      <c r="L74" s="81">
        <f t="shared" si="10"/>
        <v>7.8904787567788515E-2</v>
      </c>
      <c r="M74" s="81">
        <f t="shared" si="10"/>
        <v>9.3177752208552816E-2</v>
      </c>
      <c r="N74" s="81">
        <f t="shared" si="10"/>
        <v>0.12900622917204221</v>
      </c>
      <c r="O74" s="82"/>
      <c r="P74" s="81"/>
      <c r="Q74" s="147">
        <f t="shared" si="11"/>
        <v>1</v>
      </c>
      <c r="R74" s="147">
        <f t="shared" si="11"/>
        <v>2.6087902523933857</v>
      </c>
      <c r="S74" s="147">
        <f t="shared" si="11"/>
        <v>5.861570447732328</v>
      </c>
      <c r="T74" s="147">
        <f t="shared" si="11"/>
        <v>7.9602552944589497</v>
      </c>
      <c r="U74" s="147">
        <f t="shared" si="11"/>
        <v>31.934193985107822</v>
      </c>
    </row>
    <row r="75" spans="2:25" ht="15" x14ac:dyDescent="0.2">
      <c r="B75" s="121" t="s">
        <v>63</v>
      </c>
      <c r="C75" s="87">
        <f>SUM(C71:C74)</f>
        <v>93124</v>
      </c>
      <c r="D75" s="87">
        <f>SUM(D71:D74)</f>
        <v>161295</v>
      </c>
      <c r="E75" s="87">
        <f>SUM(E71:E74)</f>
        <v>276613</v>
      </c>
      <c r="F75" s="87">
        <f>SUM(F71:F74)</f>
        <v>365535</v>
      </c>
      <c r="G75" s="87">
        <f>SUM(G71:G74)</f>
        <v>1078726</v>
      </c>
      <c r="H75" s="88"/>
      <c r="I75" s="87"/>
      <c r="J75" s="198">
        <f t="shared" si="10"/>
        <v>0.29655624836792793</v>
      </c>
      <c r="K75" s="198">
        <f t="shared" si="10"/>
        <v>0.13198518250606145</v>
      </c>
      <c r="L75" s="198">
        <f t="shared" si="10"/>
        <v>0.1800401719348397</v>
      </c>
      <c r="M75" s="198">
        <f t="shared" si="10"/>
        <v>0.20688150475329126</v>
      </c>
      <c r="N75" s="198">
        <f t="shared" si="10"/>
        <v>0.21070426892928207</v>
      </c>
      <c r="O75" s="197"/>
      <c r="P75" s="198"/>
      <c r="Q75" s="187">
        <f t="shared" si="11"/>
        <v>1</v>
      </c>
      <c r="R75" s="187">
        <f t="shared" si="11"/>
        <v>1.7320454447832996</v>
      </c>
      <c r="S75" s="187">
        <f t="shared" si="11"/>
        <v>2.9703728362183757</v>
      </c>
      <c r="T75" s="187">
        <f t="shared" si="11"/>
        <v>3.9252502040290365</v>
      </c>
      <c r="U75" s="187">
        <f t="shared" si="11"/>
        <v>11.583759288690349</v>
      </c>
    </row>
    <row r="76" spans="2:25" ht="15" x14ac:dyDescent="0.2">
      <c r="B76" s="51" t="s">
        <v>287</v>
      </c>
      <c r="C76" s="79">
        <v>0</v>
      </c>
      <c r="D76" s="79">
        <v>0</v>
      </c>
      <c r="E76" s="79">
        <v>0</v>
      </c>
      <c r="F76" s="79">
        <v>0</v>
      </c>
      <c r="G76" s="79">
        <v>669926</v>
      </c>
      <c r="H76" s="86"/>
      <c r="I76" s="61"/>
      <c r="J76" s="81"/>
      <c r="K76" s="81"/>
      <c r="L76" s="81"/>
      <c r="M76" s="81"/>
      <c r="N76" s="81">
        <f t="shared" si="10"/>
        <v>0.13085460818291042</v>
      </c>
      <c r="O76" s="82"/>
      <c r="P76" s="81"/>
      <c r="Q76" s="147"/>
      <c r="R76" s="147"/>
      <c r="S76" s="147"/>
      <c r="T76" s="147"/>
      <c r="U76" s="147"/>
      <c r="X76" s="191"/>
      <c r="Y76" s="191"/>
    </row>
    <row r="77" spans="2:25" ht="15" x14ac:dyDescent="0.2">
      <c r="B77" s="51" t="s">
        <v>288</v>
      </c>
      <c r="C77" s="79">
        <v>3849</v>
      </c>
      <c r="D77" s="79">
        <v>16407</v>
      </c>
      <c r="E77" s="79">
        <v>4028</v>
      </c>
      <c r="F77" s="79">
        <v>19215</v>
      </c>
      <c r="G77" s="79">
        <v>28372</v>
      </c>
      <c r="H77" s="86"/>
      <c r="I77" s="61"/>
      <c r="J77" s="81">
        <f t="shared" si="10"/>
        <v>1.2257259138011197E-2</v>
      </c>
      <c r="K77" s="81">
        <f t="shared" si="10"/>
        <v>1.3425592171964103E-2</v>
      </c>
      <c r="L77" s="81">
        <f t="shared" si="10"/>
        <v>2.6217199211661579E-3</v>
      </c>
      <c r="M77" s="81">
        <f t="shared" si="10"/>
        <v>1.0875095719519312E-2</v>
      </c>
      <c r="N77" s="81">
        <f t="shared" si="10"/>
        <v>5.541816474305422E-3</v>
      </c>
      <c r="O77" s="82"/>
      <c r="P77" s="81"/>
      <c r="Q77" s="147">
        <f t="shared" si="11"/>
        <v>1</v>
      </c>
      <c r="R77" s="147">
        <f t="shared" si="11"/>
        <v>4.2626656274356973</v>
      </c>
      <c r="S77" s="147">
        <f t="shared" si="11"/>
        <v>1.0465055858664589</v>
      </c>
      <c r="T77" s="147">
        <f t="shared" si="11"/>
        <v>4.9922057677318783</v>
      </c>
      <c r="U77" s="147">
        <f t="shared" si="11"/>
        <v>7.3712652637048581</v>
      </c>
    </row>
    <row r="78" spans="2:25" ht="15" x14ac:dyDescent="0.2">
      <c r="B78" s="51" t="s">
        <v>489</v>
      </c>
      <c r="C78" s="79">
        <v>0</v>
      </c>
      <c r="D78" s="79">
        <v>179788</v>
      </c>
      <c r="E78" s="79">
        <v>167227</v>
      </c>
      <c r="F78" s="79">
        <v>157714</v>
      </c>
      <c r="G78" s="79">
        <v>401155</v>
      </c>
      <c r="H78" s="86"/>
      <c r="I78" s="61"/>
      <c r="J78" s="81">
        <f t="shared" si="10"/>
        <v>0</v>
      </c>
      <c r="K78" s="81">
        <f t="shared" si="10"/>
        <v>0.14711771593911638</v>
      </c>
      <c r="L78" s="81">
        <f t="shared" si="10"/>
        <v>0.10884368352950671</v>
      </c>
      <c r="M78" s="81">
        <f t="shared" si="10"/>
        <v>8.9261246229938515E-2</v>
      </c>
      <c r="N78" s="81">
        <f t="shared" si="10"/>
        <v>7.8356386146552645E-2</v>
      </c>
      <c r="O78" s="82"/>
      <c r="P78" s="81"/>
      <c r="Q78" s="147"/>
      <c r="R78" s="147"/>
      <c r="S78" s="147"/>
      <c r="T78" s="147"/>
      <c r="U78" s="147"/>
    </row>
    <row r="79" spans="2:25" ht="15" x14ac:dyDescent="0.2">
      <c r="B79" s="121" t="s">
        <v>67</v>
      </c>
      <c r="C79" s="87">
        <f>SUM(C75:C78)</f>
        <v>96973</v>
      </c>
      <c r="D79" s="87">
        <f>SUM(D75:D78)</f>
        <v>357490</v>
      </c>
      <c r="E79" s="87">
        <f>SUM(E75:E78)</f>
        <v>447868</v>
      </c>
      <c r="F79" s="87">
        <f>SUM(F75:F78)</f>
        <v>542464</v>
      </c>
      <c r="G79" s="87">
        <f>SUM(G75:G78)</f>
        <v>2178179</v>
      </c>
      <c r="H79" s="88"/>
      <c r="I79" s="87"/>
      <c r="J79" s="198">
        <f t="shared" si="10"/>
        <v>0.30881350750593917</v>
      </c>
      <c r="K79" s="198">
        <f t="shared" si="10"/>
        <v>0.29252849061714192</v>
      </c>
      <c r="L79" s="198">
        <f t="shared" si="10"/>
        <v>0.29150557538551258</v>
      </c>
      <c r="M79" s="198">
        <f t="shared" si="10"/>
        <v>0.30701784670274906</v>
      </c>
      <c r="N79" s="198">
        <f t="shared" si="10"/>
        <v>0.42545707973305052</v>
      </c>
      <c r="O79" s="197"/>
      <c r="P79" s="198"/>
      <c r="Q79" s="187">
        <f t="shared" si="11"/>
        <v>1</v>
      </c>
      <c r="R79" s="187">
        <f t="shared" si="11"/>
        <v>3.686490053932538</v>
      </c>
      <c r="S79" s="187">
        <f t="shared" si="11"/>
        <v>4.6184814329761892</v>
      </c>
      <c r="T79" s="187">
        <f t="shared" si="11"/>
        <v>5.5939694554154249</v>
      </c>
      <c r="U79" s="187">
        <f t="shared" si="11"/>
        <v>22.461705835644974</v>
      </c>
    </row>
    <row r="80" spans="2:25" ht="15" x14ac:dyDescent="0.2">
      <c r="B80" s="51" t="s">
        <v>68</v>
      </c>
      <c r="C80" s="79"/>
      <c r="D80" s="79"/>
      <c r="E80" s="79"/>
      <c r="F80" s="79"/>
      <c r="G80" s="79"/>
      <c r="H80" s="86"/>
      <c r="I80" s="61"/>
      <c r="J80" s="81"/>
      <c r="K80" s="81"/>
      <c r="L80" s="81"/>
      <c r="M80" s="81"/>
      <c r="N80" s="81"/>
      <c r="O80" s="82"/>
      <c r="P80" s="81"/>
      <c r="Q80" s="83"/>
      <c r="R80" s="83"/>
      <c r="S80" s="83"/>
      <c r="T80" s="83"/>
      <c r="U80" s="83"/>
    </row>
    <row r="81" spans="2:22" ht="15" x14ac:dyDescent="0.2">
      <c r="B81" s="179" t="s">
        <v>290</v>
      </c>
      <c r="C81" s="79">
        <v>75</v>
      </c>
      <c r="D81" s="79">
        <v>76</v>
      </c>
      <c r="E81" s="79">
        <v>77</v>
      </c>
      <c r="F81" s="79">
        <v>79</v>
      </c>
      <c r="G81" s="79">
        <v>101</v>
      </c>
      <c r="H81" s="86"/>
      <c r="I81" s="61"/>
      <c r="J81" s="81">
        <f t="shared" ref="J81:N90" si="12">C81/C$67</f>
        <v>2.3883981173053773E-4</v>
      </c>
      <c r="K81" s="81">
        <f t="shared" si="12"/>
        <v>6.2189614498035705E-5</v>
      </c>
      <c r="L81" s="81">
        <f t="shared" si="12"/>
        <v>5.0117287470157435E-5</v>
      </c>
      <c r="M81" s="81">
        <f t="shared" si="12"/>
        <v>4.4711556692272994E-5</v>
      </c>
      <c r="N81" s="81">
        <f t="shared" si="12"/>
        <v>1.9728022836065404E-5</v>
      </c>
      <c r="O81" s="82"/>
      <c r="P81" s="81"/>
      <c r="Q81" s="147">
        <f t="shared" ref="Q81:U90" si="13">C81/$C81</f>
        <v>1</v>
      </c>
      <c r="R81" s="147">
        <f t="shared" si="13"/>
        <v>1.0133333333333334</v>
      </c>
      <c r="S81" s="147">
        <f t="shared" si="13"/>
        <v>1.0266666666666666</v>
      </c>
      <c r="T81" s="147">
        <f t="shared" si="13"/>
        <v>1.0533333333333332</v>
      </c>
      <c r="U81" s="147">
        <f t="shared" si="13"/>
        <v>1.3466666666666667</v>
      </c>
    </row>
    <row r="82" spans="2:22" ht="15" x14ac:dyDescent="0.2">
      <c r="B82" s="179" t="s">
        <v>291</v>
      </c>
      <c r="C82" s="79">
        <v>267846</v>
      </c>
      <c r="D82" s="79">
        <v>280668</v>
      </c>
      <c r="E82" s="79">
        <v>276717</v>
      </c>
      <c r="F82" s="79">
        <v>297579</v>
      </c>
      <c r="G82" s="79">
        <v>1050518</v>
      </c>
      <c r="H82" s="86"/>
      <c r="I82" s="61"/>
      <c r="J82" s="81">
        <f t="shared" si="12"/>
        <v>0.85296384283703486</v>
      </c>
      <c r="K82" s="81">
        <f t="shared" si="12"/>
        <v>0.22966624634124588</v>
      </c>
      <c r="L82" s="81">
        <f t="shared" si="12"/>
        <v>0.18010786281661759</v>
      </c>
      <c r="M82" s="81">
        <f t="shared" si="12"/>
        <v>0.16842051049278361</v>
      </c>
      <c r="N82" s="81">
        <f t="shared" si="12"/>
        <v>0.2051944860762154</v>
      </c>
      <c r="O82" s="82"/>
      <c r="P82" s="81"/>
      <c r="Q82" s="147">
        <f t="shared" si="13"/>
        <v>1</v>
      </c>
      <c r="R82" s="147">
        <f t="shared" si="13"/>
        <v>1.0478707914249232</v>
      </c>
      <c r="S82" s="147">
        <f t="shared" si="13"/>
        <v>1.0331197777827557</v>
      </c>
      <c r="T82" s="147">
        <f t="shared" si="13"/>
        <v>1.1110078179252256</v>
      </c>
      <c r="U82" s="147">
        <f t="shared" si="13"/>
        <v>3.9220970259029442</v>
      </c>
    </row>
    <row r="83" spans="2:22" ht="15" x14ac:dyDescent="0.2">
      <c r="B83" s="179" t="s">
        <v>292</v>
      </c>
      <c r="C83" s="79">
        <v>-51490</v>
      </c>
      <c r="D83" s="79">
        <v>-238772</v>
      </c>
      <c r="E83" s="79">
        <v>-12053</v>
      </c>
      <c r="F83" s="79">
        <v>105521</v>
      </c>
      <c r="G83" s="79">
        <v>175912</v>
      </c>
      <c r="H83" s="86"/>
      <c r="I83" s="61"/>
      <c r="J83" s="81">
        <f t="shared" si="12"/>
        <v>-0.16397149208007183</v>
      </c>
      <c r="K83" s="81">
        <f t="shared" si="12"/>
        <v>-0.1953834030648024</v>
      </c>
      <c r="L83" s="81">
        <f t="shared" si="12"/>
        <v>-7.8449826737377604E-3</v>
      </c>
      <c r="M83" s="81">
        <f t="shared" si="12"/>
        <v>5.9721622452219479E-2</v>
      </c>
      <c r="N83" s="81">
        <f t="shared" si="12"/>
        <v>3.4360355971662745E-2</v>
      </c>
      <c r="O83" s="82"/>
      <c r="P83" s="81"/>
      <c r="Q83" s="147">
        <f t="shared" si="13"/>
        <v>1</v>
      </c>
      <c r="R83" s="147">
        <f t="shared" si="13"/>
        <v>4.6372499514468828</v>
      </c>
      <c r="S83" s="147">
        <f t="shared" si="13"/>
        <v>0.23408428821130317</v>
      </c>
      <c r="T83" s="147">
        <f t="shared" si="13"/>
        <v>-2.0493493882307243</v>
      </c>
      <c r="U83" s="147">
        <f t="shared" si="13"/>
        <v>-3.416430374830064</v>
      </c>
    </row>
    <row r="84" spans="2:22" ht="15" x14ac:dyDescent="0.2">
      <c r="B84" s="179" t="s">
        <v>293</v>
      </c>
      <c r="C84" s="79">
        <v>614</v>
      </c>
      <c r="D84" s="79">
        <v>-1881</v>
      </c>
      <c r="E84" s="79">
        <v>-701</v>
      </c>
      <c r="F84" s="79">
        <v>-3250</v>
      </c>
      <c r="G84" s="79">
        <v>3162</v>
      </c>
      <c r="H84" s="86"/>
      <c r="I84" s="61"/>
      <c r="J84" s="81">
        <f t="shared" si="12"/>
        <v>1.9553019253673357E-3</v>
      </c>
      <c r="K84" s="81">
        <f t="shared" si="12"/>
        <v>-1.5391929588263837E-3</v>
      </c>
      <c r="L84" s="81">
        <f t="shared" si="12"/>
        <v>-4.5626257813740728E-4</v>
      </c>
      <c r="M84" s="81">
        <f t="shared" si="12"/>
        <v>-1.8393994841757878E-3</v>
      </c>
      <c r="N84" s="81">
        <f t="shared" si="12"/>
        <v>6.1762384363998814E-4</v>
      </c>
      <c r="O84" s="82"/>
      <c r="P84" s="81"/>
      <c r="Q84" s="147">
        <f t="shared" si="13"/>
        <v>1</v>
      </c>
      <c r="R84" s="147">
        <f t="shared" si="13"/>
        <v>-3.0635179153094461</v>
      </c>
      <c r="S84" s="147">
        <f t="shared" si="13"/>
        <v>-1.1416938110749186</v>
      </c>
      <c r="T84" s="147">
        <f t="shared" si="13"/>
        <v>-5.2931596091205213</v>
      </c>
      <c r="U84" s="147">
        <f t="shared" si="13"/>
        <v>5.1498371335504887</v>
      </c>
    </row>
    <row r="85" spans="2:22" ht="15" x14ac:dyDescent="0.2">
      <c r="B85" s="138" t="s">
        <v>490</v>
      </c>
      <c r="C85" s="79">
        <v>0</v>
      </c>
      <c r="D85" s="79">
        <v>824488</v>
      </c>
      <c r="E85" s="79">
        <v>824488</v>
      </c>
      <c r="F85" s="79">
        <v>824488</v>
      </c>
      <c r="G85" s="79">
        <v>1759975</v>
      </c>
      <c r="H85" s="86"/>
      <c r="I85" s="61"/>
      <c r="J85" s="81"/>
      <c r="K85" s="81"/>
      <c r="L85" s="81"/>
      <c r="M85" s="81"/>
      <c r="N85" s="81"/>
      <c r="O85" s="82"/>
      <c r="P85" s="81"/>
      <c r="Q85" s="147"/>
      <c r="R85" s="147"/>
      <c r="S85" s="147"/>
      <c r="T85" s="147"/>
      <c r="U85" s="147"/>
    </row>
    <row r="86" spans="2:22" ht="15" x14ac:dyDescent="0.2">
      <c r="B86" s="179" t="s">
        <v>294</v>
      </c>
      <c r="C86" s="79" t="s">
        <v>182</v>
      </c>
      <c r="D86" s="79" t="s">
        <v>182</v>
      </c>
      <c r="E86" s="79" t="s">
        <v>182</v>
      </c>
      <c r="F86" s="79" t="s">
        <v>182</v>
      </c>
      <c r="G86" s="79">
        <v>-48226</v>
      </c>
      <c r="H86" s="86"/>
      <c r="I86" s="61"/>
      <c r="J86" s="81"/>
      <c r="K86" s="81"/>
      <c r="L86" s="81"/>
      <c r="M86" s="81"/>
      <c r="N86" s="81"/>
      <c r="O86" s="82"/>
      <c r="P86" s="81"/>
      <c r="Q86" s="147"/>
      <c r="R86" s="147"/>
      <c r="S86" s="147"/>
      <c r="T86" s="147"/>
      <c r="U86" s="147"/>
    </row>
    <row r="87" spans="2:22" ht="15" x14ac:dyDescent="0.2">
      <c r="B87" s="180" t="s">
        <v>74</v>
      </c>
      <c r="C87" s="190">
        <f>SUM(C81:C86)</f>
        <v>217045</v>
      </c>
      <c r="D87" s="190">
        <f>SUM(D81:D86)</f>
        <v>864579</v>
      </c>
      <c r="E87" s="190">
        <f>SUM(E81:E86)</f>
        <v>1088528</v>
      </c>
      <c r="F87" s="190">
        <f>SUM(F81:F86)</f>
        <v>1224417</v>
      </c>
      <c r="G87" s="190">
        <f>SUM(G81:G86)</f>
        <v>2941442</v>
      </c>
      <c r="H87" s="86"/>
      <c r="I87" s="61"/>
      <c r="J87" s="202">
        <f t="shared" si="12"/>
        <v>0.69118649249406083</v>
      </c>
      <c r="K87" s="202">
        <f t="shared" si="12"/>
        <v>0.70747150938285808</v>
      </c>
      <c r="L87" s="202">
        <f t="shared" si="12"/>
        <v>0.70849442461448742</v>
      </c>
      <c r="M87" s="202">
        <f t="shared" si="12"/>
        <v>0.69298215329725088</v>
      </c>
      <c r="N87" s="202">
        <f t="shared" si="12"/>
        <v>0.57454292026694942</v>
      </c>
      <c r="O87" s="185"/>
      <c r="P87" s="202"/>
      <c r="Q87" s="184">
        <f t="shared" si="13"/>
        <v>1</v>
      </c>
      <c r="R87" s="184">
        <f t="shared" si="13"/>
        <v>3.9834089704899904</v>
      </c>
      <c r="S87" s="184">
        <f t="shared" si="13"/>
        <v>5.0152180423414503</v>
      </c>
      <c r="T87" s="184">
        <f t="shared" si="13"/>
        <v>5.6413047985440805</v>
      </c>
      <c r="U87" s="184">
        <f t="shared" si="13"/>
        <v>13.552221889469926</v>
      </c>
    </row>
    <row r="88" spans="2:22" ht="15" x14ac:dyDescent="0.2">
      <c r="B88" s="179" t="s">
        <v>295</v>
      </c>
      <c r="C88" s="79"/>
      <c r="D88" s="79"/>
      <c r="E88" s="79"/>
      <c r="F88" s="79"/>
      <c r="G88" s="79"/>
      <c r="H88" s="86"/>
      <c r="I88" s="61"/>
      <c r="J88" s="81">
        <f t="shared" si="12"/>
        <v>0</v>
      </c>
      <c r="K88" s="81">
        <f t="shared" si="12"/>
        <v>0</v>
      </c>
      <c r="L88" s="81">
        <f t="shared" si="12"/>
        <v>0</v>
      </c>
      <c r="M88" s="81">
        <f t="shared" si="12"/>
        <v>0</v>
      </c>
      <c r="N88" s="81">
        <f t="shared" si="12"/>
        <v>0</v>
      </c>
      <c r="O88" s="82"/>
      <c r="P88" s="81"/>
      <c r="Q88" s="147" t="e">
        <f t="shared" si="13"/>
        <v>#DIV/0!</v>
      </c>
      <c r="R88" s="147" t="e">
        <f t="shared" si="13"/>
        <v>#DIV/0!</v>
      </c>
      <c r="S88" s="147" t="e">
        <f t="shared" si="13"/>
        <v>#DIV/0!</v>
      </c>
      <c r="T88" s="147" t="e">
        <f t="shared" si="13"/>
        <v>#DIV/0!</v>
      </c>
      <c r="U88" s="147" t="e">
        <f t="shared" si="13"/>
        <v>#DIV/0!</v>
      </c>
    </row>
    <row r="89" spans="2:22" ht="15" x14ac:dyDescent="0.2">
      <c r="B89" s="121" t="s">
        <v>296</v>
      </c>
      <c r="C89" s="189">
        <f>SUM(C87:C88)</f>
        <v>217045</v>
      </c>
      <c r="D89" s="189">
        <f>SUM(D87:D88)</f>
        <v>864579</v>
      </c>
      <c r="E89" s="189">
        <f>SUM(E87:E88)</f>
        <v>1088528</v>
      </c>
      <c r="F89" s="189">
        <f>SUM(F87:F88)</f>
        <v>1224417</v>
      </c>
      <c r="G89" s="189">
        <f>SUM(G87:G88)</f>
        <v>2941442</v>
      </c>
      <c r="H89" s="88"/>
      <c r="I89" s="87"/>
      <c r="J89" s="198">
        <f t="shared" si="12"/>
        <v>0.69118649249406083</v>
      </c>
      <c r="K89" s="198">
        <f t="shared" si="12"/>
        <v>0.70747150938285808</v>
      </c>
      <c r="L89" s="198">
        <f t="shared" si="12"/>
        <v>0.70849442461448742</v>
      </c>
      <c r="M89" s="198">
        <f t="shared" si="12"/>
        <v>0.69298215329725088</v>
      </c>
      <c r="N89" s="198">
        <f t="shared" si="12"/>
        <v>0.57454292026694942</v>
      </c>
      <c r="O89" s="197"/>
      <c r="P89" s="198"/>
      <c r="Q89" s="187">
        <f t="shared" si="13"/>
        <v>1</v>
      </c>
      <c r="R89" s="187">
        <f t="shared" si="13"/>
        <v>3.9834089704899904</v>
      </c>
      <c r="S89" s="187">
        <f t="shared" si="13"/>
        <v>5.0152180423414503</v>
      </c>
      <c r="T89" s="187">
        <f t="shared" si="13"/>
        <v>5.6413047985440805</v>
      </c>
      <c r="U89" s="187">
        <f t="shared" si="13"/>
        <v>13.552221889469926</v>
      </c>
    </row>
    <row r="90" spans="2:22" ht="16" thickBot="1" x14ac:dyDescent="0.25">
      <c r="B90" s="122" t="s">
        <v>75</v>
      </c>
      <c r="C90" s="188">
        <f>C89+C79</f>
        <v>314018</v>
      </c>
      <c r="D90" s="188">
        <f>D89+D79</f>
        <v>1222069</v>
      </c>
      <c r="E90" s="188">
        <f>E89+E79</f>
        <v>1536396</v>
      </c>
      <c r="F90" s="188">
        <f>F89+F79</f>
        <v>1766881</v>
      </c>
      <c r="G90" s="188">
        <f>G89+G79</f>
        <v>5119621</v>
      </c>
      <c r="H90" s="97"/>
      <c r="I90" s="96"/>
      <c r="J90" s="203">
        <f t="shared" si="12"/>
        <v>1</v>
      </c>
      <c r="K90" s="203">
        <f t="shared" si="12"/>
        <v>1</v>
      </c>
      <c r="L90" s="203">
        <f t="shared" si="12"/>
        <v>1</v>
      </c>
      <c r="M90" s="203">
        <f t="shared" si="12"/>
        <v>1</v>
      </c>
      <c r="N90" s="203">
        <f t="shared" si="12"/>
        <v>1</v>
      </c>
      <c r="O90" s="195"/>
      <c r="P90" s="196"/>
      <c r="Q90" s="204">
        <f t="shared" si="13"/>
        <v>1</v>
      </c>
      <c r="R90" s="204">
        <f t="shared" si="13"/>
        <v>3.8917163984230205</v>
      </c>
      <c r="S90" s="204">
        <f t="shared" si="13"/>
        <v>4.8927004184473502</v>
      </c>
      <c r="T90" s="204">
        <f t="shared" si="13"/>
        <v>5.6266870052035234</v>
      </c>
      <c r="U90" s="204">
        <f t="shared" si="13"/>
        <v>16.303590876956097</v>
      </c>
    </row>
    <row r="91" spans="2:22" ht="16" thickTop="1" x14ac:dyDescent="0.2">
      <c r="B91" s="51"/>
      <c r="C91" s="76"/>
      <c r="D91" s="76"/>
      <c r="E91" s="76"/>
      <c r="F91" s="76"/>
      <c r="G91" s="76"/>
      <c r="H91" s="56"/>
      <c r="I91" s="56"/>
      <c r="J91" s="76"/>
      <c r="K91" s="76"/>
      <c r="L91" s="76"/>
      <c r="M91" s="76"/>
      <c r="N91" s="76"/>
      <c r="O91" s="76"/>
      <c r="P91" s="76"/>
      <c r="Q91" s="116"/>
      <c r="R91" s="116"/>
      <c r="S91" s="116"/>
      <c r="T91" s="116"/>
      <c r="U91" s="116"/>
      <c r="V91" s="117"/>
    </row>
    <row r="92" spans="2:22" ht="24" thickBot="1" x14ac:dyDescent="0.3"/>
    <row r="93" spans="2:22" ht="16" thickBot="1" x14ac:dyDescent="0.25">
      <c r="B93" s="489" t="s">
        <v>151</v>
      </c>
      <c r="C93" s="517">
        <v>2021</v>
      </c>
      <c r="D93" s="517">
        <v>2022</v>
      </c>
      <c r="E93" s="517">
        <v>2023</v>
      </c>
      <c r="F93" s="517">
        <v>2024</v>
      </c>
      <c r="G93" s="518">
        <v>2025</v>
      </c>
    </row>
    <row r="94" spans="2:22" ht="15" x14ac:dyDescent="0.2">
      <c r="B94" s="476" t="str">
        <f>'FINANCIAL RATIOS'!B15</f>
        <v xml:space="preserve">Current Ratio = Current Assets / Current Liabilities </v>
      </c>
      <c r="C94" s="480">
        <f>'FINANCIAL RATIOS'!C19</f>
        <v>2.8173295820626261</v>
      </c>
      <c r="D94" s="480">
        <f>'FINANCIAL RATIOS'!D19</f>
        <v>5.6912551536005456</v>
      </c>
      <c r="E94" s="480">
        <f>'FINANCIAL RATIOS'!E19</f>
        <v>4.3559196422438573</v>
      </c>
      <c r="F94" s="480">
        <f>'FINANCIAL RATIOS'!F19</f>
        <v>3.6236748874936735</v>
      </c>
      <c r="G94" s="483">
        <f>'FINANCIAL RATIOS'!G19</f>
        <v>1.6789750131173253</v>
      </c>
    </row>
    <row r="95" spans="2:22" ht="15" x14ac:dyDescent="0.2">
      <c r="B95" s="477" t="str">
        <f>'FINANCIAL RATIOS'!B23</f>
        <v xml:space="preserve">Quick Ratio = (Current Assets - Inventories) / Current Liabilities </v>
      </c>
      <c r="C95" s="479">
        <f>'FINANCIAL RATIOS'!C27</f>
        <v>0.76391692796701172</v>
      </c>
      <c r="D95" s="479">
        <f>'FINANCIAL RATIOS'!D27</f>
        <v>4.6168945100592085</v>
      </c>
      <c r="E95" s="479">
        <f>'FINANCIAL RATIOS'!E27</f>
        <v>3.5270540430131629</v>
      </c>
      <c r="F95" s="479">
        <f>'FINANCIAL RATIOS'!F27</f>
        <v>3.2648446797160329</v>
      </c>
      <c r="G95" s="484">
        <f>'FINANCIAL RATIOS'!G27</f>
        <v>1.3659223936384217</v>
      </c>
    </row>
    <row r="96" spans="2:22" ht="15" x14ac:dyDescent="0.2">
      <c r="B96" s="477" t="str">
        <f>'FINANCIAL RATIOS'!B31</f>
        <v xml:space="preserve">Cash Ratio = Cash / Current Liabilities </v>
      </c>
      <c r="C96" s="479">
        <f>'FINANCIAL RATIOS'!C35</f>
        <v>0.17455220995661699</v>
      </c>
      <c r="D96" s="479">
        <f>'FINANCIAL RATIOS'!D35</f>
        <v>3.8076753774140548</v>
      </c>
      <c r="E96" s="479">
        <f>'FINANCIAL RATIOS'!E35</f>
        <v>2.7329915802944909</v>
      </c>
      <c r="F96" s="479">
        <f>'FINANCIAL RATIOS'!F35</f>
        <v>2.4353071525298535</v>
      </c>
      <c r="G96" s="484">
        <f>'FINANCIAL RATIOS'!G35</f>
        <v>0.369756546147956</v>
      </c>
    </row>
    <row r="97" spans="2:7" ht="15" x14ac:dyDescent="0.2">
      <c r="B97" s="477" t="str">
        <f>'FINANCIAL RATIOS'!B39</f>
        <v xml:space="preserve">NWC Ratio = (Current Assets - Current Liabilities) / Total Assets </v>
      </c>
      <c r="C97" s="481">
        <f>'FINANCIAL RATIOS'!C43</f>
        <v>0.5389404429045469</v>
      </c>
      <c r="D97" s="481">
        <f>'FINANCIAL RATIOS'!D43</f>
        <v>0.61917616763046934</v>
      </c>
      <c r="E97" s="481">
        <f>'FINANCIAL RATIOS'!E43</f>
        <v>0.60420034938908984</v>
      </c>
      <c r="F97" s="481">
        <f>'FINANCIAL RATIOS'!F43</f>
        <v>0.54278980870811333</v>
      </c>
      <c r="G97" s="485">
        <f>'FINANCIAL RATIOS'!G43</f>
        <v>0.14306293376013576</v>
      </c>
    </row>
    <row r="98" spans="2:7" ht="16" thickBot="1" x14ac:dyDescent="0.25">
      <c r="B98" s="477" t="str">
        <f>'FINANCIAL RATIOS'!B47</f>
        <v>Interval Measure = Current Assets / Average Daily Costs (COGS + Oper. Exp.)</v>
      </c>
      <c r="C98" s="479">
        <f>'FINANCIAL RATIOS'!C51</f>
        <v>300.79521111187893</v>
      </c>
      <c r="D98" s="479">
        <f>'FINANCIAL RATIOS'!D51</f>
        <v>412.93733092598637</v>
      </c>
      <c r="E98" s="479">
        <f>'FINANCIAL RATIOS'!E51</f>
        <v>418.19121987585203</v>
      </c>
      <c r="F98" s="479">
        <f>'FINANCIAL RATIOS'!F51</f>
        <v>402.92598895576469</v>
      </c>
      <c r="G98" s="484">
        <f>'FINANCIAL RATIOS'!G51</f>
        <v>278.43874186201958</v>
      </c>
    </row>
    <row r="99" spans="2:7" ht="24" thickBot="1" x14ac:dyDescent="0.3">
      <c r="B99" s="519"/>
      <c r="C99" s="512"/>
      <c r="D99" s="512"/>
      <c r="E99" s="512"/>
      <c r="F99" s="512"/>
      <c r="G99" s="512"/>
    </row>
    <row r="100" spans="2:7" ht="16" thickBot="1" x14ac:dyDescent="0.25">
      <c r="B100" s="489" t="s">
        <v>156</v>
      </c>
      <c r="C100" s="517">
        <v>2021</v>
      </c>
      <c r="D100" s="517">
        <v>2022</v>
      </c>
      <c r="E100" s="517">
        <v>2023</v>
      </c>
      <c r="F100" s="517">
        <v>2024</v>
      </c>
      <c r="G100" s="518">
        <v>2025</v>
      </c>
    </row>
    <row r="101" spans="2:7" ht="15" x14ac:dyDescent="0.2">
      <c r="B101" s="476" t="str">
        <f>'FINANCIAL RATIOS'!B58</f>
        <v>Total Debt Ratio = Financial Debt / Total Assets</v>
      </c>
      <c r="C101" s="499">
        <f>'FINANCIAL RATIOS'!C62</f>
        <v>0</v>
      </c>
      <c r="D101" s="499">
        <f>'FINANCIAL RATIOS'!D62</f>
        <v>0</v>
      </c>
      <c r="E101" s="499">
        <f>'FINANCIAL RATIOS'!E62</f>
        <v>0</v>
      </c>
      <c r="F101" s="499">
        <f>'FINANCIAL RATIOS'!F62</f>
        <v>0</v>
      </c>
      <c r="G101" s="498">
        <f>'FINANCIAL RATIOS'!G62</f>
        <v>0.13085460818291042</v>
      </c>
    </row>
    <row r="102" spans="2:7" ht="15" x14ac:dyDescent="0.2">
      <c r="B102" s="477" t="str">
        <f>'FINANCIAL RATIOS'!B66</f>
        <v xml:space="preserve">Debt-to-Equity Ratio = (Short-term Debt + Long-term Debt) / Total Equity </v>
      </c>
      <c r="C102" s="481">
        <f>'FINANCIAL RATIOS'!C70</f>
        <v>0</v>
      </c>
      <c r="D102" s="481">
        <f>'FINANCIAL RATIOS'!D70</f>
        <v>0</v>
      </c>
      <c r="E102" s="481">
        <f>'FINANCIAL RATIOS'!E70</f>
        <v>0</v>
      </c>
      <c r="F102" s="481">
        <f>'FINANCIAL RATIOS'!F70</f>
        <v>0</v>
      </c>
      <c r="G102" s="485">
        <f>'FINANCIAL RATIOS'!G70</f>
        <v>0.22775427834375112</v>
      </c>
    </row>
    <row r="103" spans="2:7" ht="15" x14ac:dyDescent="0.2">
      <c r="B103" s="477" t="str">
        <f>'FINANCIAL RATIOS'!B74</f>
        <v>Times Interest Earned = EBIT / Interest Expenses</v>
      </c>
      <c r="C103" s="479">
        <f>'FINANCIAL RATIOS'!C78</f>
        <v>-511.25</v>
      </c>
      <c r="D103" s="479">
        <f>'FINANCIAL RATIOS'!D78</f>
        <v>29.81878306878307</v>
      </c>
      <c r="E103" s="608" t="str">
        <f>'FINANCIAL RATIOS'!E78</f>
        <v>N/A</v>
      </c>
      <c r="F103" s="608" t="str">
        <f>'FINANCIAL RATIOS'!F78</f>
        <v>N/A</v>
      </c>
      <c r="G103" s="484">
        <f>'FINANCIAL RATIOS'!G78</f>
        <v>2.8801682422361519</v>
      </c>
    </row>
    <row r="104" spans="2:7" ht="16" thickBot="1" x14ac:dyDescent="0.25">
      <c r="B104" s="477" t="str">
        <f>'FINANCIAL RATIOS'!B82</f>
        <v>Cash Coverage Ratio = (EBIT+Depreciation) / Interest Expenses</v>
      </c>
      <c r="C104" s="479">
        <f>'FINANCIAL RATIOS'!C86</f>
        <v>-353.25</v>
      </c>
      <c r="D104" s="479">
        <f>'FINANCIAL RATIOS'!D86</f>
        <v>29.456538170823887</v>
      </c>
      <c r="E104" s="608" t="str">
        <f>'FINANCIAL RATIOS'!E86</f>
        <v>N/A</v>
      </c>
      <c r="F104" s="608" t="str">
        <f>'FINANCIAL RATIOS'!F86</f>
        <v>N/A</v>
      </c>
      <c r="G104" s="484">
        <f>'FINANCIAL RATIOS'!G86</f>
        <v>3.4814913122486066</v>
      </c>
    </row>
    <row r="105" spans="2:7" ht="24" thickBot="1" x14ac:dyDescent="0.3">
      <c r="B105" s="519"/>
      <c r="C105" s="512"/>
      <c r="D105" s="512"/>
      <c r="E105" s="512"/>
      <c r="F105" s="512"/>
      <c r="G105" s="512"/>
    </row>
    <row r="106" spans="2:7" ht="16" thickBot="1" x14ac:dyDescent="0.25">
      <c r="B106" s="489" t="s">
        <v>477</v>
      </c>
      <c r="C106" s="517">
        <v>2021</v>
      </c>
      <c r="D106" s="517">
        <v>2022</v>
      </c>
      <c r="E106" s="517">
        <v>2023</v>
      </c>
      <c r="F106" s="517">
        <v>2024</v>
      </c>
      <c r="G106" s="518">
        <v>2025</v>
      </c>
    </row>
    <row r="107" spans="2:7" ht="15" x14ac:dyDescent="0.2">
      <c r="B107" s="476" t="str">
        <f>'FINANCIAL RATIOS'!B93</f>
        <v xml:space="preserve">Assets Turnover Ratio = Sales / Total Assets </v>
      </c>
      <c r="C107" s="480">
        <f>'FINANCIAL RATIOS'!C97</f>
        <v>1.0008088708290608</v>
      </c>
      <c r="D107" s="480">
        <f>'FINANCIAL RATIOS'!D97</f>
        <v>0.5348339578207123</v>
      </c>
      <c r="E107" s="480">
        <f>'FINANCIAL RATIOS'!E97</f>
        <v>0.85786086399600103</v>
      </c>
      <c r="F107" s="480">
        <f>'FINANCIAL RATIOS'!F97</f>
        <v>0.76724465314868406</v>
      </c>
      <c r="G107" s="483">
        <f>'FINANCIAL RATIOS'!G97</f>
        <v>0.49129984426581574</v>
      </c>
    </row>
    <row r="108" spans="2:7" ht="15" x14ac:dyDescent="0.2">
      <c r="B108" s="477" t="str">
        <f>'FINANCIAL RATIOS'!B100</f>
        <v>Inventory Turnover = COGS / Inventories</v>
      </c>
      <c r="C108" s="479">
        <f>'FINANCIAL RATIOS'!C104</f>
        <v>0.97323006767003795</v>
      </c>
      <c r="D108" s="479">
        <f>'FINANCIAL RATIOS'!D104</f>
        <v>2.2086514435422906</v>
      </c>
      <c r="E108" s="479">
        <f>'FINANCIAL RATIOS'!E104</f>
        <v>2.9871333551412058</v>
      </c>
      <c r="F108" s="479">
        <f>'FINANCIAL RATIOS'!F104</f>
        <v>5.1494148591468765</v>
      </c>
      <c r="G108" s="484">
        <f>'FINANCIAL RATIOS'!G104</f>
        <v>3.6954201683160695</v>
      </c>
    </row>
    <row r="109" spans="2:7" ht="15" x14ac:dyDescent="0.2">
      <c r="B109" s="477" t="str">
        <f>'FINANCIAL RATIOS'!B107</f>
        <v>Days Sales in Inventory = 365 / Inventory Turnover</v>
      </c>
      <c r="C109" s="479">
        <f>'FINANCIAL RATIOS'!C111</f>
        <v>375.03978979382384</v>
      </c>
      <c r="D109" s="479">
        <f>'FINANCIAL RATIOS'!D111</f>
        <v>165.25921329379335</v>
      </c>
      <c r="E109" s="479">
        <f>'FINANCIAL RATIOS'!E111</f>
        <v>122.1907282350794</v>
      </c>
      <c r="F109" s="479">
        <f>'FINANCIAL RATIOS'!F111</f>
        <v>70.88183997287625</v>
      </c>
      <c r="G109" s="484">
        <f>'FINANCIAL RATIOS'!G111</f>
        <v>98.77090652084722</v>
      </c>
    </row>
    <row r="110" spans="2:7" ht="15" x14ac:dyDescent="0.2">
      <c r="B110" s="477" t="str">
        <f>'FINANCIAL RATIOS'!B114</f>
        <v xml:space="preserve">Receivables Turnover = Sales / Accounts Receivables </v>
      </c>
      <c r="C110" s="479">
        <f>'FINANCIAL RATIOS'!C118</f>
        <v>8.1121292687333835</v>
      </c>
      <c r="D110" s="479">
        <f>'FINANCIAL RATIOS'!D118</f>
        <v>10.323703621803478</v>
      </c>
      <c r="E110" s="479">
        <f>'FINANCIAL RATIOS'!E118</f>
        <v>7.1747004676025981</v>
      </c>
      <c r="F110" s="479">
        <f>'FINANCIAL RATIOS'!F118</f>
        <v>5.0145001516597496</v>
      </c>
      <c r="G110" s="484">
        <f>'FINANCIAL RATIOS'!G118</f>
        <v>3.3292817065277385</v>
      </c>
    </row>
    <row r="111" spans="2:7" ht="15" x14ac:dyDescent="0.2">
      <c r="B111" s="477" t="str">
        <f>'FINANCIAL RATIOS'!B121</f>
        <v>Days Sales in Receivables = 365 / Receivables Turnover</v>
      </c>
      <c r="C111" s="479">
        <f>'FINANCIAL RATIOS'!C125</f>
        <v>44.994352026270235</v>
      </c>
      <c r="D111" s="479">
        <f>'FINANCIAL RATIOS'!D125</f>
        <v>35.355528729934335</v>
      </c>
      <c r="E111" s="479">
        <f>'FINANCIAL RATIOS'!E125</f>
        <v>50.873203926513675</v>
      </c>
      <c r="F111" s="479">
        <f>'FINANCIAL RATIOS'!F125</f>
        <v>72.788909953305847</v>
      </c>
      <c r="G111" s="484">
        <f>'FINANCIAL RATIOS'!G125</f>
        <v>109.63325791396467</v>
      </c>
    </row>
    <row r="112" spans="2:7" ht="16" thickBot="1" x14ac:dyDescent="0.25">
      <c r="B112" s="477" t="str">
        <f>'FINANCIAL RATIOS'!B128</f>
        <v>Operating Cycle = Days Sales in Inventory + Days Sales in Receivables</v>
      </c>
      <c r="C112" s="479">
        <f>'FINANCIAL RATIOS'!C132</f>
        <v>420.03414182009408</v>
      </c>
      <c r="D112" s="479">
        <f>'FINANCIAL RATIOS'!D132</f>
        <v>200.61474202372767</v>
      </c>
      <c r="E112" s="479">
        <f>'FINANCIAL RATIOS'!E132</f>
        <v>173.06393216159307</v>
      </c>
      <c r="F112" s="479">
        <f>'FINANCIAL RATIOS'!F132</f>
        <v>143.67074992618211</v>
      </c>
      <c r="G112" s="484">
        <f>'FINANCIAL RATIOS'!G132</f>
        <v>208.40416443481189</v>
      </c>
    </row>
    <row r="113" spans="2:7" ht="24" thickBot="1" x14ac:dyDescent="0.3">
      <c r="B113" s="519"/>
      <c r="C113" s="512"/>
      <c r="D113" s="512"/>
      <c r="E113" s="512"/>
      <c r="F113" s="512"/>
      <c r="G113" s="512"/>
    </row>
    <row r="114" spans="2:7" ht="16" thickBot="1" x14ac:dyDescent="0.25">
      <c r="B114" s="489" t="s">
        <v>167</v>
      </c>
      <c r="C114" s="517">
        <v>2021</v>
      </c>
      <c r="D114" s="517">
        <v>2022</v>
      </c>
      <c r="E114" s="517">
        <v>2023</v>
      </c>
      <c r="F114" s="517">
        <v>2024</v>
      </c>
      <c r="G114" s="518">
        <v>2025</v>
      </c>
    </row>
    <row r="115" spans="2:7" ht="15" x14ac:dyDescent="0.2">
      <c r="B115" s="476" t="str">
        <f>'FINANCIAL RATIOS'!B139</f>
        <v xml:space="preserve">Gross Profit Margin = Gross Profits / Sales </v>
      </c>
      <c r="C115" s="480">
        <f>'FINANCIAL RATIOS'!C143</f>
        <v>0.40782825068730272</v>
      </c>
      <c r="D115" s="480">
        <f>'FINANCIAL RATIOS'!D143</f>
        <v>0.41442371833709707</v>
      </c>
      <c r="E115" s="480">
        <f>'FINANCIAL RATIOS'!E143</f>
        <v>0.48037350134368828</v>
      </c>
      <c r="F115" s="480">
        <f>'FINANCIAL RATIOS'!F143</f>
        <v>0.50176449326143568</v>
      </c>
      <c r="G115" s="483">
        <f>'FINANCIAL RATIOS'!G143</f>
        <v>0.50385585001047606</v>
      </c>
    </row>
    <row r="116" spans="2:7" ht="15" x14ac:dyDescent="0.2">
      <c r="B116" s="477" t="str">
        <f>'FINANCIAL RATIOS'!B147</f>
        <v>Operating Profit Margin = Operating Profits / Sales</v>
      </c>
      <c r="C116" s="479">
        <f>'FINANCIAL RATIOS'!C151</f>
        <v>-1.3014204256185725E-2</v>
      </c>
      <c r="D116" s="479">
        <f>'FINANCIAL RATIOS'!D151</f>
        <v>-0.24143212097845179</v>
      </c>
      <c r="E116" s="479">
        <f>'FINANCIAL RATIOS'!E151</f>
        <v>0.20209648759421373</v>
      </c>
      <c r="F116" s="479">
        <f>'FINANCIAL RATIOS'!F151</f>
        <v>0.11487500276624153</v>
      </c>
      <c r="G116" s="484">
        <f>'FINANCIAL RATIOS'!G151</f>
        <v>5.6082271916045562E-2</v>
      </c>
    </row>
    <row r="117" spans="2:7" ht="15" x14ac:dyDescent="0.2">
      <c r="B117" s="477" t="str">
        <f>'FINANCIAL RATIOS'!B155</f>
        <v xml:space="preserve">Net Profit Margin = Net Income / Sales </v>
      </c>
      <c r="C117" s="479">
        <f>'FINANCIAL RATIOS'!C159</f>
        <v>1.3405584970980551E-2</v>
      </c>
      <c r="D117" s="479">
        <f>'FINANCIAL RATIOS'!D159</f>
        <v>-0.28653741409171302</v>
      </c>
      <c r="E117" s="479">
        <f>'FINANCIAL RATIOS'!E159</f>
        <v>0.17207783832341689</v>
      </c>
      <c r="F117" s="479">
        <f>'FINANCIAL RATIOS'!F159</f>
        <v>0.10701592617454615</v>
      </c>
      <c r="G117" s="484">
        <f>'FINANCIAL RATIOS'!G159</f>
        <v>4.293735580568122E-2</v>
      </c>
    </row>
    <row r="118" spans="2:7" ht="15" x14ac:dyDescent="0.2">
      <c r="B118" s="477" t="str">
        <f>'FINANCIAL RATIOS'!B163</f>
        <v xml:space="preserve">Return on Assets (ROA) = Net Income / Total Assets </v>
      </c>
      <c r="C118" s="479">
        <f>'FINANCIAL RATIOS'!C167</f>
        <v>1.3416428357610073E-2</v>
      </c>
      <c r="D118" s="479">
        <f>'FINANCIAL RATIOS'!D167</f>
        <v>-0.1532499392423832</v>
      </c>
      <c r="E118" s="479">
        <f>'FINANCIAL RATIOS'!E167</f>
        <v>0.14761884305869061</v>
      </c>
      <c r="F118" s="479">
        <f>'FINANCIAL RATIOS'!F167</f>
        <v>8.2107397159174839E-2</v>
      </c>
      <c r="G118" s="484">
        <f>'FINANCIAL RATIOS'!G167</f>
        <v>2.1095116220517105E-2</v>
      </c>
    </row>
    <row r="119" spans="2:7" ht="15" x14ac:dyDescent="0.2">
      <c r="B119" s="477" t="str">
        <f>'FINANCIAL RATIOS'!B170</f>
        <v>Return on Equity (ROE) -based  on BV of equity = Net Income / Total Equity</v>
      </c>
      <c r="C119" s="479">
        <f>'FINANCIAL RATIOS'!C174</f>
        <v>1.9410721278997442E-2</v>
      </c>
      <c r="D119" s="479">
        <f>'FINANCIAL RATIOS'!D174</f>
        <v>-0.21661641099309606</v>
      </c>
      <c r="E119" s="479">
        <f>'FINANCIAL RATIOS'!E174</f>
        <v>0.20835568768097834</v>
      </c>
      <c r="F119" s="479">
        <f>'FINANCIAL RATIOS'!F174</f>
        <v>0.1184841438823538</v>
      </c>
      <c r="G119" s="484">
        <f>'FINANCIAL RATIOS'!G174</f>
        <v>3.6716345248350976E-2</v>
      </c>
    </row>
    <row r="120" spans="2:7" ht="16" thickBot="1" x14ac:dyDescent="0.25">
      <c r="B120" s="477" t="str">
        <f>'FINANCIAL RATIOS'!B178</f>
        <v xml:space="preserve">Return on Equity (ROE) - based on MV of equity = Net Income / Market Value of Equity </v>
      </c>
      <c r="C120" s="479">
        <f>'FINANCIAL RATIOS'!C182</f>
        <v>2.2623319834555603E-3</v>
      </c>
      <c r="D120" s="479">
        <f>'FINANCIAL RATIOS'!D182</f>
        <v>-7.070105981297127E-2</v>
      </c>
      <c r="E120" s="479">
        <f>'FINANCIAL RATIOS'!E182</f>
        <v>1.7947300742650357E-2</v>
      </c>
      <c r="F120" s="479">
        <f>'FINANCIAL RATIOS'!F182</f>
        <v>2.3435816056555193E-2</v>
      </c>
      <c r="G120" s="484">
        <f>'FINANCIAL RATIOS'!G182</f>
        <v>9.1907155852229902E-3</v>
      </c>
    </row>
    <row r="121" spans="2:7" ht="24" thickBot="1" x14ac:dyDescent="0.3">
      <c r="B121" s="519"/>
      <c r="C121" s="512"/>
      <c r="D121" s="512"/>
      <c r="E121" s="512"/>
      <c r="F121" s="512"/>
      <c r="G121" s="512"/>
    </row>
    <row r="122" spans="2:7" ht="16" thickBot="1" x14ac:dyDescent="0.25">
      <c r="B122" s="489" t="s">
        <v>174</v>
      </c>
      <c r="C122" s="517">
        <v>2021</v>
      </c>
      <c r="D122" s="517">
        <v>2022</v>
      </c>
      <c r="E122" s="517">
        <v>2023</v>
      </c>
      <c r="F122" s="517">
        <v>2024</v>
      </c>
      <c r="G122" s="518">
        <v>2025</v>
      </c>
    </row>
    <row r="123" spans="2:7" ht="15" x14ac:dyDescent="0.2">
      <c r="B123" s="476" t="str">
        <f>'FINANCIAL RATIOS'!B189</f>
        <v xml:space="preserve">Earnings Per Share (EPS) = Net Income / Number of shares outstanding </v>
      </c>
      <c r="C123" s="480">
        <f>'FINANCIAL RATIOS'!C193</f>
        <v>5.6241573108705228E-2</v>
      </c>
      <c r="D123" s="480">
        <f>'FINANCIAL RATIOS'!D193</f>
        <v>-2.4519127543138435</v>
      </c>
      <c r="E123" s="480">
        <f>'FINANCIAL RATIOS'!E193</f>
        <v>0.97848683648929757</v>
      </c>
      <c r="F123" s="480">
        <f>'FINANCIAL RATIOS'!F193</f>
        <v>0.61729939492966379</v>
      </c>
      <c r="G123" s="483">
        <f>'FINANCIAL RATIOS'!G193</f>
        <v>0.42038333086809959</v>
      </c>
    </row>
    <row r="124" spans="2:7" ht="15" x14ac:dyDescent="0.2">
      <c r="B124" s="477" t="str">
        <f>'FINANCIAL RATIOS'!B196</f>
        <v>Price-Earnings Ratio (P/E Ratio) = Price per share / EPS</v>
      </c>
      <c r="C124" s="479">
        <f>'FINANCIAL RATIOS'!C200</f>
        <v>442.02177545691904</v>
      </c>
      <c r="D124" s="479">
        <f>'FINANCIAL RATIOS'!D200</f>
        <v>-14.144059546566142</v>
      </c>
      <c r="E124" s="479">
        <f>'FINANCIAL RATIOS'!E200</f>
        <v>55.718685184985958</v>
      </c>
      <c r="F124" s="479">
        <f>'FINANCIAL RATIOS'!F200</f>
        <v>42.669732412424004</v>
      </c>
      <c r="G124" s="484">
        <f>'FINANCIAL RATIOS'!G200</f>
        <v>108.80545597644424</v>
      </c>
    </row>
    <row r="125" spans="2:7" ht="15" x14ac:dyDescent="0.2">
      <c r="B125" s="477" t="str">
        <f>'FINANCIAL RATIOS'!B203</f>
        <v>Market-to-Book Ratio = Market Value of Equity / Book Value of Equity</v>
      </c>
      <c r="C125" s="479">
        <f>'FINANCIAL RATIOS'!C207</f>
        <v>8.5799614826418491</v>
      </c>
      <c r="D125" s="479">
        <f>'FINANCIAL RATIOS'!D207</f>
        <v>3.0638354158497947</v>
      </c>
      <c r="E125" s="479">
        <f>'FINANCIAL RATIOS'!E207</f>
        <v>11.609304968397689</v>
      </c>
      <c r="F125" s="479">
        <f>'FINANCIAL RATIOS'!F207</f>
        <v>5.0556867145751809</v>
      </c>
      <c r="G125" s="484">
        <f>'FINANCIAL RATIOS'!G207</f>
        <v>3.99493868653538</v>
      </c>
    </row>
    <row r="126" spans="2:7" ht="16" thickBot="1" x14ac:dyDescent="0.25">
      <c r="B126" s="478" t="str">
        <f>'FINANCIAL RATIOS'!J21</f>
        <v>Free Cash Flow = Operating Cash Flow + Capital Expenditure</v>
      </c>
      <c r="C126" s="482">
        <f>'FINANCIAL RATIOS'!K26</f>
        <v>0</v>
      </c>
      <c r="D126" s="482">
        <f>'FINANCIAL RATIOS'!L26</f>
        <v>0</v>
      </c>
      <c r="E126" s="482">
        <f>'FINANCIAL RATIOS'!M26</f>
        <v>0</v>
      </c>
      <c r="F126" s="482">
        <f>'FINANCIAL RATIOS'!N26</f>
        <v>0</v>
      </c>
      <c r="G126" s="486">
        <f>'FINANCIAL RATIOS'!O26</f>
        <v>0</v>
      </c>
    </row>
    <row r="127" spans="2:7" ht="23" x14ac:dyDescent="0.25"/>
    <row r="128" spans="2:7" ht="23" x14ac:dyDescent="0.25"/>
  </sheetData>
  <mergeCells count="17">
    <mergeCell ref="U44:V44"/>
    <mergeCell ref="B1:V1"/>
    <mergeCell ref="B2:V2"/>
    <mergeCell ref="B3:V3"/>
    <mergeCell ref="U4:V4"/>
    <mergeCell ref="J6:N6"/>
    <mergeCell ref="Q6:U6"/>
    <mergeCell ref="J7:N7"/>
    <mergeCell ref="Q7:U7"/>
    <mergeCell ref="B41:V41"/>
    <mergeCell ref="B42:V42"/>
    <mergeCell ref="B43:V43"/>
    <mergeCell ref="U46:V46"/>
    <mergeCell ref="J47:N47"/>
    <mergeCell ref="Q47:U47"/>
    <mergeCell ref="J48:N48"/>
    <mergeCell ref="Q48:U48"/>
  </mergeCells>
  <pageMargins left="0.7" right="0.7" top="0.75" bottom="0.75" header="0.3" footer="0.3"/>
  <pageSetup orientation="portrait" horizontalDpi="4294967292" verticalDpi="429496729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F95F2-2C89-0241-B52B-A982085B51EF}">
  <sheetPr>
    <tabColor rgb="FF92D050"/>
  </sheetPr>
  <dimension ref="B1:AC127"/>
  <sheetViews>
    <sheetView showGridLines="0" topLeftCell="B1" workbookViewId="0">
      <selection activeCell="Q87" sqref="Q87:U87"/>
    </sheetView>
  </sheetViews>
  <sheetFormatPr baseColWidth="10" defaultColWidth="8.83203125" defaultRowHeight="23.25" customHeight="1" x14ac:dyDescent="0.25"/>
  <cols>
    <col min="2" max="2" width="79.33203125" style="47" bestFit="1" customWidth="1"/>
    <col min="3" max="3" width="9.33203125" customWidth="1"/>
    <col min="4" max="5" width="10.1640625" bestFit="1" customWidth="1"/>
    <col min="6" max="7" width="10.5" bestFit="1" customWidth="1"/>
    <col min="8" max="9" width="1.6640625" customWidth="1"/>
    <col min="10" max="14" width="7.6640625" customWidth="1"/>
    <col min="15" max="16" width="1.6640625" customWidth="1"/>
    <col min="17" max="21" width="7.83203125" customWidth="1"/>
    <col min="22" max="22" width="9.33203125" customWidth="1"/>
  </cols>
  <sheetData>
    <row r="1" spans="2:23" ht="20.25" customHeight="1" x14ac:dyDescent="0.2">
      <c r="B1" s="627" t="s">
        <v>491</v>
      </c>
      <c r="C1" s="627"/>
      <c r="D1" s="627"/>
      <c r="E1" s="627"/>
      <c r="F1" s="627"/>
      <c r="G1" s="627"/>
      <c r="H1" s="627"/>
      <c r="I1" s="627"/>
      <c r="J1" s="627"/>
      <c r="K1" s="627"/>
      <c r="L1" s="627"/>
      <c r="M1" s="627"/>
      <c r="N1" s="627"/>
      <c r="O1" s="627"/>
      <c r="P1" s="627"/>
      <c r="Q1" s="627"/>
      <c r="R1" s="627"/>
      <c r="S1" s="627"/>
      <c r="T1" s="627"/>
      <c r="U1" s="627"/>
      <c r="V1" s="627"/>
      <c r="W1" s="106"/>
    </row>
    <row r="2" spans="2:23" ht="15.75" customHeight="1" x14ac:dyDescent="0.2">
      <c r="B2" s="628" t="s">
        <v>1</v>
      </c>
      <c r="C2" s="628"/>
      <c r="D2" s="628"/>
      <c r="E2" s="628"/>
      <c r="F2" s="628"/>
      <c r="G2" s="628"/>
      <c r="H2" s="628"/>
      <c r="I2" s="628"/>
      <c r="J2" s="628"/>
      <c r="K2" s="628"/>
      <c r="L2" s="628"/>
      <c r="M2" s="628"/>
      <c r="N2" s="628"/>
      <c r="O2" s="628"/>
      <c r="P2" s="628"/>
      <c r="Q2" s="628"/>
      <c r="R2" s="628"/>
      <c r="S2" s="628"/>
      <c r="T2" s="628"/>
      <c r="U2" s="628"/>
      <c r="V2" s="628"/>
      <c r="W2" s="107"/>
    </row>
    <row r="3" spans="2:23" ht="15.75" customHeight="1" x14ac:dyDescent="0.2">
      <c r="B3" s="629" t="s">
        <v>2</v>
      </c>
      <c r="C3" s="629"/>
      <c r="D3" s="629"/>
      <c r="E3" s="629"/>
      <c r="F3" s="629"/>
      <c r="G3" s="629"/>
      <c r="H3" s="629"/>
      <c r="I3" s="629"/>
      <c r="J3" s="629"/>
      <c r="K3" s="629"/>
      <c r="L3" s="629"/>
      <c r="M3" s="629"/>
      <c r="N3" s="629"/>
      <c r="O3" s="629"/>
      <c r="P3" s="629"/>
      <c r="Q3" s="629"/>
      <c r="R3" s="629"/>
      <c r="S3" s="629"/>
      <c r="T3" s="629"/>
      <c r="U3" s="629"/>
      <c r="V3" s="629"/>
      <c r="W3" s="5"/>
    </row>
    <row r="4" spans="2:23" s="109" customFormat="1" ht="16" x14ac:dyDescent="0.2">
      <c r="B4" s="106" t="s">
        <v>3</v>
      </c>
      <c r="U4" s="616" t="s">
        <v>4</v>
      </c>
      <c r="V4" s="616"/>
    </row>
    <row r="5" spans="2:23" s="109" customFormat="1" ht="16" x14ac:dyDescent="0.2">
      <c r="B5" s="106" t="s">
        <v>5</v>
      </c>
    </row>
    <row r="6" spans="2:23" ht="15" x14ac:dyDescent="0.2">
      <c r="B6" s="2"/>
      <c r="J6" s="620" t="s">
        <v>7</v>
      </c>
      <c r="K6" s="620"/>
      <c r="L6" s="620"/>
      <c r="M6" s="620"/>
      <c r="N6" s="620"/>
      <c r="O6" s="3"/>
      <c r="P6" s="3"/>
      <c r="Q6" s="620" t="s">
        <v>8</v>
      </c>
      <c r="R6" s="620"/>
      <c r="S6" s="620"/>
      <c r="T6" s="620"/>
      <c r="U6" s="620"/>
      <c r="V6" s="4"/>
    </row>
    <row r="7" spans="2:23" ht="15" x14ac:dyDescent="0.2">
      <c r="B7" s="5"/>
      <c r="J7" s="621" t="s">
        <v>9</v>
      </c>
      <c r="K7" s="621"/>
      <c r="L7" s="621"/>
      <c r="M7" s="621"/>
      <c r="N7" s="621"/>
      <c r="O7" s="6"/>
      <c r="P7" s="6"/>
      <c r="Q7" s="622" t="s">
        <v>10</v>
      </c>
      <c r="R7" s="622"/>
      <c r="S7" s="622"/>
      <c r="T7" s="622"/>
      <c r="U7" s="622"/>
    </row>
    <row r="8" spans="2:23" ht="15" x14ac:dyDescent="0.2">
      <c r="B8" s="7" t="s">
        <v>11</v>
      </c>
      <c r="C8" s="8">
        <v>2021</v>
      </c>
      <c r="D8" s="8">
        <v>2022</v>
      </c>
      <c r="E8" s="8">
        <v>2023</v>
      </c>
      <c r="F8" s="8">
        <v>2024</v>
      </c>
      <c r="G8" s="134">
        <v>2025</v>
      </c>
      <c r="H8" s="9"/>
      <c r="I8" s="8"/>
      <c r="J8" s="8">
        <v>2021</v>
      </c>
      <c r="K8" s="8">
        <v>2022</v>
      </c>
      <c r="L8" s="8">
        <v>2023</v>
      </c>
      <c r="M8" s="8">
        <v>2024</v>
      </c>
      <c r="N8" s="134">
        <v>2025</v>
      </c>
      <c r="O8" s="9"/>
      <c r="P8" s="8"/>
      <c r="Q8" s="8">
        <v>2021</v>
      </c>
      <c r="R8" s="8">
        <v>2022</v>
      </c>
      <c r="S8" s="8">
        <v>2023</v>
      </c>
      <c r="T8" s="8">
        <v>2024</v>
      </c>
      <c r="U8" s="134">
        <v>2025</v>
      </c>
    </row>
    <row r="9" spans="2:23" ht="15" x14ac:dyDescent="0.2">
      <c r="B9" s="10" t="s">
        <v>268</v>
      </c>
      <c r="C9" s="205">
        <v>12683</v>
      </c>
      <c r="D9" s="206">
        <v>14057</v>
      </c>
      <c r="E9" s="206">
        <v>14814</v>
      </c>
      <c r="F9" s="206">
        <v>15351</v>
      </c>
      <c r="G9" s="206">
        <v>16603</v>
      </c>
      <c r="H9" s="12"/>
      <c r="I9" s="11"/>
      <c r="J9" s="13">
        <f t="shared" ref="J9:N11" si="0">C9/C$9</f>
        <v>1</v>
      </c>
      <c r="K9" s="13">
        <f t="shared" si="0"/>
        <v>1</v>
      </c>
      <c r="L9" s="13">
        <f t="shared" si="0"/>
        <v>1</v>
      </c>
      <c r="M9" s="13">
        <f t="shared" si="0"/>
        <v>1</v>
      </c>
      <c r="N9" s="13">
        <f t="shared" si="0"/>
        <v>1</v>
      </c>
      <c r="O9" s="14"/>
      <c r="P9" s="13"/>
      <c r="Q9" s="13">
        <f t="shared" ref="Q9:U11" si="1">C9/$C9</f>
        <v>1</v>
      </c>
      <c r="R9" s="13">
        <f t="shared" si="1"/>
        <v>1.1083339903808247</v>
      </c>
      <c r="S9" s="13">
        <f t="shared" si="1"/>
        <v>1.1680201844989355</v>
      </c>
      <c r="T9" s="13">
        <f t="shared" si="1"/>
        <v>1.2103603248442798</v>
      </c>
      <c r="U9" s="13">
        <f t="shared" si="1"/>
        <v>1.3090751399511156</v>
      </c>
    </row>
    <row r="10" spans="2:23" ht="14.25" customHeight="1" x14ac:dyDescent="0.2">
      <c r="B10" s="5" t="s">
        <v>13</v>
      </c>
      <c r="C10" s="207">
        <v>5706</v>
      </c>
      <c r="D10" s="207">
        <v>6734</v>
      </c>
      <c r="E10" s="207">
        <v>6734</v>
      </c>
      <c r="F10" s="207">
        <v>6822</v>
      </c>
      <c r="G10" s="207">
        <v>7604</v>
      </c>
      <c r="H10" s="22"/>
      <c r="I10" s="23"/>
      <c r="J10" s="181">
        <f t="shared" si="0"/>
        <v>0.44989355830639438</v>
      </c>
      <c r="K10" s="181">
        <f t="shared" si="0"/>
        <v>0.47904958383723412</v>
      </c>
      <c r="L10" s="181">
        <f t="shared" si="0"/>
        <v>0.45457000135007425</v>
      </c>
      <c r="M10" s="181">
        <f t="shared" si="0"/>
        <v>0.44440101622044165</v>
      </c>
      <c r="N10" s="181">
        <f t="shared" si="0"/>
        <v>0.45798951996627113</v>
      </c>
      <c r="O10" s="19"/>
      <c r="P10" s="18"/>
      <c r="Q10" s="181">
        <f t="shared" si="1"/>
        <v>1</v>
      </c>
      <c r="R10" s="181">
        <f t="shared" si="1"/>
        <v>1.180161233788994</v>
      </c>
      <c r="S10" s="181">
        <f t="shared" si="1"/>
        <v>1.180161233788994</v>
      </c>
      <c r="T10" s="181">
        <f t="shared" si="1"/>
        <v>1.1955835962145109</v>
      </c>
      <c r="U10" s="181">
        <f t="shared" si="1"/>
        <v>1.3326323168594463</v>
      </c>
    </row>
    <row r="11" spans="2:23" ht="15" x14ac:dyDescent="0.2">
      <c r="B11" s="53" t="s">
        <v>14</v>
      </c>
      <c r="C11" s="208">
        <f>C9-C10</f>
        <v>6977</v>
      </c>
      <c r="D11" s="208">
        <f>D9-D10</f>
        <v>7323</v>
      </c>
      <c r="E11" s="208">
        <f>E9-E10</f>
        <v>8080</v>
      </c>
      <c r="F11" s="208">
        <f>F9-F10</f>
        <v>8529</v>
      </c>
      <c r="G11" s="208">
        <f>G9-G10</f>
        <v>8999</v>
      </c>
      <c r="H11" s="25"/>
      <c r="I11" s="24"/>
      <c r="J11" s="16">
        <f t="shared" si="0"/>
        <v>0.55010644169360556</v>
      </c>
      <c r="K11" s="16">
        <f t="shared" si="0"/>
        <v>0.52095041616276583</v>
      </c>
      <c r="L11" s="16">
        <f t="shared" si="0"/>
        <v>0.5454299986499257</v>
      </c>
      <c r="M11" s="16">
        <f t="shared" si="0"/>
        <v>0.5555989837795583</v>
      </c>
      <c r="N11" s="16">
        <f t="shared" si="0"/>
        <v>0.54201048003372887</v>
      </c>
      <c r="O11" s="17"/>
      <c r="P11" s="16"/>
      <c r="Q11" s="16">
        <f t="shared" si="1"/>
        <v>1</v>
      </c>
      <c r="R11" s="16">
        <f t="shared" si="1"/>
        <v>1.0495915149777841</v>
      </c>
      <c r="S11" s="16">
        <f t="shared" si="1"/>
        <v>1.1580908700014332</v>
      </c>
      <c r="T11" s="16">
        <f t="shared" si="1"/>
        <v>1.2224451770101763</v>
      </c>
      <c r="U11" s="16">
        <f t="shared" si="1"/>
        <v>1.2898093736562992</v>
      </c>
    </row>
    <row r="12" spans="2:23" ht="6" customHeight="1" x14ac:dyDescent="0.2">
      <c r="B12" s="5"/>
      <c r="C12" s="209"/>
      <c r="D12" s="209"/>
      <c r="E12" s="209"/>
      <c r="F12" s="209"/>
      <c r="G12" s="209"/>
      <c r="H12" s="28"/>
      <c r="I12" s="27"/>
      <c r="J12" s="18"/>
      <c r="K12" s="18"/>
      <c r="L12" s="18"/>
      <c r="M12" s="18"/>
      <c r="N12" s="18"/>
      <c r="O12" s="19"/>
      <c r="P12" s="18"/>
      <c r="Q12" s="18"/>
      <c r="R12" s="18"/>
      <c r="S12" s="18"/>
      <c r="T12" s="18"/>
      <c r="U12" s="18"/>
    </row>
    <row r="13" spans="2:23" ht="15" x14ac:dyDescent="0.2">
      <c r="B13" s="5" t="s">
        <v>15</v>
      </c>
      <c r="C13" s="209"/>
      <c r="D13" s="209"/>
      <c r="E13" s="209"/>
      <c r="F13" s="209"/>
      <c r="G13" s="209"/>
      <c r="H13" s="28"/>
      <c r="I13" s="27"/>
      <c r="J13" s="18"/>
      <c r="K13" s="18"/>
      <c r="L13" s="18"/>
      <c r="M13" s="18"/>
      <c r="N13" s="18"/>
      <c r="O13" s="19"/>
      <c r="P13" s="18"/>
      <c r="Q13" s="183"/>
      <c r="R13" s="18"/>
      <c r="S13" s="18"/>
      <c r="T13" s="18"/>
      <c r="U13" s="18"/>
    </row>
    <row r="14" spans="2:23" ht="15" x14ac:dyDescent="0.2">
      <c r="B14" s="5" t="s">
        <v>269</v>
      </c>
      <c r="C14" s="209">
        <v>3765</v>
      </c>
      <c r="D14" s="209">
        <v>4283</v>
      </c>
      <c r="E14" s="209">
        <v>4488</v>
      </c>
      <c r="F14" s="209">
        <v>4525</v>
      </c>
      <c r="G14" s="209">
        <v>4874</v>
      </c>
      <c r="H14" s="34"/>
      <c r="I14" s="33"/>
      <c r="J14" s="18">
        <f t="shared" ref="J14:N16" si="2">C14/C$9</f>
        <v>0.29685405661121184</v>
      </c>
      <c r="K14" s="18">
        <f t="shared" si="2"/>
        <v>0.30468805577292452</v>
      </c>
      <c r="L14" s="18">
        <f t="shared" si="2"/>
        <v>0.30295666261644388</v>
      </c>
      <c r="M14" s="18">
        <f t="shared" si="2"/>
        <v>0.29476907041886524</v>
      </c>
      <c r="N14" s="18">
        <f t="shared" si="2"/>
        <v>0.29356140456544</v>
      </c>
      <c r="O14" s="19"/>
      <c r="P14" s="18"/>
      <c r="Q14" s="18">
        <f t="shared" ref="Q14:U16" si="3">C14/$C14</f>
        <v>1</v>
      </c>
      <c r="R14" s="18">
        <f t="shared" si="3"/>
        <v>1.1375830013280213</v>
      </c>
      <c r="S14" s="18">
        <f t="shared" si="3"/>
        <v>1.1920318725099601</v>
      </c>
      <c r="T14" s="18">
        <f t="shared" si="3"/>
        <v>1.201859229747676</v>
      </c>
      <c r="U14" s="18">
        <f t="shared" si="3"/>
        <v>1.294555112881806</v>
      </c>
    </row>
    <row r="15" spans="2:23" ht="15" x14ac:dyDescent="0.2">
      <c r="B15" s="5" t="s">
        <v>270</v>
      </c>
      <c r="C15" s="209">
        <v>183</v>
      </c>
      <c r="D15" s="209">
        <v>166</v>
      </c>
      <c r="E15" s="209">
        <v>365</v>
      </c>
      <c r="F15" s="209">
        <v>608</v>
      </c>
      <c r="G15" s="209">
        <v>413</v>
      </c>
      <c r="H15" s="34"/>
      <c r="I15" s="33"/>
      <c r="J15" s="18">
        <f t="shared" si="2"/>
        <v>1.4428762910983205E-2</v>
      </c>
      <c r="K15" s="18">
        <f t="shared" si="2"/>
        <v>1.1809063100234758E-2</v>
      </c>
      <c r="L15" s="18">
        <f t="shared" si="2"/>
        <v>2.4638855137032536E-2</v>
      </c>
      <c r="M15" s="18">
        <f t="shared" si="2"/>
        <v>3.9606540290534821E-2</v>
      </c>
      <c r="N15" s="18">
        <f t="shared" si="2"/>
        <v>2.4875022586279587E-2</v>
      </c>
      <c r="O15" s="19"/>
      <c r="P15" s="18"/>
      <c r="Q15" s="18">
        <f t="shared" si="3"/>
        <v>1</v>
      </c>
      <c r="R15" s="18">
        <f t="shared" si="3"/>
        <v>0.90710382513661203</v>
      </c>
      <c r="S15" s="18">
        <f t="shared" si="3"/>
        <v>1.9945355191256831</v>
      </c>
      <c r="T15" s="18">
        <f t="shared" si="3"/>
        <v>3.3224043715846996</v>
      </c>
      <c r="U15" s="18">
        <f t="shared" si="3"/>
        <v>2.2568306010928962</v>
      </c>
    </row>
    <row r="16" spans="2:23" ht="15" x14ac:dyDescent="0.2">
      <c r="B16" s="52" t="s">
        <v>20</v>
      </c>
      <c r="C16" s="210">
        <f>+C14+C15</f>
        <v>3948</v>
      </c>
      <c r="D16" s="210">
        <f>+D14+D15</f>
        <v>4449</v>
      </c>
      <c r="E16" s="210">
        <f>+E14+E15</f>
        <v>4853</v>
      </c>
      <c r="F16" s="210">
        <f>+F14+F15</f>
        <v>5133</v>
      </c>
      <c r="G16" s="210">
        <f>+G14+G15</f>
        <v>5287</v>
      </c>
      <c r="H16" s="34"/>
      <c r="I16" s="33"/>
      <c r="J16" s="181">
        <f t="shared" si="2"/>
        <v>0.31128281952219505</v>
      </c>
      <c r="K16" s="181">
        <f t="shared" si="2"/>
        <v>0.31649711887315929</v>
      </c>
      <c r="L16" s="181">
        <f t="shared" si="2"/>
        <v>0.32759551775347645</v>
      </c>
      <c r="M16" s="181">
        <f t="shared" si="2"/>
        <v>0.33437561070940003</v>
      </c>
      <c r="N16" s="181">
        <f t="shared" si="2"/>
        <v>0.31843642715171955</v>
      </c>
      <c r="O16" s="19"/>
      <c r="P16" s="18"/>
      <c r="Q16" s="181">
        <f t="shared" si="3"/>
        <v>1</v>
      </c>
      <c r="R16" s="181">
        <f t="shared" si="3"/>
        <v>1.1268996960486322</v>
      </c>
      <c r="S16" s="181">
        <f t="shared" si="3"/>
        <v>1.2292299898682877</v>
      </c>
      <c r="T16" s="181">
        <f t="shared" si="3"/>
        <v>1.3001519756838906</v>
      </c>
      <c r="U16" s="181">
        <f t="shared" si="3"/>
        <v>1.3391590678824721</v>
      </c>
    </row>
    <row r="17" spans="2:21" ht="6.75" customHeight="1" x14ac:dyDescent="0.2">
      <c r="B17" s="5"/>
      <c r="C17" s="209"/>
      <c r="D17" s="209"/>
      <c r="E17" s="209"/>
      <c r="F17" s="209"/>
      <c r="G17" s="209"/>
      <c r="H17" s="36"/>
      <c r="I17" s="35"/>
      <c r="J17" s="18"/>
      <c r="K17" s="18"/>
      <c r="L17" s="18"/>
      <c r="M17" s="18"/>
      <c r="N17" s="18"/>
      <c r="O17" s="19"/>
      <c r="P17" s="18"/>
      <c r="Q17" s="18"/>
      <c r="R17" s="18"/>
      <c r="S17" s="18"/>
      <c r="T17" s="18"/>
      <c r="U17" s="18"/>
    </row>
    <row r="18" spans="2:21" ht="15" x14ac:dyDescent="0.2">
      <c r="B18" s="10" t="s">
        <v>21</v>
      </c>
      <c r="C18" s="206">
        <f>C11-C16</f>
        <v>3029</v>
      </c>
      <c r="D18" s="206">
        <f>D11-D16</f>
        <v>2874</v>
      </c>
      <c r="E18" s="206">
        <f>E11-E16</f>
        <v>3227</v>
      </c>
      <c r="F18" s="206">
        <f>F11-F16</f>
        <v>3396</v>
      </c>
      <c r="G18" s="206">
        <f>G11-G16</f>
        <v>3712</v>
      </c>
      <c r="H18" s="38"/>
      <c r="I18" s="37"/>
      <c r="J18" s="16">
        <f t="shared" ref="J18:N22" si="4">C18/C$9</f>
        <v>0.23882362217141054</v>
      </c>
      <c r="K18" s="16">
        <f t="shared" si="4"/>
        <v>0.20445329728960659</v>
      </c>
      <c r="L18" s="16">
        <f t="shared" si="4"/>
        <v>0.2178344808964493</v>
      </c>
      <c r="M18" s="16">
        <f t="shared" si="4"/>
        <v>0.2212233730701583</v>
      </c>
      <c r="N18" s="16">
        <f t="shared" si="4"/>
        <v>0.22357405288200927</v>
      </c>
      <c r="O18" s="17"/>
      <c r="P18" s="16"/>
      <c r="Q18" s="16">
        <f t="shared" ref="Q18:U22" si="5">C18/$C18</f>
        <v>1</v>
      </c>
      <c r="R18" s="16">
        <f t="shared" si="5"/>
        <v>0.94882799603829648</v>
      </c>
      <c r="S18" s="16">
        <f t="shared" si="5"/>
        <v>1.0653681082865631</v>
      </c>
      <c r="T18" s="16">
        <f t="shared" si="5"/>
        <v>1.1211620997028722</v>
      </c>
      <c r="U18" s="16">
        <f t="shared" si="5"/>
        <v>1.2254869593925388</v>
      </c>
    </row>
    <row r="19" spans="2:21" ht="15" x14ac:dyDescent="0.2">
      <c r="B19" s="5" t="s">
        <v>271</v>
      </c>
      <c r="C19" s="209"/>
      <c r="D19" s="209"/>
      <c r="E19" s="209"/>
      <c r="F19" s="209"/>
      <c r="G19" s="209"/>
      <c r="H19" s="17"/>
      <c r="I19" s="16"/>
      <c r="J19" s="18">
        <f t="shared" si="4"/>
        <v>0</v>
      </c>
      <c r="K19" s="18">
        <f t="shared" si="4"/>
        <v>0</v>
      </c>
      <c r="L19" s="18">
        <f t="shared" si="4"/>
        <v>0</v>
      </c>
      <c r="M19" s="18">
        <f t="shared" si="4"/>
        <v>0</v>
      </c>
      <c r="N19" s="18">
        <f t="shared" si="4"/>
        <v>0</v>
      </c>
      <c r="O19" s="19"/>
      <c r="P19" s="18"/>
      <c r="Q19" s="18"/>
      <c r="R19" s="18"/>
      <c r="S19" s="18"/>
      <c r="T19" s="18"/>
      <c r="U19" s="18"/>
    </row>
    <row r="20" spans="2:21" ht="15" x14ac:dyDescent="0.2">
      <c r="B20" s="5" t="s">
        <v>272</v>
      </c>
      <c r="C20" s="41">
        <v>500</v>
      </c>
      <c r="D20" s="41">
        <v>693</v>
      </c>
      <c r="E20" s="41">
        <v>496</v>
      </c>
      <c r="F20" s="41">
        <v>735</v>
      </c>
      <c r="G20" s="41">
        <v>754</v>
      </c>
      <c r="H20" s="17"/>
      <c r="I20" s="16"/>
      <c r="J20" s="18">
        <f t="shared" si="4"/>
        <v>3.9422849483560674E-2</v>
      </c>
      <c r="K20" s="18">
        <f t="shared" si="4"/>
        <v>4.929928149676318E-2</v>
      </c>
      <c r="L20" s="18">
        <f t="shared" si="4"/>
        <v>3.3481841501282569E-2</v>
      </c>
      <c r="M20" s="18">
        <f t="shared" si="4"/>
        <v>4.7879616963064295E-2</v>
      </c>
      <c r="N20" s="18">
        <f t="shared" si="4"/>
        <v>4.5413479491658137E-2</v>
      </c>
      <c r="O20" s="19"/>
      <c r="P20" s="18"/>
      <c r="Q20" s="18">
        <f t="shared" si="5"/>
        <v>1</v>
      </c>
      <c r="R20" s="18">
        <f t="shared" si="5"/>
        <v>1.3859999999999999</v>
      </c>
      <c r="S20" s="18">
        <f t="shared" si="5"/>
        <v>0.99199999999999999</v>
      </c>
      <c r="T20" s="18">
        <f t="shared" si="5"/>
        <v>1.47</v>
      </c>
      <c r="U20" s="18">
        <f t="shared" si="5"/>
        <v>1.508</v>
      </c>
    </row>
    <row r="21" spans="2:21" ht="15" x14ac:dyDescent="0.2">
      <c r="B21" s="5" t="s">
        <v>273</v>
      </c>
      <c r="C21" s="209">
        <v>-5</v>
      </c>
      <c r="D21" s="209">
        <v>-5</v>
      </c>
      <c r="E21" s="209">
        <v>33</v>
      </c>
      <c r="F21" s="209">
        <v>42</v>
      </c>
      <c r="G21" s="209">
        <v>81</v>
      </c>
      <c r="H21" s="17"/>
      <c r="I21" s="16"/>
      <c r="J21" s="18">
        <f t="shared" si="4"/>
        <v>-3.9422849483560673E-4</v>
      </c>
      <c r="K21" s="18">
        <f t="shared" si="4"/>
        <v>-3.5569467169381801E-4</v>
      </c>
      <c r="L21" s="18">
        <f t="shared" si="4"/>
        <v>2.2276225192385582E-3</v>
      </c>
      <c r="M21" s="18">
        <f t="shared" si="4"/>
        <v>2.7359781121751026E-3</v>
      </c>
      <c r="N21" s="18">
        <f t="shared" si="4"/>
        <v>4.8786363910136724E-3</v>
      </c>
      <c r="O21" s="19"/>
      <c r="P21" s="18"/>
      <c r="Q21" s="18">
        <f t="shared" si="5"/>
        <v>1</v>
      </c>
      <c r="R21" s="18">
        <f t="shared" si="5"/>
        <v>1</v>
      </c>
      <c r="S21" s="18">
        <f t="shared" si="5"/>
        <v>-6.6</v>
      </c>
      <c r="T21" s="18">
        <f t="shared" si="5"/>
        <v>-8.4</v>
      </c>
      <c r="U21" s="18">
        <f t="shared" si="5"/>
        <v>-16.2</v>
      </c>
    </row>
    <row r="22" spans="2:21" ht="15" x14ac:dyDescent="0.2">
      <c r="B22" s="5" t="s">
        <v>274</v>
      </c>
      <c r="C22" s="210">
        <v>274</v>
      </c>
      <c r="D22" s="210">
        <v>-457</v>
      </c>
      <c r="E22" s="210">
        <v>-7</v>
      </c>
      <c r="F22" s="210">
        <v>-789</v>
      </c>
      <c r="G22" s="210">
        <v>-352</v>
      </c>
      <c r="H22" s="17"/>
      <c r="I22" s="16"/>
      <c r="J22" s="181">
        <f t="shared" si="4"/>
        <v>2.1603721516991248E-2</v>
      </c>
      <c r="K22" s="181">
        <f t="shared" si="4"/>
        <v>-3.2510492992814971E-2</v>
      </c>
      <c r="L22" s="181">
        <f t="shared" si="4"/>
        <v>-4.7252598892939113E-4</v>
      </c>
      <c r="M22" s="181">
        <f t="shared" si="4"/>
        <v>-5.1397303107289426E-2</v>
      </c>
      <c r="N22" s="181">
        <f t="shared" si="4"/>
        <v>-2.1200987773293982E-2</v>
      </c>
      <c r="O22" s="19"/>
      <c r="P22" s="18"/>
      <c r="Q22" s="181">
        <f t="shared" si="5"/>
        <v>1</v>
      </c>
      <c r="R22" s="181">
        <f t="shared" si="5"/>
        <v>-1.667883211678832</v>
      </c>
      <c r="S22" s="181">
        <f t="shared" si="5"/>
        <v>-2.5547445255474453E-2</v>
      </c>
      <c r="T22" s="181">
        <f t="shared" si="5"/>
        <v>-2.8795620437956204</v>
      </c>
      <c r="U22" s="181">
        <f t="shared" si="5"/>
        <v>-1.2846715328467153</v>
      </c>
    </row>
    <row r="23" spans="2:21" ht="6.75" customHeight="1" x14ac:dyDescent="0.2">
      <c r="B23" s="5"/>
      <c r="C23" s="209"/>
      <c r="D23" s="209"/>
      <c r="E23" s="209"/>
      <c r="F23" s="209"/>
      <c r="G23" s="209"/>
      <c r="H23" s="32"/>
      <c r="I23" s="31"/>
      <c r="J23" s="18"/>
      <c r="K23" s="18"/>
      <c r="L23" s="18"/>
      <c r="M23" s="18"/>
      <c r="N23" s="18"/>
      <c r="O23" s="19"/>
      <c r="P23" s="18"/>
      <c r="Q23" s="18"/>
      <c r="R23" s="18"/>
      <c r="S23" s="18"/>
      <c r="T23" s="18"/>
      <c r="U23" s="18"/>
    </row>
    <row r="24" spans="2:21" ht="15" x14ac:dyDescent="0.2">
      <c r="B24" s="5" t="s">
        <v>24</v>
      </c>
      <c r="C24" s="206">
        <f>C18+C19-C20+C21+C22</f>
        <v>2798</v>
      </c>
      <c r="D24" s="206">
        <f>D18+D19-D20+D21+D22</f>
        <v>1719</v>
      </c>
      <c r="E24" s="206">
        <f>E18+E19-E20+E21+E22</f>
        <v>2757</v>
      </c>
      <c r="F24" s="206">
        <f>F18+F19-F20+F21+F22</f>
        <v>1914</v>
      </c>
      <c r="G24" s="206">
        <f>G18+G19-G20+G21+G22</f>
        <v>2687</v>
      </c>
      <c r="H24" s="32"/>
      <c r="I24" s="31"/>
      <c r="J24" s="16">
        <f t="shared" ref="J24:N26" si="6">C24/C$9</f>
        <v>0.22061026571000553</v>
      </c>
      <c r="K24" s="16">
        <f t="shared" si="6"/>
        <v>0.12228782812833464</v>
      </c>
      <c r="L24" s="16">
        <f t="shared" si="6"/>
        <v>0.18610773592547591</v>
      </c>
      <c r="M24" s="16">
        <f t="shared" si="6"/>
        <v>0.12468243111197967</v>
      </c>
      <c r="N24" s="16">
        <f t="shared" si="6"/>
        <v>0.16183822200807083</v>
      </c>
      <c r="O24" s="19"/>
      <c r="P24" s="18"/>
      <c r="Q24" s="16">
        <f t="shared" ref="Q24:U26" si="7">C24/$C24</f>
        <v>1</v>
      </c>
      <c r="R24" s="16">
        <f t="shared" si="7"/>
        <v>0.61436740528949252</v>
      </c>
      <c r="S24" s="16">
        <f t="shared" si="7"/>
        <v>0.98534667619728378</v>
      </c>
      <c r="T24" s="16">
        <f t="shared" si="7"/>
        <v>0.684060042887777</v>
      </c>
      <c r="U24" s="16">
        <f t="shared" si="7"/>
        <v>0.96032880629020734</v>
      </c>
    </row>
    <row r="25" spans="2:21" ht="15" x14ac:dyDescent="0.2">
      <c r="B25" s="5" t="s">
        <v>25</v>
      </c>
      <c r="C25" s="209">
        <v>653</v>
      </c>
      <c r="D25" s="209">
        <v>284</v>
      </c>
      <c r="E25" s="209">
        <v>576</v>
      </c>
      <c r="F25" s="209">
        <v>473</v>
      </c>
      <c r="G25" s="209">
        <v>608</v>
      </c>
      <c r="H25" s="34"/>
      <c r="I25" s="33"/>
      <c r="J25" s="18">
        <f t="shared" si="6"/>
        <v>5.1486241425530238E-2</v>
      </c>
      <c r="K25" s="18">
        <f t="shared" si="6"/>
        <v>2.0203457352208864E-2</v>
      </c>
      <c r="L25" s="18">
        <f t="shared" si="6"/>
        <v>3.8882138517618466E-2</v>
      </c>
      <c r="M25" s="18">
        <f t="shared" si="6"/>
        <v>3.081232492997199E-2</v>
      </c>
      <c r="N25" s="18">
        <f t="shared" si="6"/>
        <v>3.661988797205324E-2</v>
      </c>
      <c r="O25" s="19"/>
      <c r="P25" s="18"/>
      <c r="Q25" s="18">
        <f t="shared" si="7"/>
        <v>1</v>
      </c>
      <c r="R25" s="18">
        <f t="shared" si="7"/>
        <v>0.43491577335375192</v>
      </c>
      <c r="S25" s="18">
        <f t="shared" si="7"/>
        <v>0.8820826952526799</v>
      </c>
      <c r="T25" s="18">
        <f t="shared" si="7"/>
        <v>0.72434915773353747</v>
      </c>
      <c r="U25" s="18">
        <f t="shared" si="7"/>
        <v>0.93108728943338437</v>
      </c>
    </row>
    <row r="26" spans="2:21" ht="15" x14ac:dyDescent="0.2">
      <c r="B26" s="5" t="s">
        <v>26</v>
      </c>
      <c r="C26" s="209">
        <f>C25/C24</f>
        <v>0.23338098641887062</v>
      </c>
      <c r="D26" s="209">
        <f>D25/D24</f>
        <v>0.16521233275159977</v>
      </c>
      <c r="E26" s="209">
        <f>E25/E24</f>
        <v>0.20892274211099021</v>
      </c>
      <c r="F26" s="209">
        <f>F25/F24</f>
        <v>0.2471264367816092</v>
      </c>
      <c r="G26" s="209">
        <f>G25/G24</f>
        <v>0.22627465574990696</v>
      </c>
      <c r="H26" s="19"/>
      <c r="I26" s="18"/>
      <c r="J26" s="18">
        <f t="shared" si="6"/>
        <v>1.8401086999832108E-5</v>
      </c>
      <c r="K26" s="18">
        <f t="shared" si="6"/>
        <v>1.175302929157002E-5</v>
      </c>
      <c r="L26" s="18">
        <f t="shared" si="6"/>
        <v>1.4103060760833685E-5</v>
      </c>
      <c r="M26" s="18">
        <f t="shared" si="6"/>
        <v>1.6098393380340642E-5</v>
      </c>
      <c r="N26" s="18">
        <f t="shared" si="6"/>
        <v>1.362854036920478E-5</v>
      </c>
      <c r="O26" s="19"/>
      <c r="P26" s="18"/>
      <c r="Q26" s="18">
        <f t="shared" si="7"/>
        <v>1</v>
      </c>
      <c r="R26" s="18">
        <f t="shared" si="7"/>
        <v>0.70790828030471087</v>
      </c>
      <c r="S26" s="18">
        <f t="shared" si="7"/>
        <v>0.89520035593652469</v>
      </c>
      <c r="T26" s="18">
        <f t="shared" si="7"/>
        <v>1.0588970445864359</v>
      </c>
      <c r="U26" s="18">
        <f t="shared" si="7"/>
        <v>0.96955051575534412</v>
      </c>
    </row>
    <row r="27" spans="2:21" ht="9" customHeight="1" x14ac:dyDescent="0.2">
      <c r="B27" s="5"/>
      <c r="C27" s="209"/>
      <c r="D27" s="209"/>
      <c r="E27" s="209"/>
      <c r="F27" s="209"/>
      <c r="G27" s="209"/>
      <c r="H27" s="32"/>
      <c r="I27" s="31"/>
      <c r="J27" s="18"/>
      <c r="K27" s="18"/>
      <c r="L27" s="18"/>
      <c r="M27" s="18"/>
      <c r="N27" s="18"/>
      <c r="O27" s="19"/>
      <c r="P27" s="18"/>
      <c r="Q27" s="18"/>
      <c r="R27" s="18"/>
      <c r="S27" s="18"/>
      <c r="T27" s="18"/>
      <c r="U27" s="18"/>
    </row>
    <row r="28" spans="2:21" ht="16" thickBot="1" x14ac:dyDescent="0.25">
      <c r="B28" s="10" t="s">
        <v>27</v>
      </c>
      <c r="C28" s="211">
        <f>C24-C25</f>
        <v>2145</v>
      </c>
      <c r="D28" s="211">
        <f>D24-D25</f>
        <v>1435</v>
      </c>
      <c r="E28" s="211">
        <f>E24-E25</f>
        <v>2181</v>
      </c>
      <c r="F28" s="211">
        <f>F24-F25</f>
        <v>1441</v>
      </c>
      <c r="G28" s="211">
        <f>G24-G25</f>
        <v>2079</v>
      </c>
      <c r="H28" s="38"/>
      <c r="I28" s="37"/>
      <c r="J28" s="182">
        <f>C28/C$9</f>
        <v>0.16912402428447529</v>
      </c>
      <c r="K28" s="182">
        <f>D28/D$9</f>
        <v>0.10208437077612577</v>
      </c>
      <c r="L28" s="182">
        <f>E28/E$9</f>
        <v>0.14722559740785743</v>
      </c>
      <c r="M28" s="182">
        <f>F28/F$9</f>
        <v>9.3870106182007682E-2</v>
      </c>
      <c r="N28" s="182">
        <f>G28/G$9</f>
        <v>0.12521833403601759</v>
      </c>
      <c r="O28" s="17"/>
      <c r="P28" s="16"/>
      <c r="Q28" s="182">
        <f>C28/$C28</f>
        <v>1</v>
      </c>
      <c r="R28" s="182">
        <f>D28/$C28</f>
        <v>0.66899766899766899</v>
      </c>
      <c r="S28" s="182">
        <f>E28/$C28</f>
        <v>1.0167832167832167</v>
      </c>
      <c r="T28" s="182">
        <f>F28/$C28</f>
        <v>0.67179487179487174</v>
      </c>
      <c r="U28" s="182">
        <f>G28/$C28</f>
        <v>0.96923076923076923</v>
      </c>
    </row>
    <row r="29" spans="2:21" ht="9.75" customHeight="1" thickTop="1" x14ac:dyDescent="0.2">
      <c r="B29" s="5"/>
      <c r="C29" s="31"/>
      <c r="D29" s="31"/>
      <c r="E29" s="31"/>
      <c r="F29" s="31"/>
      <c r="G29" s="31"/>
      <c r="H29" s="32"/>
      <c r="I29" s="31"/>
      <c r="J29" s="18"/>
      <c r="K29" s="18"/>
      <c r="L29" s="18"/>
      <c r="M29" s="18"/>
      <c r="N29" s="18"/>
      <c r="O29" s="19"/>
      <c r="P29" s="18"/>
      <c r="Q29" s="20"/>
      <c r="R29" s="20"/>
      <c r="S29" s="20"/>
      <c r="T29" s="20"/>
      <c r="U29" s="20"/>
    </row>
    <row r="30" spans="2:21" ht="15" x14ac:dyDescent="0.2">
      <c r="B30" s="10" t="s">
        <v>118</v>
      </c>
      <c r="C30" s="31">
        <f>KDP!B45</f>
        <v>1415.7</v>
      </c>
      <c r="D30" s="31">
        <f>KDP!C45</f>
        <v>1416.8</v>
      </c>
      <c r="E30" s="31">
        <f>KDP!D45</f>
        <v>1399.3</v>
      </c>
      <c r="F30" s="31">
        <f>KDP!E45</f>
        <v>1362.2</v>
      </c>
      <c r="G30" s="31">
        <f>KDP!F45</f>
        <v>1358.1</v>
      </c>
      <c r="H30" s="40"/>
      <c r="I30" s="39"/>
      <c r="J30" s="18"/>
      <c r="K30" s="18"/>
      <c r="L30" s="18"/>
      <c r="M30" s="18"/>
      <c r="N30" s="18"/>
      <c r="O30" s="19"/>
      <c r="P30" s="18"/>
      <c r="Q30" s="20"/>
      <c r="R30" s="20"/>
      <c r="S30" s="20"/>
      <c r="T30" s="20"/>
      <c r="U30" s="20"/>
    </row>
    <row r="31" spans="2:21" ht="15" x14ac:dyDescent="0.2">
      <c r="B31" s="53" t="s">
        <v>30</v>
      </c>
      <c r="C31" s="41">
        <f>KDP!B101</f>
        <v>29</v>
      </c>
      <c r="D31" s="41">
        <f>KDP!C101</f>
        <v>36</v>
      </c>
      <c r="E31" s="41">
        <f>KDP!D101</f>
        <v>32</v>
      </c>
      <c r="F31" s="41">
        <f>KDP!E101</f>
        <v>32</v>
      </c>
      <c r="G31" s="41">
        <f>KDP!F101</f>
        <v>28</v>
      </c>
      <c r="H31" s="42"/>
      <c r="I31" s="41"/>
      <c r="J31" s="18"/>
      <c r="K31" s="18"/>
      <c r="L31" s="18"/>
      <c r="M31" s="18"/>
      <c r="N31" s="18"/>
      <c r="O31" s="19"/>
      <c r="P31" s="18"/>
      <c r="Q31" s="20"/>
      <c r="R31" s="20"/>
      <c r="S31" s="20"/>
      <c r="T31" s="20"/>
      <c r="U31" s="20"/>
    </row>
    <row r="32" spans="2:21" ht="15" x14ac:dyDescent="0.2">
      <c r="B32" s="52"/>
      <c r="C32" s="41"/>
      <c r="D32" s="41"/>
      <c r="E32" s="41"/>
      <c r="F32" s="41"/>
      <c r="G32" s="41"/>
      <c r="H32" s="42"/>
      <c r="I32" s="41"/>
      <c r="J32" s="18"/>
      <c r="K32" s="18"/>
      <c r="L32" s="18"/>
      <c r="M32" s="18"/>
      <c r="N32" s="18"/>
      <c r="O32" s="19"/>
      <c r="P32" s="18"/>
      <c r="Q32" s="20"/>
      <c r="R32" s="20"/>
      <c r="S32" s="20"/>
      <c r="T32" s="20"/>
      <c r="U32" s="20"/>
    </row>
    <row r="33" spans="2:22" ht="8.25" customHeight="1" x14ac:dyDescent="0.2">
      <c r="B33" s="43"/>
      <c r="C33" s="44"/>
      <c r="D33" s="44"/>
      <c r="E33" s="44"/>
      <c r="F33" s="44"/>
      <c r="G33" s="44"/>
      <c r="H33" s="44"/>
      <c r="I33" s="44"/>
      <c r="J33" s="45"/>
      <c r="K33" s="45"/>
      <c r="L33" s="45"/>
      <c r="M33" s="45"/>
      <c r="N33" s="45"/>
      <c r="O33" s="44"/>
      <c r="P33" s="44"/>
      <c r="Q33" s="46"/>
      <c r="R33" s="46"/>
      <c r="S33" s="46"/>
      <c r="T33" s="46"/>
      <c r="U33" s="46"/>
    </row>
    <row r="34" spans="2:22" ht="15" x14ac:dyDescent="0.2">
      <c r="B34" s="1"/>
      <c r="C34" s="54"/>
      <c r="D34" s="54"/>
      <c r="E34" s="54"/>
      <c r="F34" s="54"/>
      <c r="G34" s="54"/>
      <c r="H34" s="54"/>
      <c r="I34" s="54"/>
      <c r="J34" s="69"/>
      <c r="K34" s="69"/>
      <c r="L34" s="69"/>
      <c r="M34" s="69"/>
      <c r="N34" s="69"/>
      <c r="O34" s="69"/>
      <c r="P34" s="69"/>
      <c r="Q34" s="70"/>
      <c r="R34" s="70"/>
      <c r="S34" s="70"/>
      <c r="T34" s="70"/>
      <c r="U34" s="70"/>
    </row>
    <row r="35" spans="2:22" ht="15" x14ac:dyDescent="0.2">
      <c r="B35" s="5" t="s">
        <v>119</v>
      </c>
      <c r="C35" s="209">
        <f>KDP!B18</f>
        <v>177</v>
      </c>
      <c r="D35" s="209">
        <f>KDP!C18</f>
        <v>170</v>
      </c>
      <c r="E35" s="209">
        <f>KDP!D18</f>
        <v>171</v>
      </c>
      <c r="F35" s="209">
        <f>KDP!E18</f>
        <v>188</v>
      </c>
      <c r="G35" s="209">
        <f>KDP!F18</f>
        <v>209</v>
      </c>
    </row>
    <row r="36" spans="2:22" ht="15" x14ac:dyDescent="0.2">
      <c r="B36" s="5" t="s">
        <v>120</v>
      </c>
      <c r="C36" s="209"/>
      <c r="D36" s="209"/>
      <c r="E36" s="209"/>
      <c r="F36" s="209"/>
      <c r="G36" s="209"/>
    </row>
    <row r="37" spans="2:22" ht="15" x14ac:dyDescent="0.2">
      <c r="B37" s="5" t="s">
        <v>121</v>
      </c>
      <c r="C37" s="209"/>
      <c r="D37" s="209"/>
      <c r="E37" s="209"/>
      <c r="F37" s="209"/>
      <c r="G37" s="209"/>
    </row>
    <row r="38" spans="2:22" ht="15" x14ac:dyDescent="0.2">
      <c r="B38" s="5" t="s">
        <v>122</v>
      </c>
      <c r="C38" s="209"/>
      <c r="D38" s="209"/>
      <c r="E38" s="209"/>
      <c r="F38" s="209"/>
      <c r="G38" s="209"/>
    </row>
    <row r="39" spans="2:22" ht="15" x14ac:dyDescent="0.2">
      <c r="B39"/>
      <c r="C39" s="191"/>
      <c r="D39" s="191"/>
      <c r="E39" s="191"/>
    </row>
    <row r="40" spans="2:22" ht="17.25" customHeight="1" x14ac:dyDescent="0.25"/>
    <row r="41" spans="2:22" ht="18" x14ac:dyDescent="0.2">
      <c r="B41" s="627" t="s">
        <v>491</v>
      </c>
      <c r="C41" s="627"/>
      <c r="D41" s="627"/>
      <c r="E41" s="627"/>
      <c r="F41" s="627"/>
      <c r="G41" s="627"/>
      <c r="H41" s="627"/>
      <c r="I41" s="627"/>
      <c r="J41" s="627"/>
      <c r="K41" s="627"/>
      <c r="L41" s="627"/>
      <c r="M41" s="627"/>
      <c r="N41" s="627"/>
      <c r="O41" s="627"/>
      <c r="P41" s="627"/>
      <c r="Q41" s="627"/>
      <c r="R41" s="627"/>
      <c r="S41" s="627"/>
      <c r="T41" s="627"/>
      <c r="U41" s="627"/>
      <c r="V41" s="627"/>
    </row>
    <row r="42" spans="2:22" ht="14.25" customHeight="1" x14ac:dyDescent="0.2">
      <c r="B42" s="630" t="s">
        <v>32</v>
      </c>
      <c r="C42" s="631"/>
      <c r="D42" s="631"/>
      <c r="E42" s="631"/>
      <c r="F42" s="631"/>
      <c r="G42" s="631"/>
      <c r="H42" s="631"/>
      <c r="I42" s="631"/>
      <c r="J42" s="631"/>
      <c r="K42" s="631"/>
      <c r="L42" s="631"/>
      <c r="M42" s="631"/>
      <c r="N42" s="631"/>
      <c r="O42" s="631"/>
      <c r="P42" s="631"/>
      <c r="Q42" s="631"/>
      <c r="R42" s="631"/>
      <c r="S42" s="631"/>
      <c r="T42" s="631"/>
      <c r="U42" s="631"/>
      <c r="V42" s="631"/>
    </row>
    <row r="43" spans="2:22" ht="16" x14ac:dyDescent="0.2">
      <c r="B43" s="632" t="s">
        <v>33</v>
      </c>
      <c r="C43" s="633"/>
      <c r="D43" s="633"/>
      <c r="E43" s="633"/>
      <c r="F43" s="633"/>
      <c r="G43" s="633"/>
      <c r="H43" s="633"/>
      <c r="I43" s="633"/>
      <c r="J43" s="633"/>
      <c r="K43" s="633"/>
      <c r="L43" s="633"/>
      <c r="M43" s="633"/>
      <c r="N43" s="633"/>
      <c r="O43" s="633"/>
      <c r="P43" s="633"/>
      <c r="Q43" s="633"/>
      <c r="R43" s="633"/>
      <c r="S43" s="633"/>
      <c r="T43" s="633"/>
      <c r="U43" s="633"/>
      <c r="V43" s="633"/>
    </row>
    <row r="44" spans="2:22" s="109" customFormat="1" ht="16" x14ac:dyDescent="0.2">
      <c r="B44" s="106" t="s">
        <v>34</v>
      </c>
      <c r="U44" s="616" t="s">
        <v>35</v>
      </c>
      <c r="V44" s="616"/>
    </row>
    <row r="45" spans="2:22" s="109" customFormat="1" ht="16" x14ac:dyDescent="0.2">
      <c r="B45" s="106" t="str">
        <f>B5</f>
        <v>FIN320 Section B</v>
      </c>
    </row>
    <row r="46" spans="2:22" ht="6" customHeight="1" x14ac:dyDescent="0.2">
      <c r="B46" s="1"/>
      <c r="U46" s="613"/>
      <c r="V46" s="613"/>
    </row>
    <row r="47" spans="2:22" ht="15" x14ac:dyDescent="0.2">
      <c r="B47" s="48"/>
      <c r="C47" s="55"/>
      <c r="D47" s="55"/>
      <c r="E47" s="55"/>
      <c r="F47" s="55"/>
      <c r="G47" s="55"/>
      <c r="H47" s="55"/>
      <c r="I47" s="55"/>
      <c r="J47" s="614" t="s">
        <v>7</v>
      </c>
      <c r="K47" s="614"/>
      <c r="L47" s="614"/>
      <c r="M47" s="614"/>
      <c r="N47" s="614"/>
      <c r="O47" s="71"/>
      <c r="P47" s="71"/>
      <c r="Q47" s="614" t="s">
        <v>8</v>
      </c>
      <c r="R47" s="614"/>
      <c r="S47" s="614"/>
      <c r="T47" s="614"/>
      <c r="U47" s="614"/>
      <c r="V47" s="71"/>
    </row>
    <row r="48" spans="2:22" ht="15" x14ac:dyDescent="0.2">
      <c r="B48" s="49"/>
      <c r="C48" s="55"/>
      <c r="D48" s="55"/>
      <c r="E48" s="55"/>
      <c r="F48" s="55"/>
      <c r="G48" s="72"/>
      <c r="H48" s="72"/>
      <c r="I48" s="72"/>
      <c r="J48" s="615" t="s">
        <v>36</v>
      </c>
      <c r="K48" s="615"/>
      <c r="L48" s="615"/>
      <c r="M48" s="615"/>
      <c r="N48" s="615"/>
      <c r="O48" s="73"/>
      <c r="P48" s="73"/>
      <c r="Q48" s="615" t="s">
        <v>275</v>
      </c>
      <c r="R48" s="615"/>
      <c r="S48" s="615"/>
      <c r="T48" s="615"/>
      <c r="U48" s="615"/>
    </row>
    <row r="49" spans="2:29" ht="15" x14ac:dyDescent="0.2">
      <c r="B49" s="131" t="s">
        <v>38</v>
      </c>
      <c r="C49" s="8">
        <v>2021</v>
      </c>
      <c r="D49" s="8">
        <v>2022</v>
      </c>
      <c r="E49" s="8">
        <v>2023</v>
      </c>
      <c r="F49" s="8">
        <v>2024</v>
      </c>
      <c r="G49" s="134">
        <v>2025</v>
      </c>
      <c r="H49" s="9"/>
      <c r="I49" s="8"/>
      <c r="J49" s="8">
        <v>2021</v>
      </c>
      <c r="K49" s="8">
        <v>2022</v>
      </c>
      <c r="L49" s="8">
        <v>2023</v>
      </c>
      <c r="M49" s="8">
        <v>2024</v>
      </c>
      <c r="N49" s="134">
        <v>2025</v>
      </c>
      <c r="O49" s="9"/>
      <c r="P49" s="8"/>
      <c r="Q49" s="8">
        <v>2021</v>
      </c>
      <c r="R49" s="8">
        <v>2022</v>
      </c>
      <c r="S49" s="8">
        <v>2023</v>
      </c>
      <c r="T49" s="8">
        <v>2024</v>
      </c>
      <c r="U49" s="134">
        <v>2025</v>
      </c>
    </row>
    <row r="50" spans="2:29" ht="15" x14ac:dyDescent="0.2">
      <c r="B50" s="50" t="s">
        <v>39</v>
      </c>
      <c r="C50" s="56"/>
      <c r="D50" s="56"/>
      <c r="E50" s="56"/>
      <c r="F50" s="56"/>
      <c r="G50" s="56"/>
      <c r="H50" s="74"/>
      <c r="I50" s="56"/>
      <c r="J50" s="75"/>
      <c r="K50" s="76"/>
      <c r="L50" s="76"/>
      <c r="M50" s="76"/>
      <c r="N50" s="76"/>
      <c r="O50" s="77"/>
      <c r="P50" s="76"/>
      <c r="Q50" s="78"/>
      <c r="R50" s="56"/>
      <c r="S50" s="56"/>
      <c r="T50" s="56"/>
      <c r="U50" s="56"/>
    </row>
    <row r="51" spans="2:29" ht="15" x14ac:dyDescent="0.2">
      <c r="B51" s="51" t="s">
        <v>40</v>
      </c>
      <c r="C51" s="56"/>
      <c r="D51" s="56"/>
      <c r="E51" s="56"/>
      <c r="F51" s="56"/>
      <c r="G51" s="56"/>
      <c r="H51" s="74"/>
      <c r="I51" s="56"/>
      <c r="J51" s="76"/>
      <c r="K51" s="76"/>
      <c r="L51" s="76"/>
      <c r="M51" s="76"/>
      <c r="N51" s="76"/>
      <c r="O51" s="77"/>
      <c r="P51" s="76"/>
      <c r="Q51" s="56"/>
      <c r="R51" s="56"/>
      <c r="S51" s="56"/>
      <c r="T51" s="56"/>
      <c r="U51" s="56"/>
    </row>
    <row r="52" spans="2:29" ht="15" x14ac:dyDescent="0.2">
      <c r="B52" s="51" t="s">
        <v>41</v>
      </c>
      <c r="C52" s="79">
        <v>567</v>
      </c>
      <c r="D52" s="79">
        <v>535</v>
      </c>
      <c r="E52" s="79">
        <v>267</v>
      </c>
      <c r="F52" s="79">
        <v>510</v>
      </c>
      <c r="G52" s="79">
        <v>1026</v>
      </c>
      <c r="H52" s="80"/>
      <c r="I52" s="79"/>
      <c r="J52" s="81">
        <f t="shared" ref="J52:N65" si="8">C52/C$67</f>
        <v>1.1205976520811099E-2</v>
      </c>
      <c r="K52" s="81">
        <f t="shared" si="8"/>
        <v>1.0320813318671991E-2</v>
      </c>
      <c r="L52" s="81">
        <f t="shared" si="8"/>
        <v>5.1218108574717057E-3</v>
      </c>
      <c r="M52" s="81">
        <f t="shared" si="8"/>
        <v>9.5451993262212244E-3</v>
      </c>
      <c r="N52" s="81">
        <f t="shared" si="8"/>
        <v>1.8500153266376964E-2</v>
      </c>
      <c r="O52" s="82"/>
      <c r="P52" s="81"/>
      <c r="Q52" s="147">
        <f t="shared" ref="Q52:U65" si="9">C52/$C52</f>
        <v>1</v>
      </c>
      <c r="R52" s="147">
        <f t="shared" si="9"/>
        <v>0.9435626102292769</v>
      </c>
      <c r="S52" s="147">
        <f t="shared" si="9"/>
        <v>0.47089947089947087</v>
      </c>
      <c r="T52" s="147">
        <f t="shared" si="9"/>
        <v>0.89947089947089942</v>
      </c>
      <c r="U52" s="147">
        <f t="shared" si="9"/>
        <v>1.8095238095238095</v>
      </c>
    </row>
    <row r="53" spans="2:29" ht="15" x14ac:dyDescent="0.2">
      <c r="B53" s="51" t="s">
        <v>42</v>
      </c>
      <c r="C53" s="79">
        <v>2</v>
      </c>
      <c r="D53" s="79"/>
      <c r="E53" s="79"/>
      <c r="F53" s="79"/>
      <c r="G53" s="79"/>
      <c r="H53" s="85"/>
      <c r="I53" s="84"/>
      <c r="J53" s="81">
        <f t="shared" si="8"/>
        <v>3.9527254041661726E-5</v>
      </c>
      <c r="K53" s="81">
        <f t="shared" si="8"/>
        <v>0</v>
      </c>
      <c r="L53" s="81">
        <f t="shared" si="8"/>
        <v>0</v>
      </c>
      <c r="M53" s="81">
        <f t="shared" si="8"/>
        <v>0</v>
      </c>
      <c r="N53" s="81">
        <f t="shared" si="8"/>
        <v>0</v>
      </c>
      <c r="O53" s="82"/>
      <c r="P53" s="81"/>
      <c r="Q53" s="147">
        <f t="shared" si="9"/>
        <v>1</v>
      </c>
      <c r="R53" s="147">
        <f t="shared" si="9"/>
        <v>0</v>
      </c>
      <c r="S53" s="147">
        <f t="shared" si="9"/>
        <v>0</v>
      </c>
      <c r="T53" s="147">
        <f t="shared" si="9"/>
        <v>0</v>
      </c>
      <c r="U53" s="147">
        <f t="shared" si="9"/>
        <v>0</v>
      </c>
    </row>
    <row r="54" spans="2:29" ht="15" x14ac:dyDescent="0.2">
      <c r="B54" s="51" t="s">
        <v>276</v>
      </c>
      <c r="C54" s="79">
        <f>SUM(C52:C53)</f>
        <v>569</v>
      </c>
      <c r="D54" s="79">
        <f>SUM(D52:D53)</f>
        <v>535</v>
      </c>
      <c r="E54" s="79">
        <f>SUM(E52:E53)</f>
        <v>267</v>
      </c>
      <c r="F54" s="79">
        <f>SUM(F52:F53)</f>
        <v>510</v>
      </c>
      <c r="G54" s="79">
        <f>SUM(G52:G53)</f>
        <v>1026</v>
      </c>
      <c r="H54" s="85"/>
      <c r="I54" s="84"/>
      <c r="J54" s="81">
        <f t="shared" si="8"/>
        <v>1.1245503774852761E-2</v>
      </c>
      <c r="K54" s="81">
        <f t="shared" si="8"/>
        <v>1.0320813318671991E-2</v>
      </c>
      <c r="L54" s="81">
        <f t="shared" si="8"/>
        <v>5.1218108574717057E-3</v>
      </c>
      <c r="M54" s="81">
        <f t="shared" si="8"/>
        <v>9.5451993262212244E-3</v>
      </c>
      <c r="N54" s="81">
        <f t="shared" si="8"/>
        <v>1.8500153266376964E-2</v>
      </c>
      <c r="O54" s="82"/>
      <c r="P54" s="81"/>
      <c r="Q54" s="147">
        <f t="shared" si="9"/>
        <v>1</v>
      </c>
      <c r="R54" s="147">
        <f t="shared" si="9"/>
        <v>0.94024604569420034</v>
      </c>
      <c r="S54" s="147">
        <f t="shared" si="9"/>
        <v>0.46924428822495606</v>
      </c>
      <c r="T54" s="147">
        <f t="shared" si="9"/>
        <v>0.8963093145869947</v>
      </c>
      <c r="U54" s="147">
        <f t="shared" si="9"/>
        <v>1.8031634446397189</v>
      </c>
    </row>
    <row r="55" spans="2:29" ht="15" x14ac:dyDescent="0.2">
      <c r="B55" s="51" t="s">
        <v>277</v>
      </c>
      <c r="C55" s="79"/>
      <c r="D55" s="79"/>
      <c r="E55" s="79"/>
      <c r="F55" s="79"/>
      <c r="G55" s="79"/>
      <c r="H55" s="85"/>
      <c r="I55" s="84"/>
      <c r="J55" s="81">
        <f t="shared" si="8"/>
        <v>0</v>
      </c>
      <c r="K55" s="81">
        <f t="shared" si="8"/>
        <v>0</v>
      </c>
      <c r="L55" s="81">
        <f t="shared" si="8"/>
        <v>0</v>
      </c>
      <c r="M55" s="81">
        <f t="shared" si="8"/>
        <v>0</v>
      </c>
      <c r="N55" s="81">
        <f t="shared" si="8"/>
        <v>0</v>
      </c>
      <c r="O55" s="82"/>
      <c r="P55" s="81"/>
      <c r="Q55" s="147"/>
      <c r="R55" s="147"/>
      <c r="S55" s="147"/>
      <c r="T55" s="147"/>
      <c r="U55" s="147"/>
    </row>
    <row r="56" spans="2:29" ht="15" x14ac:dyDescent="0.2">
      <c r="B56" s="51" t="s">
        <v>43</v>
      </c>
      <c r="C56" s="79">
        <v>1148</v>
      </c>
      <c r="D56" s="79">
        <v>1484</v>
      </c>
      <c r="E56" s="79">
        <v>1368</v>
      </c>
      <c r="F56" s="79">
        <v>1502</v>
      </c>
      <c r="G56" s="79">
        <v>1671</v>
      </c>
      <c r="H56" s="86"/>
      <c r="I56" s="61"/>
      <c r="J56" s="81">
        <f t="shared" si="8"/>
        <v>2.2688643819913829E-2</v>
      </c>
      <c r="K56" s="81">
        <f t="shared" si="8"/>
        <v>2.8628199934409786E-2</v>
      </c>
      <c r="L56" s="81">
        <f t="shared" si="8"/>
        <v>2.6242087089967388E-2</v>
      </c>
      <c r="M56" s="81">
        <f t="shared" si="8"/>
        <v>2.8111547819577018E-2</v>
      </c>
      <c r="N56" s="81">
        <f t="shared" si="8"/>
        <v>3.0130366577111017E-2</v>
      </c>
      <c r="O56" s="82"/>
      <c r="P56" s="81"/>
      <c r="Q56" s="147">
        <f t="shared" si="9"/>
        <v>1</v>
      </c>
      <c r="R56" s="147">
        <f t="shared" si="9"/>
        <v>1.2926829268292683</v>
      </c>
      <c r="S56" s="147">
        <f t="shared" si="9"/>
        <v>1.1916376306620209</v>
      </c>
      <c r="T56" s="147">
        <f t="shared" si="9"/>
        <v>1.3083623693379791</v>
      </c>
      <c r="U56" s="147">
        <f t="shared" si="9"/>
        <v>1.4555749128919862</v>
      </c>
    </row>
    <row r="57" spans="2:29" ht="15" x14ac:dyDescent="0.2">
      <c r="B57" s="51" t="s">
        <v>44</v>
      </c>
      <c r="C57" s="79">
        <v>966</v>
      </c>
      <c r="D57" s="79">
        <v>1403</v>
      </c>
      <c r="E57" s="79">
        <v>1253</v>
      </c>
      <c r="F57" s="79">
        <v>1299</v>
      </c>
      <c r="G57" s="79">
        <v>1733</v>
      </c>
      <c r="H57" s="86"/>
      <c r="I57" s="61"/>
      <c r="J57" s="81">
        <f t="shared" si="8"/>
        <v>1.9091663702122612E-2</v>
      </c>
      <c r="K57" s="81">
        <f t="shared" si="8"/>
        <v>2.7065609506722998E-2</v>
      </c>
      <c r="L57" s="81">
        <f t="shared" si="8"/>
        <v>2.4036063686936504E-2</v>
      </c>
      <c r="M57" s="81">
        <f t="shared" si="8"/>
        <v>2.4312184166198764E-2</v>
      </c>
      <c r="N57" s="81">
        <f t="shared" si="8"/>
        <v>3.1248309562018788E-2</v>
      </c>
      <c r="O57" s="82"/>
      <c r="P57" s="81"/>
      <c r="Q57" s="147">
        <f t="shared" si="9"/>
        <v>1</v>
      </c>
      <c r="R57" s="147">
        <f t="shared" si="9"/>
        <v>1.4523809523809523</v>
      </c>
      <c r="S57" s="147">
        <f t="shared" si="9"/>
        <v>1.2971014492753623</v>
      </c>
      <c r="T57" s="147">
        <f t="shared" si="9"/>
        <v>1.34472049689441</v>
      </c>
      <c r="U57" s="147">
        <f t="shared" si="9"/>
        <v>1.7939958592132506</v>
      </c>
    </row>
    <row r="58" spans="2:29" ht="15" x14ac:dyDescent="0.2">
      <c r="B58" s="51" t="s">
        <v>124</v>
      </c>
      <c r="C58" s="79">
        <v>374</v>
      </c>
      <c r="D58" s="79">
        <v>382</v>
      </c>
      <c r="E58" s="79">
        <v>487</v>
      </c>
      <c r="F58" s="79">
        <v>686</v>
      </c>
      <c r="G58" s="79">
        <v>836</v>
      </c>
      <c r="H58" s="86"/>
      <c r="I58" s="61"/>
      <c r="J58" s="192">
        <f t="shared" si="8"/>
        <v>7.3915965057907429E-3</v>
      </c>
      <c r="K58" s="192">
        <f t="shared" si="8"/>
        <v>7.3692536219302817E-3</v>
      </c>
      <c r="L58" s="192">
        <f t="shared" si="8"/>
        <v>9.3420295415307889E-3</v>
      </c>
      <c r="M58" s="192">
        <f t="shared" si="8"/>
        <v>1.2839228897623059E-2</v>
      </c>
      <c r="N58" s="192">
        <f t="shared" si="8"/>
        <v>1.5074198957788637E-2</v>
      </c>
      <c r="O58" s="194"/>
      <c r="P58" s="192"/>
      <c r="Q58" s="193">
        <f t="shared" si="9"/>
        <v>1</v>
      </c>
      <c r="R58" s="193">
        <f t="shared" si="9"/>
        <v>1.0213903743315509</v>
      </c>
      <c r="S58" s="193">
        <f t="shared" si="9"/>
        <v>1.3021390374331552</v>
      </c>
      <c r="T58" s="193">
        <f t="shared" si="9"/>
        <v>1.8342245989304813</v>
      </c>
      <c r="U58" s="193">
        <f t="shared" si="9"/>
        <v>2.2352941176470589</v>
      </c>
    </row>
    <row r="59" spans="2:29" ht="15" x14ac:dyDescent="0.2">
      <c r="B59" s="121" t="s">
        <v>47</v>
      </c>
      <c r="C59" s="87">
        <f>SUM(C54:C58)</f>
        <v>3057</v>
      </c>
      <c r="D59" s="87">
        <f>SUM(D54:D58)</f>
        <v>3804</v>
      </c>
      <c r="E59" s="87">
        <f>SUM(E54:E58)</f>
        <v>3375</v>
      </c>
      <c r="F59" s="87">
        <f>SUM(F54:F58)</f>
        <v>3997</v>
      </c>
      <c r="G59" s="87">
        <f>SUM(G54:G58)</f>
        <v>5266</v>
      </c>
      <c r="H59" s="88"/>
      <c r="I59" s="87"/>
      <c r="J59" s="196">
        <f t="shared" si="8"/>
        <v>6.041740780267995E-2</v>
      </c>
      <c r="K59" s="196">
        <f t="shared" si="8"/>
        <v>7.3383876381735061E-2</v>
      </c>
      <c r="L59" s="196">
        <f t="shared" si="8"/>
        <v>6.4741991175906385E-2</v>
      </c>
      <c r="M59" s="196">
        <f t="shared" si="8"/>
        <v>7.480816020962007E-2</v>
      </c>
      <c r="N59" s="196">
        <f t="shared" si="8"/>
        <v>9.4953028363295403E-2</v>
      </c>
      <c r="O59" s="195"/>
      <c r="P59" s="196"/>
      <c r="Q59" s="199">
        <f t="shared" si="9"/>
        <v>1</v>
      </c>
      <c r="R59" s="199">
        <f t="shared" si="9"/>
        <v>1.2443572129538762</v>
      </c>
      <c r="S59" s="199">
        <f t="shared" si="9"/>
        <v>1.1040235525024533</v>
      </c>
      <c r="T59" s="199">
        <f t="shared" si="9"/>
        <v>1.3074910042525352</v>
      </c>
      <c r="U59" s="199">
        <f t="shared" si="9"/>
        <v>1.7226038599934577</v>
      </c>
    </row>
    <row r="60" spans="2:29" ht="15" x14ac:dyDescent="0.2">
      <c r="B60" s="51" t="s">
        <v>278</v>
      </c>
      <c r="C60" s="79">
        <v>31</v>
      </c>
      <c r="D60" s="79">
        <v>1186</v>
      </c>
      <c r="E60" s="79">
        <v>1456</v>
      </c>
      <c r="F60" s="79">
        <v>1543</v>
      </c>
      <c r="G60" s="79">
        <v>1697</v>
      </c>
      <c r="H60" s="118"/>
      <c r="I60" s="113"/>
      <c r="J60" s="81">
        <f t="shared" si="8"/>
        <v>6.1267243764575674E-4</v>
      </c>
      <c r="K60" s="81">
        <f t="shared" si="8"/>
        <v>2.2879410459710245E-2</v>
      </c>
      <c r="L60" s="81">
        <f t="shared" si="8"/>
        <v>2.7930174563591023E-2</v>
      </c>
      <c r="M60" s="81">
        <f t="shared" si="8"/>
        <v>2.8878906981096762E-2</v>
      </c>
      <c r="N60" s="81">
        <f t="shared" si="8"/>
        <v>3.0599181377233633E-2</v>
      </c>
      <c r="O60" s="119"/>
      <c r="P60" s="114"/>
      <c r="Q60" s="147">
        <f t="shared" si="9"/>
        <v>1</v>
      </c>
      <c r="R60" s="147">
        <f t="shared" si="9"/>
        <v>38.258064516129032</v>
      </c>
      <c r="S60" s="147">
        <f t="shared" si="9"/>
        <v>46.967741935483872</v>
      </c>
      <c r="T60" s="147">
        <f t="shared" si="9"/>
        <v>49.774193548387096</v>
      </c>
      <c r="U60" s="147">
        <f t="shared" si="9"/>
        <v>54.741935483870968</v>
      </c>
    </row>
    <row r="61" spans="2:29" ht="15" x14ac:dyDescent="0.2">
      <c r="B61" s="51" t="s">
        <v>279</v>
      </c>
      <c r="C61" s="79">
        <v>42</v>
      </c>
      <c r="D61" s="79">
        <v>35</v>
      </c>
      <c r="E61" s="79">
        <v>31</v>
      </c>
      <c r="F61" s="79">
        <v>39</v>
      </c>
      <c r="G61" s="79">
        <v>36</v>
      </c>
      <c r="H61" s="118"/>
      <c r="I61" s="113"/>
      <c r="J61" s="81">
        <f t="shared" si="8"/>
        <v>8.3007233487489621E-4</v>
      </c>
      <c r="K61" s="81">
        <f t="shared" si="8"/>
        <v>6.751933946794761E-4</v>
      </c>
      <c r="L61" s="81">
        <f t="shared" si="8"/>
        <v>5.9466717820832538E-4</v>
      </c>
      <c r="M61" s="81">
        <f t="shared" si="8"/>
        <v>7.2992700729927003E-4</v>
      </c>
      <c r="N61" s="81">
        <f t="shared" si="8"/>
        <v>6.4912818478515659E-4</v>
      </c>
      <c r="O61" s="119"/>
      <c r="P61" s="114"/>
      <c r="Q61" s="147">
        <f t="shared" si="9"/>
        <v>1</v>
      </c>
      <c r="R61" s="147">
        <f t="shared" si="9"/>
        <v>0.83333333333333337</v>
      </c>
      <c r="S61" s="147">
        <f t="shared" si="9"/>
        <v>0.73809523809523814</v>
      </c>
      <c r="T61" s="147">
        <f t="shared" si="9"/>
        <v>0.9285714285714286</v>
      </c>
      <c r="U61" s="147">
        <f t="shared" si="9"/>
        <v>0.8571428571428571</v>
      </c>
    </row>
    <row r="62" spans="2:29" ht="15" x14ac:dyDescent="0.2">
      <c r="B62" s="51" t="s">
        <v>126</v>
      </c>
      <c r="C62" s="79">
        <v>3167</v>
      </c>
      <c r="D62" s="79">
        <v>3372</v>
      </c>
      <c r="E62" s="79">
        <v>3575</v>
      </c>
      <c r="F62" s="79">
        <v>3844</v>
      </c>
      <c r="G62" s="79">
        <v>4075</v>
      </c>
      <c r="H62" s="86"/>
      <c r="I62" s="61"/>
      <c r="J62" s="81">
        <f t="shared" si="8"/>
        <v>6.2591406774971339E-2</v>
      </c>
      <c r="K62" s="81">
        <f t="shared" si="8"/>
        <v>6.5050060767405521E-2</v>
      </c>
      <c r="L62" s="81">
        <f t="shared" si="8"/>
        <v>6.8578553615960103E-2</v>
      </c>
      <c r="M62" s="81">
        <f t="shared" si="8"/>
        <v>7.1944600411753698E-2</v>
      </c>
      <c r="N62" s="81">
        <f t="shared" si="8"/>
        <v>7.3477704249986481E-2</v>
      </c>
      <c r="O62" s="82"/>
      <c r="P62" s="81"/>
      <c r="Q62" s="147">
        <f t="shared" si="9"/>
        <v>1</v>
      </c>
      <c r="R62" s="147">
        <f t="shared" si="9"/>
        <v>1.0647300284180612</v>
      </c>
      <c r="S62" s="147">
        <f t="shared" si="9"/>
        <v>1.1288285443637511</v>
      </c>
      <c r="T62" s="147">
        <f t="shared" si="9"/>
        <v>1.2137669718976949</v>
      </c>
      <c r="U62" s="147">
        <f t="shared" si="9"/>
        <v>1.2867066624565835</v>
      </c>
      <c r="AA62" s="191"/>
      <c r="AB62" s="191"/>
      <c r="AC62" s="191"/>
    </row>
    <row r="63" spans="2:29" ht="15" x14ac:dyDescent="0.2">
      <c r="B63" s="51" t="s">
        <v>280</v>
      </c>
      <c r="C63" s="79">
        <v>23856</v>
      </c>
      <c r="D63" s="79">
        <v>23183</v>
      </c>
      <c r="E63" s="79">
        <v>23287</v>
      </c>
      <c r="F63" s="79">
        <v>23634</v>
      </c>
      <c r="G63" s="79">
        <v>23725</v>
      </c>
      <c r="H63" s="86"/>
      <c r="I63" s="61"/>
      <c r="J63" s="81">
        <f t="shared" si="8"/>
        <v>0.47148108620894108</v>
      </c>
      <c r="K63" s="81">
        <f t="shared" si="8"/>
        <v>0.44722881339583698</v>
      </c>
      <c r="L63" s="81">
        <f t="shared" si="8"/>
        <v>0.44671014770765394</v>
      </c>
      <c r="M63" s="81">
        <f t="shared" si="8"/>
        <v>0.44233576642335765</v>
      </c>
      <c r="N63" s="81">
        <f t="shared" si="8"/>
        <v>0.42779350511188446</v>
      </c>
      <c r="O63" s="82"/>
      <c r="P63" s="81"/>
      <c r="Q63" s="147">
        <f t="shared" si="9"/>
        <v>1</v>
      </c>
      <c r="R63" s="147">
        <f t="shared" si="9"/>
        <v>0.97178906773977192</v>
      </c>
      <c r="S63" s="147">
        <f t="shared" si="9"/>
        <v>0.9761485580147552</v>
      </c>
      <c r="T63" s="147">
        <f t="shared" si="9"/>
        <v>0.99069416498993967</v>
      </c>
      <c r="U63" s="147">
        <f t="shared" si="9"/>
        <v>0.99450871898054993</v>
      </c>
    </row>
    <row r="64" spans="2:29" ht="15" x14ac:dyDescent="0.2">
      <c r="B64" s="51" t="s">
        <v>281</v>
      </c>
      <c r="C64" s="79">
        <v>20182</v>
      </c>
      <c r="D64" s="79">
        <v>20072</v>
      </c>
      <c r="E64" s="79">
        <v>20202</v>
      </c>
      <c r="F64" s="79">
        <v>20053</v>
      </c>
      <c r="G64" s="79">
        <v>20247</v>
      </c>
      <c r="H64" s="86"/>
      <c r="I64" s="61"/>
      <c r="J64" s="81">
        <f t="shared" si="8"/>
        <v>0.39886952053440849</v>
      </c>
      <c r="K64" s="81">
        <f t="shared" si="8"/>
        <v>0.38721376622875553</v>
      </c>
      <c r="L64" s="81">
        <f t="shared" si="8"/>
        <v>0.38753117206982546</v>
      </c>
      <c r="M64" s="81">
        <f t="shared" si="8"/>
        <v>0.37531349429159649</v>
      </c>
      <c r="N64" s="81">
        <f t="shared" si="8"/>
        <v>0.36508050992625185</v>
      </c>
      <c r="O64" s="82"/>
      <c r="P64" s="81"/>
      <c r="Q64" s="147">
        <f t="shared" si="9"/>
        <v>1</v>
      </c>
      <c r="R64" s="147">
        <f t="shared" si="9"/>
        <v>0.99454959865226444</v>
      </c>
      <c r="S64" s="147">
        <f t="shared" si="9"/>
        <v>1.0009909820632246</v>
      </c>
      <c r="T64" s="147">
        <f t="shared" si="9"/>
        <v>0.99360816569220101</v>
      </c>
      <c r="U64" s="147">
        <f t="shared" si="9"/>
        <v>1.0032206917054802</v>
      </c>
    </row>
    <row r="65" spans="2:25" ht="15" x14ac:dyDescent="0.2">
      <c r="B65" s="51" t="s">
        <v>282</v>
      </c>
      <c r="C65" s="79">
        <v>263</v>
      </c>
      <c r="D65" s="79">
        <v>185</v>
      </c>
      <c r="E65" s="79">
        <v>204</v>
      </c>
      <c r="F65" s="79">
        <v>320</v>
      </c>
      <c r="G65" s="79">
        <v>413</v>
      </c>
      <c r="H65" s="86"/>
      <c r="I65" s="61"/>
      <c r="J65" s="81">
        <f t="shared" si="8"/>
        <v>5.197833906478517E-3</v>
      </c>
      <c r="K65" s="81">
        <f t="shared" si="8"/>
        <v>3.5688793718772305E-3</v>
      </c>
      <c r="L65" s="81">
        <f t="shared" si="8"/>
        <v>3.9132936888547857E-3</v>
      </c>
      <c r="M65" s="81">
        <f t="shared" si="8"/>
        <v>5.9891446752760626E-3</v>
      </c>
      <c r="N65" s="81">
        <f t="shared" si="8"/>
        <v>7.4469427865630463E-3</v>
      </c>
      <c r="O65" s="82"/>
      <c r="P65" s="81"/>
      <c r="Q65" s="147">
        <f t="shared" si="9"/>
        <v>1</v>
      </c>
      <c r="R65" s="147">
        <f t="shared" si="9"/>
        <v>0.70342205323193918</v>
      </c>
      <c r="S65" s="147">
        <f t="shared" si="9"/>
        <v>0.7756653992395437</v>
      </c>
      <c r="T65" s="147">
        <f t="shared" si="9"/>
        <v>1.2167300380228137</v>
      </c>
      <c r="U65" s="147">
        <f t="shared" si="9"/>
        <v>1.5703422053231939</v>
      </c>
    </row>
    <row r="66" spans="2:25" ht="15" x14ac:dyDescent="0.2">
      <c r="B66" s="51"/>
      <c r="C66" s="79"/>
      <c r="D66" s="79"/>
      <c r="E66" s="79"/>
      <c r="F66" s="79"/>
      <c r="G66" s="79"/>
      <c r="H66" s="86"/>
      <c r="I66" s="61"/>
      <c r="J66" s="81"/>
      <c r="K66" s="81"/>
      <c r="L66" s="81"/>
      <c r="M66" s="81"/>
      <c r="N66" s="81"/>
      <c r="O66" s="82"/>
      <c r="P66" s="81"/>
      <c r="Q66" s="83"/>
      <c r="R66" s="83"/>
      <c r="S66" s="83"/>
      <c r="T66" s="83"/>
      <c r="U66" s="83"/>
    </row>
    <row r="67" spans="2:25" ht="16" thickBot="1" x14ac:dyDescent="0.25">
      <c r="B67" s="121" t="s">
        <v>54</v>
      </c>
      <c r="C67" s="188">
        <f>SUM(C59:C65)</f>
        <v>50598</v>
      </c>
      <c r="D67" s="188">
        <f>SUM(D59:D65)</f>
        <v>51837</v>
      </c>
      <c r="E67" s="188">
        <f>SUM(E59:E65)</f>
        <v>52130</v>
      </c>
      <c r="F67" s="188">
        <f>SUM(F59:F65)</f>
        <v>53430</v>
      </c>
      <c r="G67" s="188">
        <f>SUM(G59:G65)</f>
        <v>55459</v>
      </c>
      <c r="H67" s="88"/>
      <c r="I67" s="87"/>
      <c r="J67" s="200">
        <f>C67/C$67</f>
        <v>1</v>
      </c>
      <c r="K67" s="200">
        <f>D67/D$67</f>
        <v>1</v>
      </c>
      <c r="L67" s="200">
        <f>E67/E$67</f>
        <v>1</v>
      </c>
      <c r="M67" s="200">
        <f>F67/F$67</f>
        <v>1</v>
      </c>
      <c r="N67" s="200">
        <f>G67/G$67</f>
        <v>1</v>
      </c>
      <c r="O67" s="197"/>
      <c r="P67" s="198"/>
      <c r="Q67" s="201">
        <f>C67/$C67</f>
        <v>1</v>
      </c>
      <c r="R67" s="201">
        <f>D67/$C67</f>
        <v>1.0244871338788095</v>
      </c>
      <c r="S67" s="201">
        <f>E67/$C67</f>
        <v>1.0302778765959129</v>
      </c>
      <c r="T67" s="201">
        <f>F67/$C67</f>
        <v>1.0559705917229929</v>
      </c>
      <c r="U67" s="201">
        <f>G67/$C67</f>
        <v>1.0960709909482589</v>
      </c>
    </row>
    <row r="68" spans="2:25" ht="8.25" customHeight="1" thickTop="1" x14ac:dyDescent="0.2">
      <c r="B68" s="111"/>
      <c r="C68" s="113"/>
      <c r="D68" s="113"/>
      <c r="E68" s="113"/>
      <c r="F68" s="113"/>
      <c r="G68" s="113"/>
      <c r="H68" s="118"/>
      <c r="I68" s="113"/>
      <c r="J68" s="114"/>
      <c r="K68" s="114"/>
      <c r="L68" s="114"/>
      <c r="M68" s="114"/>
      <c r="N68" s="114"/>
      <c r="O68" s="119"/>
      <c r="P68" s="114"/>
      <c r="Q68" s="120"/>
      <c r="R68" s="120"/>
      <c r="S68" s="120"/>
      <c r="T68" s="120"/>
      <c r="U68" s="120"/>
    </row>
    <row r="69" spans="2:25" ht="15" x14ac:dyDescent="0.2">
      <c r="B69" s="50" t="s">
        <v>55</v>
      </c>
      <c r="C69" s="79"/>
      <c r="D69" s="79"/>
      <c r="E69" s="79"/>
      <c r="F69" s="79"/>
      <c r="G69" s="79"/>
      <c r="H69" s="86"/>
      <c r="I69" s="61"/>
      <c r="J69" s="81"/>
      <c r="K69" s="81"/>
      <c r="L69" s="81"/>
      <c r="M69" s="81"/>
      <c r="N69" s="81"/>
      <c r="O69" s="82"/>
      <c r="P69" s="81"/>
      <c r="Q69" s="83"/>
      <c r="R69" s="83"/>
      <c r="S69" s="83"/>
      <c r="T69" s="83"/>
      <c r="U69" s="83"/>
    </row>
    <row r="70" spans="2:25" ht="15" x14ac:dyDescent="0.2">
      <c r="B70" s="51" t="s">
        <v>56</v>
      </c>
      <c r="C70" s="79"/>
      <c r="D70" s="79"/>
      <c r="E70" s="79"/>
      <c r="F70" s="79"/>
      <c r="G70" s="79"/>
      <c r="H70" s="86"/>
      <c r="I70" s="61"/>
      <c r="J70" s="81"/>
      <c r="K70" s="81"/>
      <c r="L70" s="81"/>
      <c r="M70" s="81"/>
      <c r="N70" s="81"/>
      <c r="O70" s="82"/>
      <c r="P70" s="81"/>
      <c r="Q70" s="83"/>
      <c r="R70" s="83"/>
      <c r="S70" s="83"/>
      <c r="T70" s="83"/>
      <c r="U70" s="83"/>
    </row>
    <row r="71" spans="2:25" ht="15" x14ac:dyDescent="0.2">
      <c r="B71" s="51" t="s">
        <v>283</v>
      </c>
      <c r="C71" s="79">
        <v>6029</v>
      </c>
      <c r="D71" s="79">
        <v>7036</v>
      </c>
      <c r="E71" s="79">
        <v>5561</v>
      </c>
      <c r="F71" s="79">
        <v>5423</v>
      </c>
      <c r="G71" s="79">
        <v>5167</v>
      </c>
      <c r="H71" s="86"/>
      <c r="I71" s="61"/>
      <c r="J71" s="81">
        <f t="shared" ref="J71:N79" si="10">C71/C$67</f>
        <v>0.11915490730858927</v>
      </c>
      <c r="K71" s="81">
        <f t="shared" si="10"/>
        <v>0.13573316357042267</v>
      </c>
      <c r="L71" s="81">
        <f t="shared" si="10"/>
        <v>0.10667561864569346</v>
      </c>
      <c r="M71" s="81">
        <f t="shared" si="10"/>
        <v>0.10149728616881902</v>
      </c>
      <c r="N71" s="81">
        <f t="shared" si="10"/>
        <v>9.3167925855136224E-2</v>
      </c>
      <c r="O71" s="82"/>
      <c r="P71" s="81"/>
      <c r="Q71" s="147">
        <f t="shared" ref="Q71:U79" si="11">C71/$C71</f>
        <v>1</v>
      </c>
      <c r="R71" s="147">
        <f t="shared" si="11"/>
        <v>1.1670260408027866</v>
      </c>
      <c r="S71" s="147">
        <f t="shared" si="11"/>
        <v>0.92237518659810913</v>
      </c>
      <c r="T71" s="147">
        <f t="shared" si="11"/>
        <v>0.89948581854370546</v>
      </c>
      <c r="U71" s="147">
        <f t="shared" si="11"/>
        <v>0.85702438215292753</v>
      </c>
    </row>
    <row r="72" spans="2:25" ht="15" x14ac:dyDescent="0.2">
      <c r="B72" s="51" t="s">
        <v>284</v>
      </c>
      <c r="C72" s="79">
        <v>149</v>
      </c>
      <c r="D72" s="79">
        <v>399</v>
      </c>
      <c r="E72" s="79">
        <v>2096</v>
      </c>
      <c r="F72" s="79">
        <v>1616</v>
      </c>
      <c r="G72" s="79">
        <v>2210</v>
      </c>
      <c r="H72" s="86"/>
      <c r="I72" s="61"/>
      <c r="J72" s="81">
        <f t="shared" si="10"/>
        <v>2.9447804261037987E-3</v>
      </c>
      <c r="K72" s="81">
        <f t="shared" si="10"/>
        <v>7.6972046993460273E-3</v>
      </c>
      <c r="L72" s="81">
        <f t="shared" si="10"/>
        <v>4.0207174371762903E-2</v>
      </c>
      <c r="M72" s="81">
        <f t="shared" si="10"/>
        <v>3.0245180610144112E-2</v>
      </c>
      <c r="N72" s="81">
        <f t="shared" si="10"/>
        <v>3.9849258010422113E-2</v>
      </c>
      <c r="O72" s="82"/>
      <c r="P72" s="81"/>
      <c r="Q72" s="147">
        <f t="shared" si="11"/>
        <v>1</v>
      </c>
      <c r="R72" s="147">
        <f t="shared" si="11"/>
        <v>2.6778523489932886</v>
      </c>
      <c r="S72" s="147">
        <f t="shared" si="11"/>
        <v>14.067114093959731</v>
      </c>
      <c r="T72" s="147">
        <f t="shared" si="11"/>
        <v>10.845637583892618</v>
      </c>
      <c r="U72" s="147">
        <f t="shared" si="11"/>
        <v>14.832214765100671</v>
      </c>
    </row>
    <row r="73" spans="2:25" ht="15" x14ac:dyDescent="0.2">
      <c r="B73" s="51" t="s">
        <v>285</v>
      </c>
      <c r="C73" s="79">
        <v>163</v>
      </c>
      <c r="D73" s="79">
        <v>554</v>
      </c>
      <c r="E73" s="79">
        <v>1230</v>
      </c>
      <c r="F73" s="79">
        <v>1048</v>
      </c>
      <c r="G73" s="79">
        <v>913</v>
      </c>
      <c r="H73" s="86"/>
      <c r="I73" s="61"/>
      <c r="J73" s="81">
        <f t="shared" si="10"/>
        <v>3.2214712043954308E-3</v>
      </c>
      <c r="K73" s="81">
        <f t="shared" si="10"/>
        <v>1.0687346875783706E-2</v>
      </c>
      <c r="L73" s="81">
        <f t="shared" si="10"/>
        <v>2.3594859006330328E-2</v>
      </c>
      <c r="M73" s="81">
        <f t="shared" si="10"/>
        <v>1.9614448811529104E-2</v>
      </c>
      <c r="N73" s="81">
        <f t="shared" si="10"/>
        <v>1.6462612019690223E-2</v>
      </c>
      <c r="O73" s="82"/>
      <c r="P73" s="81"/>
      <c r="Q73" s="147">
        <f t="shared" si="11"/>
        <v>1</v>
      </c>
      <c r="R73" s="147">
        <f t="shared" si="11"/>
        <v>3.3987730061349692</v>
      </c>
      <c r="S73" s="147">
        <f t="shared" si="11"/>
        <v>7.5460122699386503</v>
      </c>
      <c r="T73" s="147">
        <f t="shared" si="11"/>
        <v>6.4294478527607364</v>
      </c>
      <c r="U73" s="147">
        <f t="shared" si="11"/>
        <v>5.6012269938650308</v>
      </c>
    </row>
    <row r="74" spans="2:25" ht="15" x14ac:dyDescent="0.2">
      <c r="B74" s="51" t="s">
        <v>286</v>
      </c>
      <c r="C74" s="79">
        <v>144</v>
      </c>
      <c r="D74" s="79">
        <v>87</v>
      </c>
      <c r="E74" s="79">
        <v>29</v>
      </c>
      <c r="F74" s="79"/>
      <c r="G74" s="79"/>
      <c r="H74" s="86"/>
      <c r="I74" s="61"/>
      <c r="J74" s="81">
        <f t="shared" si="10"/>
        <v>2.8459622909996441E-3</v>
      </c>
      <c r="K74" s="81">
        <f t="shared" si="10"/>
        <v>1.6783378667746976E-3</v>
      </c>
      <c r="L74" s="81">
        <f t="shared" si="10"/>
        <v>5.5630155380778819E-4</v>
      </c>
      <c r="M74" s="81">
        <f t="shared" si="10"/>
        <v>0</v>
      </c>
      <c r="N74" s="81">
        <f t="shared" si="10"/>
        <v>0</v>
      </c>
      <c r="O74" s="82"/>
      <c r="P74" s="81"/>
      <c r="Q74" s="147">
        <f t="shared" si="11"/>
        <v>1</v>
      </c>
      <c r="R74" s="147">
        <f t="shared" si="11"/>
        <v>0.60416666666666663</v>
      </c>
      <c r="S74" s="147">
        <f t="shared" si="11"/>
        <v>0.2013888888888889</v>
      </c>
      <c r="T74" s="147">
        <f t="shared" si="11"/>
        <v>0</v>
      </c>
      <c r="U74" s="147">
        <f t="shared" si="11"/>
        <v>0</v>
      </c>
    </row>
    <row r="75" spans="2:25" ht="15" x14ac:dyDescent="0.2">
      <c r="B75" s="121" t="s">
        <v>63</v>
      </c>
      <c r="C75" s="87">
        <f>SUM(C71:C74)</f>
        <v>6485</v>
      </c>
      <c r="D75" s="87">
        <f>SUM(D71:D74)</f>
        <v>8076</v>
      </c>
      <c r="E75" s="87">
        <f>SUM(E71:E74)</f>
        <v>8916</v>
      </c>
      <c r="F75" s="87">
        <f>SUM(F71:F74)</f>
        <v>8087</v>
      </c>
      <c r="G75" s="87">
        <f>SUM(G71:G74)</f>
        <v>8290</v>
      </c>
      <c r="H75" s="88"/>
      <c r="I75" s="87"/>
      <c r="J75" s="198">
        <f t="shared" si="10"/>
        <v>0.12816712123008814</v>
      </c>
      <c r="K75" s="198">
        <f t="shared" si="10"/>
        <v>0.1557960530123271</v>
      </c>
      <c r="L75" s="198">
        <f t="shared" si="10"/>
        <v>0.17103395357759449</v>
      </c>
      <c r="M75" s="198">
        <f t="shared" si="10"/>
        <v>0.15135691559049222</v>
      </c>
      <c r="N75" s="198">
        <f t="shared" si="10"/>
        <v>0.14947979588524857</v>
      </c>
      <c r="O75" s="197"/>
      <c r="P75" s="198"/>
      <c r="Q75" s="187">
        <f t="shared" si="11"/>
        <v>1</v>
      </c>
      <c r="R75" s="187">
        <f t="shared" si="11"/>
        <v>1.2453353893600616</v>
      </c>
      <c r="S75" s="187">
        <f t="shared" si="11"/>
        <v>1.3748650732459522</v>
      </c>
      <c r="T75" s="187">
        <f t="shared" si="11"/>
        <v>1.2470316114109483</v>
      </c>
      <c r="U75" s="187">
        <f t="shared" si="11"/>
        <v>1.2783346183500386</v>
      </c>
    </row>
    <row r="76" spans="2:25" ht="15" x14ac:dyDescent="0.2">
      <c r="B76" s="51" t="s">
        <v>287</v>
      </c>
      <c r="C76" s="79">
        <v>11711</v>
      </c>
      <c r="D76" s="79">
        <v>11266</v>
      </c>
      <c r="E76" s="79">
        <v>10131</v>
      </c>
      <c r="F76" s="79">
        <v>13946</v>
      </c>
      <c r="G76" s="79">
        <v>14297</v>
      </c>
      <c r="H76" s="86"/>
      <c r="I76" s="61"/>
      <c r="J76" s="81">
        <f t="shared" si="10"/>
        <v>0.23145183604095024</v>
      </c>
      <c r="K76" s="81">
        <f t="shared" si="10"/>
        <v>0.21733510812739934</v>
      </c>
      <c r="L76" s="81">
        <f t="shared" si="10"/>
        <v>0.19434107040092077</v>
      </c>
      <c r="M76" s="81">
        <f t="shared" si="10"/>
        <v>0.26101441137937487</v>
      </c>
      <c r="N76" s="81">
        <f t="shared" si="10"/>
        <v>0.25779404605203843</v>
      </c>
      <c r="O76" s="82"/>
      <c r="P76" s="81"/>
      <c r="Q76" s="147">
        <f t="shared" si="11"/>
        <v>1</v>
      </c>
      <c r="R76" s="147">
        <f t="shared" si="11"/>
        <v>0.96200153701648028</v>
      </c>
      <c r="S76" s="147">
        <f t="shared" si="11"/>
        <v>0.86508410895739052</v>
      </c>
      <c r="T76" s="147">
        <f t="shared" si="11"/>
        <v>1.1908462129621724</v>
      </c>
      <c r="U76" s="147">
        <f t="shared" si="11"/>
        <v>1.2208180343267014</v>
      </c>
      <c r="X76" s="191"/>
      <c r="Y76" s="191"/>
    </row>
    <row r="77" spans="2:25" ht="15" x14ac:dyDescent="0.2">
      <c r="B77" s="51" t="s">
        <v>288</v>
      </c>
      <c r="C77" s="79">
        <v>7430</v>
      </c>
      <c r="D77" s="79">
        <v>7369</v>
      </c>
      <c r="E77" s="79">
        <v>7407</v>
      </c>
      <c r="F77" s="79">
        <v>7154</v>
      </c>
      <c r="G77" s="79">
        <v>7356</v>
      </c>
      <c r="H77" s="86"/>
      <c r="I77" s="61"/>
      <c r="J77" s="81">
        <f t="shared" si="10"/>
        <v>0.14684374876477332</v>
      </c>
      <c r="K77" s="81">
        <f t="shared" si="10"/>
        <v>0.14215714643980168</v>
      </c>
      <c r="L77" s="81">
        <f t="shared" si="10"/>
        <v>0.14208708996738922</v>
      </c>
      <c r="M77" s="81">
        <f t="shared" si="10"/>
        <v>0.13389481564664046</v>
      </c>
      <c r="N77" s="81">
        <f t="shared" si="10"/>
        <v>0.132638525757767</v>
      </c>
      <c r="O77" s="82"/>
      <c r="P77" s="81"/>
      <c r="Q77" s="147">
        <f t="shared" si="11"/>
        <v>1</v>
      </c>
      <c r="R77" s="147">
        <f t="shared" si="11"/>
        <v>0.99179004037685059</v>
      </c>
      <c r="S77" s="147">
        <f t="shared" si="11"/>
        <v>0.9969044414535666</v>
      </c>
      <c r="T77" s="147">
        <f t="shared" si="11"/>
        <v>0.96285329744279946</v>
      </c>
      <c r="U77" s="147">
        <f t="shared" si="11"/>
        <v>0.99004037685060564</v>
      </c>
    </row>
    <row r="78" spans="2:25" ht="15" x14ac:dyDescent="0.2">
      <c r="B78" s="51" t="s">
        <v>289</v>
      </c>
      <c r="C78" s="79"/>
      <c r="D78" s="79"/>
      <c r="E78" s="79"/>
      <c r="F78" s="79"/>
      <c r="G78" s="79"/>
      <c r="H78" s="86"/>
      <c r="I78" s="61"/>
      <c r="J78" s="81">
        <f t="shared" si="10"/>
        <v>0</v>
      </c>
      <c r="K78" s="81">
        <f t="shared" si="10"/>
        <v>0</v>
      </c>
      <c r="L78" s="81">
        <f t="shared" si="10"/>
        <v>0</v>
      </c>
      <c r="M78" s="81">
        <f t="shared" si="10"/>
        <v>0</v>
      </c>
      <c r="N78" s="81">
        <f t="shared" si="10"/>
        <v>0</v>
      </c>
      <c r="O78" s="82"/>
      <c r="P78" s="81"/>
      <c r="Q78" s="147"/>
      <c r="R78" s="147"/>
      <c r="S78" s="147"/>
      <c r="T78" s="147"/>
      <c r="U78" s="147"/>
    </row>
    <row r="79" spans="2:25" ht="15" x14ac:dyDescent="0.2">
      <c r="B79" s="121" t="s">
        <v>67</v>
      </c>
      <c r="C79" s="87">
        <f>SUM(C75:C78)</f>
        <v>25626</v>
      </c>
      <c r="D79" s="87">
        <f>SUM(D75:D78)</f>
        <v>26711</v>
      </c>
      <c r="E79" s="87">
        <f>SUM(E75:E78)</f>
        <v>26454</v>
      </c>
      <c r="F79" s="87">
        <f>SUM(F75:F78)</f>
        <v>29187</v>
      </c>
      <c r="G79" s="87">
        <f>SUM(G75:G78)</f>
        <v>29943</v>
      </c>
      <c r="H79" s="88"/>
      <c r="I79" s="87"/>
      <c r="J79" s="198">
        <f t="shared" si="10"/>
        <v>0.50646270603581167</v>
      </c>
      <c r="K79" s="198">
        <f t="shared" si="10"/>
        <v>0.51528830757952815</v>
      </c>
      <c r="L79" s="198">
        <f t="shared" si="10"/>
        <v>0.50746211394590446</v>
      </c>
      <c r="M79" s="198">
        <f t="shared" si="10"/>
        <v>0.54626614261650763</v>
      </c>
      <c r="N79" s="198">
        <f t="shared" si="10"/>
        <v>0.53991236769505402</v>
      </c>
      <c r="O79" s="197"/>
      <c r="P79" s="198"/>
      <c r="Q79" s="187">
        <f t="shared" si="11"/>
        <v>1</v>
      </c>
      <c r="R79" s="187">
        <f t="shared" si="11"/>
        <v>1.0423398111293218</v>
      </c>
      <c r="S79" s="187">
        <f t="shared" si="11"/>
        <v>1.0323109342074455</v>
      </c>
      <c r="T79" s="187">
        <f t="shared" si="11"/>
        <v>1.1389604308124561</v>
      </c>
      <c r="U79" s="187">
        <f t="shared" si="11"/>
        <v>1.1684617185670803</v>
      </c>
    </row>
    <row r="80" spans="2:25" ht="15" x14ac:dyDescent="0.2">
      <c r="B80" s="51" t="s">
        <v>68</v>
      </c>
      <c r="C80" s="79"/>
      <c r="D80" s="79"/>
      <c r="E80" s="79"/>
      <c r="F80" s="79"/>
      <c r="G80" s="79"/>
      <c r="H80" s="86"/>
      <c r="I80" s="61"/>
      <c r="J80" s="81"/>
      <c r="K80" s="81"/>
      <c r="L80" s="81"/>
      <c r="M80" s="81"/>
      <c r="N80" s="81"/>
      <c r="O80" s="82"/>
      <c r="P80" s="81"/>
      <c r="Q80" s="83"/>
      <c r="R80" s="83"/>
      <c r="S80" s="83"/>
      <c r="T80" s="83"/>
      <c r="U80" s="83"/>
    </row>
    <row r="81" spans="2:22" ht="15" x14ac:dyDescent="0.2">
      <c r="B81" s="179" t="s">
        <v>290</v>
      </c>
      <c r="C81" s="79">
        <v>14</v>
      </c>
      <c r="D81" s="79">
        <v>14</v>
      </c>
      <c r="E81" s="79">
        <v>14</v>
      </c>
      <c r="F81" s="79">
        <v>14</v>
      </c>
      <c r="G81" s="79">
        <v>14</v>
      </c>
      <c r="H81" s="86"/>
      <c r="I81" s="61"/>
      <c r="J81" s="81">
        <f t="shared" ref="J81:N89" si="12">C81/C$67</f>
        <v>2.7669077829163211E-4</v>
      </c>
      <c r="K81" s="81">
        <f t="shared" si="12"/>
        <v>2.7007735787179044E-4</v>
      </c>
      <c r="L81" s="81">
        <f t="shared" si="12"/>
        <v>2.6855937080375985E-4</v>
      </c>
      <c r="M81" s="81">
        <f t="shared" si="12"/>
        <v>2.6202507954332769E-4</v>
      </c>
      <c r="N81" s="81">
        <f t="shared" si="12"/>
        <v>2.5243873852756089E-4</v>
      </c>
      <c r="O81" s="82"/>
      <c r="P81" s="81"/>
      <c r="Q81" s="147">
        <f t="shared" ref="Q81:U89" si="13">C81/$C81</f>
        <v>1</v>
      </c>
      <c r="R81" s="147">
        <f t="shared" si="13"/>
        <v>1</v>
      </c>
      <c r="S81" s="147">
        <f t="shared" si="13"/>
        <v>1</v>
      </c>
      <c r="T81" s="147">
        <f t="shared" si="13"/>
        <v>1</v>
      </c>
      <c r="U81" s="147">
        <f t="shared" si="13"/>
        <v>1</v>
      </c>
    </row>
    <row r="82" spans="2:22" ht="15" x14ac:dyDescent="0.2">
      <c r="B82" s="179" t="s">
        <v>291</v>
      </c>
      <c r="C82" s="79">
        <v>21785</v>
      </c>
      <c r="D82" s="79">
        <v>21444</v>
      </c>
      <c r="E82" s="79">
        <v>20788</v>
      </c>
      <c r="F82" s="79">
        <v>19712</v>
      </c>
      <c r="G82" s="79">
        <v>19778</v>
      </c>
      <c r="H82" s="86"/>
      <c r="I82" s="61"/>
      <c r="J82" s="81">
        <f t="shared" si="12"/>
        <v>0.43055061464880034</v>
      </c>
      <c r="K82" s="81">
        <f t="shared" si="12"/>
        <v>0.41368134730019096</v>
      </c>
      <c r="L82" s="81">
        <f t="shared" si="12"/>
        <v>0.39877230001918279</v>
      </c>
      <c r="M82" s="81">
        <f t="shared" si="12"/>
        <v>0.36893131199700541</v>
      </c>
      <c r="N82" s="81">
        <f t="shared" si="12"/>
        <v>0.35662381218557854</v>
      </c>
      <c r="O82" s="82"/>
      <c r="P82" s="81"/>
      <c r="Q82" s="147">
        <f t="shared" si="13"/>
        <v>1</v>
      </c>
      <c r="R82" s="147">
        <f t="shared" si="13"/>
        <v>0.98434702777140237</v>
      </c>
      <c r="S82" s="147">
        <f t="shared" si="13"/>
        <v>0.9542345650677071</v>
      </c>
      <c r="T82" s="147">
        <f t="shared" si="13"/>
        <v>0.90484278173054855</v>
      </c>
      <c r="U82" s="147">
        <f t="shared" si="13"/>
        <v>0.9078723892586642</v>
      </c>
    </row>
    <row r="83" spans="2:22" ht="15" x14ac:dyDescent="0.2">
      <c r="B83" s="179" t="s">
        <v>292</v>
      </c>
      <c r="C83" s="79">
        <v>3199</v>
      </c>
      <c r="D83" s="79">
        <v>3539</v>
      </c>
      <c r="E83" s="79">
        <v>4559</v>
      </c>
      <c r="F83" s="79">
        <v>4793</v>
      </c>
      <c r="G83" s="79">
        <v>5622</v>
      </c>
      <c r="H83" s="86"/>
      <c r="I83" s="61"/>
      <c r="J83" s="81">
        <f t="shared" si="12"/>
        <v>6.3223842839637931E-2</v>
      </c>
      <c r="K83" s="81">
        <f t="shared" si="12"/>
        <v>6.8271697822019015E-2</v>
      </c>
      <c r="L83" s="81">
        <f t="shared" si="12"/>
        <v>8.7454440821024368E-2</v>
      </c>
      <c r="M83" s="81">
        <f t="shared" si="12"/>
        <v>8.970615758936927E-2</v>
      </c>
      <c r="N83" s="81">
        <f t="shared" si="12"/>
        <v>0.10137218485728196</v>
      </c>
      <c r="O83" s="82"/>
      <c r="P83" s="81"/>
      <c r="Q83" s="147">
        <f t="shared" si="13"/>
        <v>1</v>
      </c>
      <c r="R83" s="147">
        <f t="shared" si="13"/>
        <v>1.10628321350422</v>
      </c>
      <c r="S83" s="147">
        <f t="shared" si="13"/>
        <v>1.4251328540168802</v>
      </c>
      <c r="T83" s="147">
        <f t="shared" si="13"/>
        <v>1.4982807127227258</v>
      </c>
      <c r="U83" s="147">
        <f t="shared" si="13"/>
        <v>1.7574241950609566</v>
      </c>
    </row>
    <row r="84" spans="2:22" ht="15" x14ac:dyDescent="0.2">
      <c r="B84" s="179" t="s">
        <v>293</v>
      </c>
      <c r="C84" s="79">
        <v>-26</v>
      </c>
      <c r="D84" s="79">
        <v>129</v>
      </c>
      <c r="E84" s="79">
        <v>315</v>
      </c>
      <c r="F84" s="79">
        <v>-276</v>
      </c>
      <c r="G84" s="79">
        <v>102</v>
      </c>
      <c r="H84" s="86"/>
      <c r="I84" s="61"/>
      <c r="J84" s="81">
        <f t="shared" si="12"/>
        <v>-5.1385430254160245E-4</v>
      </c>
      <c r="K84" s="81">
        <f t="shared" si="12"/>
        <v>2.4885699403900687E-3</v>
      </c>
      <c r="L84" s="81">
        <f t="shared" si="12"/>
        <v>6.0425858430845966E-3</v>
      </c>
      <c r="M84" s="81">
        <f t="shared" si="12"/>
        <v>-5.1656372824256036E-3</v>
      </c>
      <c r="N84" s="81">
        <f t="shared" si="12"/>
        <v>1.8391965235579437E-3</v>
      </c>
      <c r="O84" s="82"/>
      <c r="P84" s="81"/>
      <c r="Q84" s="147">
        <f t="shared" si="13"/>
        <v>1</v>
      </c>
      <c r="R84" s="147">
        <f t="shared" si="13"/>
        <v>-4.9615384615384617</v>
      </c>
      <c r="S84" s="147">
        <f t="shared" si="13"/>
        <v>-12.115384615384615</v>
      </c>
      <c r="T84" s="147">
        <f t="shared" si="13"/>
        <v>10.615384615384615</v>
      </c>
      <c r="U84" s="147">
        <f t="shared" si="13"/>
        <v>-3.9230769230769229</v>
      </c>
    </row>
    <row r="85" spans="2:22" ht="15" x14ac:dyDescent="0.2">
      <c r="B85" s="179" t="s">
        <v>294</v>
      </c>
      <c r="C85" s="79"/>
      <c r="D85" s="79"/>
      <c r="E85" s="79"/>
      <c r="F85" s="79"/>
      <c r="G85" s="79"/>
      <c r="H85" s="86"/>
      <c r="I85" s="61"/>
      <c r="J85" s="81">
        <f t="shared" si="12"/>
        <v>0</v>
      </c>
      <c r="K85" s="81">
        <f t="shared" si="12"/>
        <v>0</v>
      </c>
      <c r="L85" s="81">
        <f t="shared" si="12"/>
        <v>0</v>
      </c>
      <c r="M85" s="81">
        <f t="shared" si="12"/>
        <v>0</v>
      </c>
      <c r="N85" s="81">
        <f t="shared" si="12"/>
        <v>0</v>
      </c>
      <c r="O85" s="82"/>
      <c r="P85" s="81"/>
      <c r="Q85" s="147"/>
      <c r="R85" s="147"/>
      <c r="S85" s="147"/>
      <c r="T85" s="147"/>
      <c r="U85" s="147"/>
    </row>
    <row r="86" spans="2:22" ht="15" x14ac:dyDescent="0.2">
      <c r="B86" s="180" t="s">
        <v>74</v>
      </c>
      <c r="C86" s="190">
        <f>SUM(C81:C85)</f>
        <v>24972</v>
      </c>
      <c r="D86" s="190">
        <f>SUM(D81:D85)</f>
        <v>25126</v>
      </c>
      <c r="E86" s="190">
        <f>SUM(E81:E85)</f>
        <v>25676</v>
      </c>
      <c r="F86" s="190">
        <f>SUM(F81:F85)</f>
        <v>24243</v>
      </c>
      <c r="G86" s="190">
        <f>SUM(G81:G85)</f>
        <v>25516</v>
      </c>
      <c r="H86" s="86"/>
      <c r="I86" s="61"/>
      <c r="J86" s="202">
        <f t="shared" si="12"/>
        <v>0.49353729396418833</v>
      </c>
      <c r="K86" s="202">
        <f t="shared" si="12"/>
        <v>0.48471169242047185</v>
      </c>
      <c r="L86" s="202">
        <f t="shared" si="12"/>
        <v>0.49253788605409554</v>
      </c>
      <c r="M86" s="202">
        <f t="shared" si="12"/>
        <v>0.45373385738349242</v>
      </c>
      <c r="N86" s="202">
        <f t="shared" si="12"/>
        <v>0.46008763230494598</v>
      </c>
      <c r="O86" s="185"/>
      <c r="P86" s="202"/>
      <c r="Q86" s="184">
        <f t="shared" si="13"/>
        <v>1</v>
      </c>
      <c r="R86" s="184">
        <f t="shared" si="13"/>
        <v>1.0061669069357682</v>
      </c>
      <c r="S86" s="184">
        <f t="shared" si="13"/>
        <v>1.0281915745635111</v>
      </c>
      <c r="T86" s="184">
        <f t="shared" si="13"/>
        <v>0.9708073041806824</v>
      </c>
      <c r="U86" s="184">
        <f t="shared" si="13"/>
        <v>1.0217843985263495</v>
      </c>
    </row>
    <row r="87" spans="2:22" ht="15" x14ac:dyDescent="0.2">
      <c r="B87" s="179" t="s">
        <v>295</v>
      </c>
      <c r="C87" s="79"/>
      <c r="D87" s="79"/>
      <c r="E87" s="79"/>
      <c r="F87" s="79"/>
      <c r="G87" s="79"/>
      <c r="H87" s="86"/>
      <c r="I87" s="61"/>
      <c r="J87" s="81">
        <f t="shared" si="12"/>
        <v>0</v>
      </c>
      <c r="K87" s="81">
        <f t="shared" si="12"/>
        <v>0</v>
      </c>
      <c r="L87" s="81">
        <f t="shared" si="12"/>
        <v>0</v>
      </c>
      <c r="M87" s="81">
        <f t="shared" si="12"/>
        <v>0</v>
      </c>
      <c r="N87" s="81">
        <f t="shared" si="12"/>
        <v>0</v>
      </c>
      <c r="O87" s="82"/>
      <c r="P87" s="81"/>
      <c r="Q87" s="147"/>
      <c r="R87" s="147"/>
      <c r="S87" s="147"/>
      <c r="T87" s="147"/>
      <c r="U87" s="147"/>
    </row>
    <row r="88" spans="2:22" ht="15" x14ac:dyDescent="0.2">
      <c r="B88" s="121" t="s">
        <v>296</v>
      </c>
      <c r="C88" s="189">
        <f>SUM(C86:C87)</f>
        <v>24972</v>
      </c>
      <c r="D88" s="189">
        <f>SUM(D86:D87)</f>
        <v>25126</v>
      </c>
      <c r="E88" s="189">
        <f>SUM(E86:E87)</f>
        <v>25676</v>
      </c>
      <c r="F88" s="189">
        <f>SUM(F86:F87)</f>
        <v>24243</v>
      </c>
      <c r="G88" s="189">
        <f>SUM(G86:G87)</f>
        <v>25516</v>
      </c>
      <c r="H88" s="88"/>
      <c r="I88" s="87"/>
      <c r="J88" s="198">
        <f t="shared" si="12"/>
        <v>0.49353729396418833</v>
      </c>
      <c r="K88" s="198">
        <f t="shared" si="12"/>
        <v>0.48471169242047185</v>
      </c>
      <c r="L88" s="198">
        <f t="shared" si="12"/>
        <v>0.49253788605409554</v>
      </c>
      <c r="M88" s="198">
        <f t="shared" si="12"/>
        <v>0.45373385738349242</v>
      </c>
      <c r="N88" s="198">
        <f t="shared" si="12"/>
        <v>0.46008763230494598</v>
      </c>
      <c r="O88" s="197"/>
      <c r="P88" s="198"/>
      <c r="Q88" s="187">
        <f t="shared" si="13"/>
        <v>1</v>
      </c>
      <c r="R88" s="187">
        <f t="shared" si="13"/>
        <v>1.0061669069357682</v>
      </c>
      <c r="S88" s="187">
        <f t="shared" si="13"/>
        <v>1.0281915745635111</v>
      </c>
      <c r="T88" s="187">
        <f t="shared" si="13"/>
        <v>0.9708073041806824</v>
      </c>
      <c r="U88" s="187">
        <f t="shared" si="13"/>
        <v>1.0217843985263495</v>
      </c>
    </row>
    <row r="89" spans="2:22" ht="16" thickBot="1" x14ac:dyDescent="0.25">
      <c r="B89" s="122" t="s">
        <v>75</v>
      </c>
      <c r="C89" s="188">
        <f>C88+C79</f>
        <v>50598</v>
      </c>
      <c r="D89" s="188">
        <f>D88+D79</f>
        <v>51837</v>
      </c>
      <c r="E89" s="188">
        <f>E88+E79</f>
        <v>52130</v>
      </c>
      <c r="F89" s="188">
        <f>F88+F79</f>
        <v>53430</v>
      </c>
      <c r="G89" s="188">
        <f>G88+G79</f>
        <v>55459</v>
      </c>
      <c r="H89" s="97"/>
      <c r="I89" s="96"/>
      <c r="J89" s="203">
        <f t="shared" si="12"/>
        <v>1</v>
      </c>
      <c r="K89" s="203">
        <f t="shared" si="12"/>
        <v>1</v>
      </c>
      <c r="L89" s="203">
        <f t="shared" si="12"/>
        <v>1</v>
      </c>
      <c r="M89" s="203">
        <f t="shared" si="12"/>
        <v>1</v>
      </c>
      <c r="N89" s="203">
        <f t="shared" si="12"/>
        <v>1</v>
      </c>
      <c r="O89" s="195"/>
      <c r="P89" s="196"/>
      <c r="Q89" s="204">
        <f t="shared" si="13"/>
        <v>1</v>
      </c>
      <c r="R89" s="204">
        <f t="shared" si="13"/>
        <v>1.0244871338788095</v>
      </c>
      <c r="S89" s="204">
        <f t="shared" si="13"/>
        <v>1.0302778765959129</v>
      </c>
      <c r="T89" s="204">
        <f t="shared" si="13"/>
        <v>1.0559705917229929</v>
      </c>
      <c r="U89" s="204">
        <f t="shared" si="13"/>
        <v>1.0960709909482589</v>
      </c>
    </row>
    <row r="90" spans="2:22" ht="16" thickTop="1" x14ac:dyDescent="0.2">
      <c r="B90" s="51"/>
      <c r="C90" s="115"/>
      <c r="D90" s="115"/>
      <c r="E90" s="56"/>
      <c r="F90" s="56"/>
      <c r="G90" s="56"/>
      <c r="H90" s="56"/>
      <c r="I90" s="56"/>
      <c r="J90" s="76"/>
      <c r="K90" s="76"/>
      <c r="L90" s="76"/>
      <c r="M90" s="76"/>
      <c r="N90" s="76"/>
      <c r="O90" s="76"/>
      <c r="P90" s="76"/>
      <c r="Q90" s="116"/>
      <c r="R90" s="116"/>
      <c r="S90" s="116"/>
      <c r="T90" s="116"/>
      <c r="U90" s="116"/>
      <c r="V90" s="117"/>
    </row>
    <row r="91" spans="2:22" ht="24" thickBot="1" x14ac:dyDescent="0.3">
      <c r="C91" s="267"/>
      <c r="D91" s="267"/>
      <c r="E91" s="267"/>
      <c r="F91" s="267"/>
      <c r="G91" s="267"/>
    </row>
    <row r="92" spans="2:22" ht="16" thickBot="1" x14ac:dyDescent="0.25">
      <c r="B92" s="501" t="s">
        <v>151</v>
      </c>
      <c r="C92" s="515">
        <v>2021</v>
      </c>
      <c r="D92" s="515">
        <v>2022</v>
      </c>
      <c r="E92" s="515">
        <v>2023</v>
      </c>
      <c r="F92" s="515">
        <v>2024</v>
      </c>
      <c r="G92" s="516">
        <v>2025</v>
      </c>
    </row>
    <row r="93" spans="2:22" ht="15" x14ac:dyDescent="0.2">
      <c r="B93" s="503" t="str">
        <f>'FINANCIAL RATIOS'!B15</f>
        <v xml:space="preserve">Current Ratio = Current Assets / Current Liabilities </v>
      </c>
      <c r="C93" s="521">
        <f>'FINANCIAL RATIOS'!C20</f>
        <v>0.47139552814186586</v>
      </c>
      <c r="D93" s="521">
        <f>'FINANCIAL RATIOS'!D20</f>
        <v>0.47102526002971767</v>
      </c>
      <c r="E93" s="521">
        <f>'FINANCIAL RATIOS'!E20</f>
        <v>0.37853297442799461</v>
      </c>
      <c r="F93" s="521">
        <f>'FINANCIAL RATIOS'!F20</f>
        <v>0.49425003091381231</v>
      </c>
      <c r="G93" s="522">
        <f>'FINANCIAL RATIOS'!G20</f>
        <v>0.63522316043425819</v>
      </c>
    </row>
    <row r="94" spans="2:22" ht="15" x14ac:dyDescent="0.2">
      <c r="B94" s="502" t="str">
        <f>'FINANCIAL RATIOS'!B23</f>
        <v xml:space="preserve">Quick Ratio = (Current Assets - Inventories) / Current Liabilities </v>
      </c>
      <c r="C94" s="479">
        <f>'FINANCIAL RATIOS'!C28</f>
        <v>0.32243639167309174</v>
      </c>
      <c r="D94" s="479">
        <f>'FINANCIAL RATIOS'!D28</f>
        <v>0.29730064388311045</v>
      </c>
      <c r="E94" s="479">
        <f>'FINANCIAL RATIOS'!E28</f>
        <v>0.2379991027366532</v>
      </c>
      <c r="F94" s="479">
        <f>'FINANCIAL RATIOS'!F28</f>
        <v>0.3336218622480524</v>
      </c>
      <c r="G94" s="484">
        <f>'FINANCIAL RATIOS'!G28</f>
        <v>0.4261761158021713</v>
      </c>
    </row>
    <row r="95" spans="2:22" ht="15" x14ac:dyDescent="0.2">
      <c r="B95" s="502" t="str">
        <f>'FINANCIAL RATIOS'!B31</f>
        <v xml:space="preserve">Cash Ratio = Cash / Current Liabilities </v>
      </c>
      <c r="C95" s="479">
        <f>'FINANCIAL RATIOS'!C36</f>
        <v>8.7432536622976093E-2</v>
      </c>
      <c r="D95" s="479">
        <f>'FINANCIAL RATIOS'!D36</f>
        <v>6.6245666171371967E-2</v>
      </c>
      <c r="E95" s="479">
        <f>'FINANCIAL RATIOS'!E36</f>
        <v>2.9946164199192462E-2</v>
      </c>
      <c r="F95" s="479">
        <f>'FINANCIAL RATIOS'!F36</f>
        <v>6.3064177074316802E-2</v>
      </c>
      <c r="G95" s="484">
        <f>'FINANCIAL RATIOS'!G36</f>
        <v>0.12376357056694813</v>
      </c>
    </row>
    <row r="96" spans="2:22" ht="15" x14ac:dyDescent="0.2">
      <c r="B96" s="502" t="str">
        <f>'FINANCIAL RATIOS'!B39</f>
        <v xml:space="preserve">NWC Ratio = (Current Assets - Current Liabilities) / Total Assets </v>
      </c>
      <c r="C96" s="481">
        <f>'FINANCIAL RATIOS'!C44</f>
        <v>-6.7749713427408195E-2</v>
      </c>
      <c r="D96" s="481">
        <f>'FINANCIAL RATIOS'!D44</f>
        <v>-8.2412176630592054E-2</v>
      </c>
      <c r="E96" s="481">
        <f>'FINANCIAL RATIOS'!E44</f>
        <v>-0.10629196240168809</v>
      </c>
      <c r="F96" s="481">
        <f>'FINANCIAL RATIOS'!F44</f>
        <v>-7.6548755380872163E-2</v>
      </c>
      <c r="G96" s="485">
        <f>'FINANCIAL RATIOS'!G44</f>
        <v>-5.4526767521953151E-2</v>
      </c>
    </row>
    <row r="97" spans="2:7" ht="16" thickBot="1" x14ac:dyDescent="0.25">
      <c r="B97" s="502" t="str">
        <f>'FINANCIAL RATIOS'!B47</f>
        <v>Interval Measure = Current Assets / Average Daily Costs (COGS + Oper. Exp.)</v>
      </c>
      <c r="C97" s="479">
        <f>'FINANCIAL RATIOS'!C52</f>
        <v>115.57955251709137</v>
      </c>
      <c r="D97" s="479">
        <f>'FINANCIAL RATIOS'!D52</f>
        <v>124.15809711168738</v>
      </c>
      <c r="E97" s="479">
        <f>'FINANCIAL RATIOS'!E52</f>
        <v>106.3152671096919</v>
      </c>
      <c r="F97" s="479">
        <f>'FINANCIAL RATIOS'!F52</f>
        <v>122.03304056879966</v>
      </c>
      <c r="G97" s="484">
        <f>'FINANCIAL RATIOS'!G52</f>
        <v>149.10325032968737</v>
      </c>
    </row>
    <row r="98" spans="2:7" ht="24" thickBot="1" x14ac:dyDescent="0.3">
      <c r="B98" s="526"/>
      <c r="C98" s="527"/>
      <c r="D98" s="527"/>
      <c r="E98" s="527"/>
      <c r="F98" s="527"/>
      <c r="G98" s="527"/>
    </row>
    <row r="99" spans="2:7" ht="16" thickBot="1" x14ac:dyDescent="0.25">
      <c r="B99" s="523" t="s">
        <v>156</v>
      </c>
      <c r="C99" s="524">
        <v>2021</v>
      </c>
      <c r="D99" s="524">
        <v>2022</v>
      </c>
      <c r="E99" s="524">
        <v>2023</v>
      </c>
      <c r="F99" s="524">
        <v>2024</v>
      </c>
      <c r="G99" s="525">
        <v>2025</v>
      </c>
    </row>
    <row r="100" spans="2:7" ht="15" x14ac:dyDescent="0.2">
      <c r="B100" s="503" t="str">
        <f>'FINANCIAL RATIOS'!B58</f>
        <v>Total Debt Ratio = Financial Debt / Total Assets</v>
      </c>
      <c r="C100" s="499">
        <f>'FINANCIAL RATIOS'!C63</f>
        <v>0.23761808767144946</v>
      </c>
      <c r="D100" s="499">
        <f>'FINANCIAL RATIOS'!D63</f>
        <v>0.23571965970252909</v>
      </c>
      <c r="E100" s="499">
        <f>'FINANCIAL RATIOS'!E63</f>
        <v>0.258143103779014</v>
      </c>
      <c r="F100" s="499">
        <f>'FINANCIAL RATIOS'!F63</f>
        <v>0.31087404080104808</v>
      </c>
      <c r="G100" s="498">
        <f>'FINANCIAL RATIOS'!G63</f>
        <v>0.31410591608215077</v>
      </c>
    </row>
    <row r="101" spans="2:7" ht="15" x14ac:dyDescent="0.2">
      <c r="B101" s="502" t="str">
        <f>'FINANCIAL RATIOS'!B66</f>
        <v xml:space="preserve">Debt-to-Equity Ratio = (Short-term Debt + Long-term Debt) / Total Equity </v>
      </c>
      <c r="C101" s="481">
        <f>'FINANCIAL RATIOS'!C71</f>
        <v>0.48145923434246357</v>
      </c>
      <c r="D101" s="481">
        <f>'FINANCIAL RATIOS'!D71</f>
        <v>0.48630900262676113</v>
      </c>
      <c r="E101" s="481">
        <f>'FINANCIAL RATIOS'!E71</f>
        <v>0.52410811652905442</v>
      </c>
      <c r="F101" s="481">
        <f>'FINANCIAL RATIOS'!F71</f>
        <v>0.68514622777709033</v>
      </c>
      <c r="G101" s="485">
        <f>'FINANCIAL RATIOS'!G71</f>
        <v>0.68270888854052358</v>
      </c>
    </row>
    <row r="102" spans="2:7" ht="15" x14ac:dyDescent="0.2">
      <c r="B102" s="502" t="str">
        <f>'FINANCIAL RATIOS'!B74</f>
        <v>Times Interest Earned = EBIT / Interest Expenses</v>
      </c>
      <c r="C102" s="479">
        <f>'FINANCIAL RATIOS'!C79</f>
        <v>6.0579999999999998</v>
      </c>
      <c r="D102" s="479">
        <f>'FINANCIAL RATIOS'!D79</f>
        <v>4.1471861471861473</v>
      </c>
      <c r="E102" s="479">
        <f>'FINANCIAL RATIOS'!E79</f>
        <v>6.506048387096774</v>
      </c>
      <c r="F102" s="479">
        <f>'FINANCIAL RATIOS'!F79</f>
        <v>4.6204081632653065</v>
      </c>
      <c r="G102" s="484">
        <f>'FINANCIAL RATIOS'!G79</f>
        <v>4.9230769230769234</v>
      </c>
    </row>
    <row r="103" spans="2:7" ht="16" thickBot="1" x14ac:dyDescent="0.25">
      <c r="B103" s="502" t="str">
        <f>'FINANCIAL RATIOS'!B82</f>
        <v>Cash Coverage Ratio = (EBIT+Depreciation) / Interest Expenses</v>
      </c>
      <c r="C103" s="479">
        <f>'FINANCIAL RATIOS'!C87</f>
        <v>6.4119999999999999</v>
      </c>
      <c r="D103" s="479">
        <f>'FINANCIAL RATIOS'!D87</f>
        <v>4.3924963924963922</v>
      </c>
      <c r="E103" s="479">
        <f>'FINANCIAL RATIOS'!E87</f>
        <v>6.850806451612903</v>
      </c>
      <c r="F103" s="479">
        <f>'FINANCIAL RATIOS'!F87</f>
        <v>4.8761904761904766</v>
      </c>
      <c r="G103" s="484">
        <f>'FINANCIAL RATIOS'!G87</f>
        <v>5.2002652519893902</v>
      </c>
    </row>
    <row r="104" spans="2:7" ht="24" thickBot="1" x14ac:dyDescent="0.3">
      <c r="B104" s="526"/>
      <c r="C104" s="527"/>
      <c r="D104" s="527"/>
      <c r="E104" s="527"/>
      <c r="F104" s="527"/>
      <c r="G104" s="527"/>
    </row>
    <row r="105" spans="2:7" ht="16" thickBot="1" x14ac:dyDescent="0.25">
      <c r="B105" s="523" t="s">
        <v>477</v>
      </c>
      <c r="C105" s="524">
        <v>2021</v>
      </c>
      <c r="D105" s="524">
        <v>2022</v>
      </c>
      <c r="E105" s="524">
        <v>2023</v>
      </c>
      <c r="F105" s="524">
        <v>2024</v>
      </c>
      <c r="G105" s="525">
        <v>2025</v>
      </c>
    </row>
    <row r="106" spans="2:7" ht="15" x14ac:dyDescent="0.2">
      <c r="B106" s="503" t="str">
        <f>'FINANCIAL RATIOS'!B93</f>
        <v xml:space="preserve">Assets Turnover Ratio = Sales / Total Assets </v>
      </c>
      <c r="C106" s="480">
        <f>'FINANCIAL RATIOS'!C98</f>
        <v>0.25066208150519781</v>
      </c>
      <c r="D106" s="480">
        <f>'FINANCIAL RATIOS'!D98</f>
        <v>0.27117695854312557</v>
      </c>
      <c r="E106" s="480">
        <f>'FINANCIAL RATIOS'!E98</f>
        <v>0.28417417993477845</v>
      </c>
      <c r="F106" s="480">
        <f>'FINANCIAL RATIOS'!F98</f>
        <v>0.28731049971925882</v>
      </c>
      <c r="G106" s="483">
        <f>'FINANCIAL RATIOS'!G98</f>
        <v>0.29937431255522096</v>
      </c>
    </row>
    <row r="107" spans="2:7" ht="15" x14ac:dyDescent="0.2">
      <c r="B107" s="502" t="str">
        <f>'FINANCIAL RATIOS'!B100</f>
        <v>Inventory Turnover = COGS / Inventories</v>
      </c>
      <c r="C107" s="479">
        <f>'FINANCIAL RATIOS'!C105</f>
        <v>5.9068322981366457</v>
      </c>
      <c r="D107" s="479">
        <f>'FINANCIAL RATIOS'!D105</f>
        <v>4.7997148966500358</v>
      </c>
      <c r="E107" s="479">
        <f>'FINANCIAL RATIOS'!E105</f>
        <v>5.3743016759776534</v>
      </c>
      <c r="F107" s="479">
        <f>'FINANCIAL RATIOS'!F105</f>
        <v>5.2517321016166285</v>
      </c>
      <c r="G107" s="484">
        <f>'FINANCIAL RATIOS'!G105</f>
        <v>4.3877668782458166</v>
      </c>
    </row>
    <row r="108" spans="2:7" ht="15" x14ac:dyDescent="0.2">
      <c r="B108" s="502" t="str">
        <f>'FINANCIAL RATIOS'!B107</f>
        <v>Days Sales in Inventory = 365 / Inventory Turnover</v>
      </c>
      <c r="C108" s="479">
        <f>'FINANCIAL RATIOS'!C112</f>
        <v>61.792849631966355</v>
      </c>
      <c r="D108" s="479">
        <f>'FINANCIAL RATIOS'!D112</f>
        <v>76.046183546183542</v>
      </c>
      <c r="E108" s="479">
        <f>'FINANCIAL RATIOS'!E112</f>
        <v>67.915800415800419</v>
      </c>
      <c r="F108" s="479">
        <f>'FINANCIAL RATIOS'!F112</f>
        <v>69.500879507475815</v>
      </c>
      <c r="G108" s="484">
        <f>'FINANCIAL RATIOS'!G112</f>
        <v>83.185823250920564</v>
      </c>
    </row>
    <row r="109" spans="2:7" ht="15" x14ac:dyDescent="0.2">
      <c r="B109" s="502" t="str">
        <f>'FINANCIAL RATIOS'!B114</f>
        <v xml:space="preserve">Receivables Turnover = Sales / Accounts Receivables </v>
      </c>
      <c r="C109" s="479">
        <f>'FINANCIAL RATIOS'!C119</f>
        <v>11.047909407665506</v>
      </c>
      <c r="D109" s="479">
        <f>'FINANCIAL RATIOS'!D119</f>
        <v>9.4723719676549862</v>
      </c>
      <c r="E109" s="479">
        <f>'FINANCIAL RATIOS'!E119</f>
        <v>10.828947368421053</v>
      </c>
      <c r="F109" s="479">
        <f>'FINANCIAL RATIOS'!F119</f>
        <v>10.220372836218376</v>
      </c>
      <c r="G109" s="484">
        <f>'FINANCIAL RATIOS'!G119</f>
        <v>9.9359664871334523</v>
      </c>
    </row>
    <row r="110" spans="2:7" ht="15" x14ac:dyDescent="0.2">
      <c r="B110" s="502" t="str">
        <f>'FINANCIAL RATIOS'!B121</f>
        <v>Days Sales in Receivables = 365 / Receivables Turnover</v>
      </c>
      <c r="C110" s="479">
        <f>'FINANCIAL RATIOS'!C126</f>
        <v>33.037924781203188</v>
      </c>
      <c r="D110" s="479">
        <f>'FINANCIAL RATIOS'!D126</f>
        <v>38.533115173934696</v>
      </c>
      <c r="E110" s="479">
        <f>'FINANCIAL RATIOS'!E126</f>
        <v>33.705953827460512</v>
      </c>
      <c r="F110" s="479">
        <f>'FINANCIAL RATIOS'!F126</f>
        <v>35.712982867565628</v>
      </c>
      <c r="G110" s="484">
        <f>'FINANCIAL RATIOS'!G126</f>
        <v>36.735228573149435</v>
      </c>
    </row>
    <row r="111" spans="2:7" ht="16" thickBot="1" x14ac:dyDescent="0.25">
      <c r="B111" s="502" t="str">
        <f>'FINANCIAL RATIOS'!B128</f>
        <v>Operating Cycle = Days Sales in Inventory + Days Sales in Receivables</v>
      </c>
      <c r="C111" s="479">
        <f>'FINANCIAL RATIOS'!C133</f>
        <v>94.830774413169536</v>
      </c>
      <c r="D111" s="479">
        <f>'FINANCIAL RATIOS'!D133</f>
        <v>114.57929872011823</v>
      </c>
      <c r="E111" s="479">
        <f>'FINANCIAL RATIOS'!E133</f>
        <v>101.62175424326094</v>
      </c>
      <c r="F111" s="479">
        <f>'FINANCIAL RATIOS'!F133</f>
        <v>105.21386237504144</v>
      </c>
      <c r="G111" s="484">
        <f>'FINANCIAL RATIOS'!G133</f>
        <v>119.92105182406999</v>
      </c>
    </row>
    <row r="112" spans="2:7" ht="24" thickBot="1" x14ac:dyDescent="0.3">
      <c r="B112" s="526"/>
      <c r="C112" s="527"/>
      <c r="D112" s="527"/>
      <c r="E112" s="527"/>
      <c r="F112" s="527"/>
      <c r="G112" s="527"/>
    </row>
    <row r="113" spans="2:7" ht="16" thickBot="1" x14ac:dyDescent="0.25">
      <c r="B113" s="523" t="s">
        <v>167</v>
      </c>
      <c r="C113" s="524">
        <v>2021</v>
      </c>
      <c r="D113" s="524">
        <v>2022</v>
      </c>
      <c r="E113" s="524">
        <v>2023</v>
      </c>
      <c r="F113" s="524">
        <v>2024</v>
      </c>
      <c r="G113" s="525">
        <v>2025</v>
      </c>
    </row>
    <row r="114" spans="2:7" ht="15" x14ac:dyDescent="0.2">
      <c r="B114" s="503" t="str">
        <f>'FINANCIAL RATIOS'!B139</f>
        <v xml:space="preserve">Gross Profit Margin = Gross Profits / Sales </v>
      </c>
      <c r="C114" s="480">
        <f>'FINANCIAL RATIOS'!C144</f>
        <v>0.55010644169360556</v>
      </c>
      <c r="D114" s="480">
        <f>'FINANCIAL RATIOS'!D144</f>
        <v>0.52095041616276583</v>
      </c>
      <c r="E114" s="480">
        <f>'FINANCIAL RATIOS'!E144</f>
        <v>0.5454299986499257</v>
      </c>
      <c r="F114" s="480">
        <f>'FINANCIAL RATIOS'!F144</f>
        <v>0.5555989837795583</v>
      </c>
      <c r="G114" s="483">
        <f>'FINANCIAL RATIOS'!G144</f>
        <v>0.54201048003372887</v>
      </c>
    </row>
    <row r="115" spans="2:7" ht="15" x14ac:dyDescent="0.2">
      <c r="B115" s="502" t="str">
        <f>'FINANCIAL RATIOS'!B147</f>
        <v>Operating Profit Margin = Operating Profits / Sales</v>
      </c>
      <c r="C115" s="479">
        <f>'FINANCIAL RATIOS'!C152</f>
        <v>0.23882362217141054</v>
      </c>
      <c r="D115" s="479">
        <f>'FINANCIAL RATIOS'!D152</f>
        <v>0.20445329728960659</v>
      </c>
      <c r="E115" s="479">
        <f>'FINANCIAL RATIOS'!E152</f>
        <v>0.2178344808964493</v>
      </c>
      <c r="F115" s="479">
        <f>'FINANCIAL RATIOS'!F152</f>
        <v>0.2212233730701583</v>
      </c>
      <c r="G115" s="484">
        <f>'FINANCIAL RATIOS'!G152</f>
        <v>0.22357405288200927</v>
      </c>
    </row>
    <row r="116" spans="2:7" ht="15" x14ac:dyDescent="0.2">
      <c r="B116" s="502" t="str">
        <f>'FINANCIAL RATIOS'!B155</f>
        <v xml:space="preserve">Net Profit Margin = Net Income / Sales </v>
      </c>
      <c r="C116" s="479">
        <f>'FINANCIAL RATIOS'!C160</f>
        <v>0.16912402428447529</v>
      </c>
      <c r="D116" s="479">
        <f>'FINANCIAL RATIOS'!D160</f>
        <v>0.10208437077612577</v>
      </c>
      <c r="E116" s="479">
        <f>'FINANCIAL RATIOS'!E160</f>
        <v>0.14722559740785743</v>
      </c>
      <c r="F116" s="479">
        <f>'FINANCIAL RATIOS'!F160</f>
        <v>9.3870106182007682E-2</v>
      </c>
      <c r="G116" s="484">
        <f>'FINANCIAL RATIOS'!G160</f>
        <v>0.12521833403601759</v>
      </c>
    </row>
    <row r="117" spans="2:7" ht="15" x14ac:dyDescent="0.2">
      <c r="B117" s="502" t="str">
        <f>'FINANCIAL RATIOS'!B163</f>
        <v xml:space="preserve">Return on Assets (ROA) = Net Income / Total Assets </v>
      </c>
      <c r="C117" s="479">
        <f>'FINANCIAL RATIOS'!C168</f>
        <v>4.2392979959682199E-2</v>
      </c>
      <c r="D117" s="479">
        <f>'FINANCIAL RATIOS'!D168</f>
        <v>2.768292918185852E-2</v>
      </c>
      <c r="E117" s="479">
        <f>'FINANCIAL RATIOS'!E168</f>
        <v>4.1837713408785726E-2</v>
      </c>
      <c r="F117" s="479">
        <f>'FINANCIAL RATIOS'!F168</f>
        <v>2.6969867115852517E-2</v>
      </c>
      <c r="G117" s="484">
        <f>'FINANCIAL RATIOS'!G168</f>
        <v>3.7487152671342797E-2</v>
      </c>
    </row>
    <row r="118" spans="2:7" ht="15" x14ac:dyDescent="0.2">
      <c r="B118" s="502" t="str">
        <f>'FINANCIAL RATIOS'!B170</f>
        <v>Return on Equity (ROE) -based  on BV of equity = Net Income / Total Equity</v>
      </c>
      <c r="C118" s="479">
        <f>'FINANCIAL RATIOS'!C175</f>
        <v>8.589620374819798E-2</v>
      </c>
      <c r="D118" s="479">
        <f>'FINANCIAL RATIOS'!D175</f>
        <v>5.7112154740109847E-2</v>
      </c>
      <c r="E118" s="479">
        <f>'FINANCIAL RATIOS'!E175</f>
        <v>8.4943137560367657E-2</v>
      </c>
      <c r="F118" s="479">
        <f>'FINANCIAL RATIOS'!F175</f>
        <v>5.9439838303840281E-2</v>
      </c>
      <c r="G118" s="484">
        <f>'FINANCIAL RATIOS'!G175</f>
        <v>8.14782881329362E-2</v>
      </c>
    </row>
    <row r="119" spans="2:7" ht="16" thickBot="1" x14ac:dyDescent="0.25">
      <c r="B119" s="502" t="str">
        <f>'FINANCIAL RATIOS'!B178</f>
        <v xml:space="preserve">Return on Equity (ROE) - based on MV of equity = Net Income / Market Value of Equity </v>
      </c>
      <c r="C119" s="479">
        <f>'FINANCIAL RATIOS'!C183</f>
        <v>5.2246603970741899E-2</v>
      </c>
      <c r="D119" s="479">
        <f>'FINANCIAL RATIOS'!D183</f>
        <v>2.8134606938954768E-2</v>
      </c>
      <c r="E119" s="479">
        <f>'FINANCIAL RATIOS'!E183</f>
        <v>4.8707389408990213E-2</v>
      </c>
      <c r="F119" s="479">
        <f>'FINANCIAL RATIOS'!F183</f>
        <v>3.3057737483482598E-2</v>
      </c>
      <c r="G119" s="484">
        <f>'FINANCIAL RATIOS'!G183</f>
        <v>5.4671968190854875E-2</v>
      </c>
    </row>
    <row r="120" spans="2:7" ht="24" thickBot="1" x14ac:dyDescent="0.3">
      <c r="B120" s="526"/>
      <c r="C120" s="527"/>
      <c r="D120" s="527"/>
      <c r="E120" s="527"/>
      <c r="F120" s="527"/>
      <c r="G120" s="527"/>
    </row>
    <row r="121" spans="2:7" ht="16" thickBot="1" x14ac:dyDescent="0.25">
      <c r="B121" s="523" t="s">
        <v>174</v>
      </c>
      <c r="C121" s="524">
        <v>2021</v>
      </c>
      <c r="D121" s="524">
        <v>2022</v>
      </c>
      <c r="E121" s="524">
        <v>2023</v>
      </c>
      <c r="F121" s="524">
        <v>2024</v>
      </c>
      <c r="G121" s="525">
        <v>2025</v>
      </c>
    </row>
    <row r="122" spans="2:7" ht="15" x14ac:dyDescent="0.2">
      <c r="B122" s="503" t="str">
        <f>'FINANCIAL RATIOS'!B189</f>
        <v xml:space="preserve">Earnings Per Share (EPS) = Net Income / Number of shares outstanding </v>
      </c>
      <c r="C122" s="480">
        <f>'FINANCIAL RATIOS'!C194</f>
        <v>1.5151515151515151</v>
      </c>
      <c r="D122" s="480">
        <f>'FINANCIAL RATIOS'!D194</f>
        <v>1.0128458498023716</v>
      </c>
      <c r="E122" s="480">
        <f>'FINANCIAL RATIOS'!E194</f>
        <v>1.5586364610876868</v>
      </c>
      <c r="F122" s="480">
        <f>'FINANCIAL RATIOS'!F194</f>
        <v>1.0578475994714431</v>
      </c>
      <c r="G122" s="483">
        <f>'FINANCIAL RATIOS'!G194</f>
        <v>1.5308151093439364</v>
      </c>
    </row>
    <row r="123" spans="2:7" ht="15" x14ac:dyDescent="0.2">
      <c r="B123" s="502" t="str">
        <f>'FINANCIAL RATIOS'!B196</f>
        <v>Price-Earnings Ratio (P/E Ratio) = Price per share / EPS</v>
      </c>
      <c r="C123" s="479">
        <f>'FINANCIAL RATIOS'!C201</f>
        <v>19.14</v>
      </c>
      <c r="D123" s="479">
        <f>'FINANCIAL RATIOS'!D201</f>
        <v>35.543414634146338</v>
      </c>
      <c r="E123" s="479">
        <f>'FINANCIAL RATIOS'!E201</f>
        <v>20.530765703805592</v>
      </c>
      <c r="F123" s="479">
        <f>'FINANCIAL RATIOS'!F201</f>
        <v>30.250104094378909</v>
      </c>
      <c r="G123" s="484">
        <f>'FINANCIAL RATIOS'!G201</f>
        <v>18.290909090909089</v>
      </c>
    </row>
    <row r="124" spans="2:7" ht="15" x14ac:dyDescent="0.2">
      <c r="B124" s="502" t="str">
        <f>'FINANCIAL RATIOS'!B203</f>
        <v>Market-to-Book Ratio = Market Value of Equity / Book Value of Equity</v>
      </c>
      <c r="C124" s="479">
        <f>'FINANCIAL RATIOS'!C208</f>
        <v>1.6440533397405095</v>
      </c>
      <c r="D124" s="479">
        <f>'FINANCIAL RATIOS'!D208</f>
        <v>2.0299609965772505</v>
      </c>
      <c r="E124" s="479">
        <f>'FINANCIAL RATIOS'!E208</f>
        <v>1.7439476553980371</v>
      </c>
      <c r="F124" s="479">
        <f>'FINANCIAL RATIOS'!F208</f>
        <v>1.798061296044219</v>
      </c>
      <c r="G124" s="484">
        <f>'FINANCIAL RATIOS'!G208</f>
        <v>1.4903119611224329</v>
      </c>
    </row>
    <row r="125" spans="2:7" ht="16" thickBot="1" x14ac:dyDescent="0.25">
      <c r="B125" s="507" t="str">
        <f>'FINANCIAL RATIOS'!J21</f>
        <v>Free Cash Flow = Operating Cash Flow + Capital Expenditure</v>
      </c>
      <c r="C125" s="482">
        <f>'FINANCIAL RATIOS'!K27</f>
        <v>0</v>
      </c>
      <c r="D125" s="482">
        <f>'FINANCIAL RATIOS'!L27</f>
        <v>0</v>
      </c>
      <c r="E125" s="482">
        <f>'FINANCIAL RATIOS'!M27</f>
        <v>0</v>
      </c>
      <c r="F125" s="482">
        <f>'FINANCIAL RATIOS'!N27</f>
        <v>0</v>
      </c>
      <c r="G125" s="486">
        <f>'FINANCIAL RATIOS'!O27</f>
        <v>0</v>
      </c>
    </row>
    <row r="126" spans="2:7" ht="23" x14ac:dyDescent="0.25"/>
    <row r="127" spans="2:7" ht="23" x14ac:dyDescent="0.25"/>
  </sheetData>
  <mergeCells count="17">
    <mergeCell ref="U44:V44"/>
    <mergeCell ref="B1:V1"/>
    <mergeCell ref="B2:V2"/>
    <mergeCell ref="B3:V3"/>
    <mergeCell ref="U4:V4"/>
    <mergeCell ref="J6:N6"/>
    <mergeCell ref="Q6:U6"/>
    <mergeCell ref="J7:N7"/>
    <mergeCell ref="Q7:U7"/>
    <mergeCell ref="B41:V41"/>
    <mergeCell ref="B42:V42"/>
    <mergeCell ref="B43:V43"/>
    <mergeCell ref="U46:V46"/>
    <mergeCell ref="J47:N47"/>
    <mergeCell ref="Q47:U47"/>
    <mergeCell ref="J48:N48"/>
    <mergeCell ref="Q48:U48"/>
  </mergeCells>
  <pageMargins left="0.7" right="0.7" top="0.75" bottom="0.75" header="0.3" footer="0.3"/>
  <pageSetup orientation="portrait"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8F56D-DD70-4148-82FE-5488CF0EFEE2}">
  <dimension ref="A1:V105"/>
  <sheetViews>
    <sheetView showGridLines="0" topLeftCell="A21" workbookViewId="0">
      <selection activeCell="A30" sqref="A30"/>
    </sheetView>
  </sheetViews>
  <sheetFormatPr baseColWidth="10" defaultColWidth="8.83203125" defaultRowHeight="23" x14ac:dyDescent="0.25"/>
  <cols>
    <col min="1" max="1" width="48.5" style="47" customWidth="1"/>
    <col min="2" max="2" width="14.5" bestFit="1" customWidth="1"/>
    <col min="3" max="6" width="12.1640625" bestFit="1" customWidth="1"/>
    <col min="7" max="8" width="1.6640625" customWidth="1"/>
    <col min="9" max="10" width="9" bestFit="1" customWidth="1"/>
    <col min="11" max="12" width="10.1640625" bestFit="1" customWidth="1"/>
    <col min="13" max="13" width="9" bestFit="1" customWidth="1"/>
    <col min="14" max="15" width="1.6640625" customWidth="1"/>
    <col min="16" max="16" width="5.6640625" bestFit="1" customWidth="1"/>
    <col min="17" max="20" width="10.1640625" bestFit="1" customWidth="1"/>
    <col min="21" max="21" width="9.33203125" customWidth="1"/>
  </cols>
  <sheetData>
    <row r="1" spans="1:22" ht="20.25" customHeight="1" x14ac:dyDescent="0.2">
      <c r="A1" s="617" t="s">
        <v>368</v>
      </c>
      <c r="B1" s="617"/>
      <c r="C1" s="617"/>
      <c r="D1" s="617"/>
      <c r="E1" s="617"/>
      <c r="F1" s="617"/>
      <c r="G1" s="617"/>
      <c r="H1" s="617"/>
      <c r="I1" s="617"/>
      <c r="J1" s="617"/>
      <c r="K1" s="617"/>
      <c r="L1" s="617"/>
      <c r="M1" s="617"/>
      <c r="N1" s="617"/>
      <c r="O1" s="617"/>
      <c r="P1" s="617"/>
      <c r="Q1" s="617"/>
      <c r="R1" s="617"/>
      <c r="S1" s="617"/>
      <c r="T1" s="617"/>
      <c r="U1" s="617"/>
      <c r="V1" s="106"/>
    </row>
    <row r="2" spans="1:22" ht="15.75" customHeight="1" x14ac:dyDescent="0.2">
      <c r="A2" s="618" t="s">
        <v>369</v>
      </c>
      <c r="B2" s="618"/>
      <c r="C2" s="618"/>
      <c r="D2" s="618"/>
      <c r="E2" s="618"/>
      <c r="F2" s="618"/>
      <c r="G2" s="618"/>
      <c r="H2" s="618"/>
      <c r="I2" s="618"/>
      <c r="J2" s="618"/>
      <c r="K2" s="618"/>
      <c r="L2" s="618"/>
      <c r="M2" s="618"/>
      <c r="N2" s="618"/>
      <c r="O2" s="618"/>
      <c r="P2" s="618"/>
      <c r="Q2" s="618"/>
      <c r="R2" s="618"/>
      <c r="S2" s="618"/>
      <c r="T2" s="618"/>
      <c r="U2" s="618"/>
      <c r="V2" s="107"/>
    </row>
    <row r="3" spans="1:22" ht="15.75" customHeight="1" x14ac:dyDescent="0.2">
      <c r="A3" s="619" t="s">
        <v>2</v>
      </c>
      <c r="B3" s="619"/>
      <c r="C3" s="619"/>
      <c r="D3" s="619"/>
      <c r="E3" s="619"/>
      <c r="F3" s="619"/>
      <c r="G3" s="619"/>
      <c r="H3" s="619"/>
      <c r="I3" s="619"/>
      <c r="J3" s="619"/>
      <c r="K3" s="619"/>
      <c r="L3" s="619"/>
      <c r="M3" s="619"/>
      <c r="N3" s="619"/>
      <c r="O3" s="619"/>
      <c r="P3" s="619"/>
      <c r="Q3" s="619"/>
      <c r="R3" s="619"/>
      <c r="S3" s="619"/>
      <c r="T3" s="619"/>
      <c r="U3" s="619"/>
      <c r="V3" s="5"/>
    </row>
    <row r="4" spans="1:22" s="109" customFormat="1" ht="16" x14ac:dyDescent="0.2">
      <c r="A4" s="106" t="s">
        <v>370</v>
      </c>
      <c r="B4" s="109" t="s">
        <v>371</v>
      </c>
      <c r="C4" s="109" t="s">
        <v>372</v>
      </c>
      <c r="D4" s="109" t="s">
        <v>182</v>
      </c>
      <c r="E4" s="109" t="s">
        <v>373</v>
      </c>
      <c r="F4" s="109" t="s">
        <v>374</v>
      </c>
      <c r="T4" s="616" t="s">
        <v>4</v>
      </c>
      <c r="U4" s="616"/>
    </row>
    <row r="5" spans="1:22" s="109" customFormat="1" ht="16" x14ac:dyDescent="0.2">
      <c r="A5" s="106" t="s">
        <v>5</v>
      </c>
      <c r="B5" s="109" t="s">
        <v>375</v>
      </c>
      <c r="C5" s="109" t="s">
        <v>376</v>
      </c>
      <c r="D5" s="109" t="s">
        <v>182</v>
      </c>
      <c r="E5" s="109" t="s">
        <v>377</v>
      </c>
      <c r="F5" s="109" t="s">
        <v>378</v>
      </c>
    </row>
    <row r="6" spans="1:22" s="109" customFormat="1" ht="16" x14ac:dyDescent="0.2">
      <c r="A6" s="106"/>
      <c r="B6" s="109" t="s">
        <v>379</v>
      </c>
      <c r="C6" s="109" t="s">
        <v>380</v>
      </c>
      <c r="D6" s="109" t="s">
        <v>182</v>
      </c>
      <c r="E6" s="109" t="s">
        <v>381</v>
      </c>
      <c r="F6" s="109" t="s">
        <v>382</v>
      </c>
    </row>
    <row r="7" spans="1:22" s="109" customFormat="1" ht="16" x14ac:dyDescent="0.2">
      <c r="A7" s="106"/>
      <c r="B7" s="109" t="s">
        <v>383</v>
      </c>
      <c r="C7" s="109" t="s">
        <v>384</v>
      </c>
      <c r="D7" s="109" t="s">
        <v>182</v>
      </c>
      <c r="E7" s="109" t="s">
        <v>385</v>
      </c>
      <c r="F7" s="109" t="s">
        <v>386</v>
      </c>
    </row>
    <row r="8" spans="1:22" ht="15" x14ac:dyDescent="0.2">
      <c r="A8" s="2"/>
      <c r="B8" t="s">
        <v>387</v>
      </c>
      <c r="C8" t="s">
        <v>388</v>
      </c>
      <c r="D8" t="s">
        <v>182</v>
      </c>
      <c r="I8" s="620" t="s">
        <v>7</v>
      </c>
      <c r="J8" s="620"/>
      <c r="K8" s="620"/>
      <c r="L8" s="620"/>
      <c r="M8" s="620"/>
      <c r="N8" s="3"/>
      <c r="O8" s="3"/>
      <c r="P8" s="620" t="s">
        <v>8</v>
      </c>
      <c r="Q8" s="620"/>
      <c r="R8" s="620"/>
      <c r="S8" s="620"/>
      <c r="T8" s="620"/>
      <c r="U8" s="4"/>
    </row>
    <row r="9" spans="1:22" ht="15" x14ac:dyDescent="0.2">
      <c r="A9" s="5"/>
      <c r="I9" s="621" t="s">
        <v>9</v>
      </c>
      <c r="J9" s="621"/>
      <c r="K9" s="621"/>
      <c r="L9" s="621"/>
      <c r="M9" s="621"/>
      <c r="N9" s="6"/>
      <c r="O9" s="6"/>
      <c r="P9" s="622" t="s">
        <v>10</v>
      </c>
      <c r="Q9" s="622"/>
      <c r="R9" s="622"/>
      <c r="S9" s="622"/>
      <c r="T9" s="622"/>
    </row>
    <row r="10" spans="1:22" ht="15" x14ac:dyDescent="0.2">
      <c r="A10" s="7" t="s">
        <v>11</v>
      </c>
      <c r="B10" s="8">
        <v>2021</v>
      </c>
      <c r="C10" s="8">
        <v>2022</v>
      </c>
      <c r="D10" s="8">
        <v>2023</v>
      </c>
      <c r="E10" s="8">
        <v>2024</v>
      </c>
      <c r="F10" s="134">
        <v>2025</v>
      </c>
      <c r="G10" s="274"/>
      <c r="H10" s="275"/>
      <c r="I10" s="8">
        <v>2021</v>
      </c>
      <c r="J10" s="8">
        <v>2022</v>
      </c>
      <c r="K10" s="8">
        <v>2023</v>
      </c>
      <c r="L10" s="8">
        <v>2024</v>
      </c>
      <c r="M10" s="134">
        <v>2025</v>
      </c>
      <c r="N10" s="9"/>
      <c r="O10" s="8"/>
      <c r="P10" s="8">
        <v>2021</v>
      </c>
      <c r="Q10" s="8">
        <v>2022</v>
      </c>
      <c r="R10" s="8">
        <v>2023</v>
      </c>
      <c r="S10" s="8">
        <v>2024</v>
      </c>
      <c r="T10" s="134">
        <v>2025</v>
      </c>
    </row>
    <row r="11" spans="1:22" ht="15" x14ac:dyDescent="0.2">
      <c r="A11" s="10"/>
      <c r="B11" s="110"/>
      <c r="C11" s="11"/>
      <c r="D11" s="11"/>
      <c r="E11" s="11"/>
      <c r="F11" s="11"/>
      <c r="G11" s="335"/>
      <c r="H11" s="336"/>
      <c r="I11" s="13"/>
      <c r="J11" s="13"/>
      <c r="K11" s="13"/>
      <c r="L11" s="13"/>
      <c r="M11" s="13"/>
      <c r="N11" s="14"/>
      <c r="O11" s="13"/>
      <c r="P11" s="15"/>
      <c r="Q11" s="15"/>
      <c r="R11" s="15"/>
      <c r="S11" s="15"/>
      <c r="T11" s="15"/>
    </row>
    <row r="12" spans="1:22" s="135" customFormat="1" ht="14.25" customHeight="1" x14ac:dyDescent="0.2">
      <c r="A12" s="10" t="s">
        <v>12</v>
      </c>
      <c r="B12" s="325">
        <v>12683</v>
      </c>
      <c r="C12" s="326">
        <v>14057</v>
      </c>
      <c r="D12" s="326">
        <v>14814</v>
      </c>
      <c r="E12" s="326">
        <v>15351</v>
      </c>
      <c r="F12" s="326">
        <v>16603</v>
      </c>
      <c r="G12" s="337"/>
      <c r="H12" s="338"/>
      <c r="I12" s="16">
        <f>B12/$B$12</f>
        <v>1</v>
      </c>
      <c r="J12" s="16">
        <f>C12/$C$12</f>
        <v>1</v>
      </c>
      <c r="K12" s="16">
        <f>D12/$D$12</f>
        <v>1</v>
      </c>
      <c r="L12" s="16">
        <f>E12/$E$12</f>
        <v>1</v>
      </c>
      <c r="M12" s="16">
        <f>F12/$F$12</f>
        <v>1</v>
      </c>
      <c r="N12" s="17"/>
      <c r="O12" s="16"/>
      <c r="P12" s="26">
        <f>B12/$B12</f>
        <v>1</v>
      </c>
      <c r="Q12" s="26">
        <f t="shared" ref="Q12:T18" si="0">C12/$B12</f>
        <v>1.1083339903808247</v>
      </c>
      <c r="R12" s="26">
        <f t="shared" si="0"/>
        <v>1.1680201844989355</v>
      </c>
      <c r="S12" s="26">
        <f t="shared" si="0"/>
        <v>1.2103603248442798</v>
      </c>
      <c r="T12" s="26">
        <f t="shared" si="0"/>
        <v>1.3090751399511156</v>
      </c>
      <c r="U12" s="26"/>
    </row>
    <row r="13" spans="1:22" s="135" customFormat="1" ht="15" x14ac:dyDescent="0.2">
      <c r="A13" s="53" t="s">
        <v>389</v>
      </c>
      <c r="B13" s="253">
        <v>12683</v>
      </c>
      <c r="C13" s="253">
        <v>14057</v>
      </c>
      <c r="D13" s="253">
        <v>14814</v>
      </c>
      <c r="E13" s="253">
        <v>15351</v>
      </c>
      <c r="F13" s="253">
        <v>16603</v>
      </c>
      <c r="G13" s="339"/>
      <c r="H13" s="340"/>
      <c r="I13" s="16">
        <f t="shared" ref="I13:I42" si="1">B13/$B$12</f>
        <v>1</v>
      </c>
      <c r="J13" s="16">
        <f t="shared" ref="J13:J42" si="2">C13/$C$12</f>
        <v>1</v>
      </c>
      <c r="K13" s="16">
        <f t="shared" ref="K13:K42" si="3">D13/$D$12</f>
        <v>1</v>
      </c>
      <c r="L13" s="16">
        <f t="shared" ref="L13:L42" si="4">E13/$E$12</f>
        <v>1</v>
      </c>
      <c r="M13" s="16">
        <f t="shared" ref="M13:M42" si="5">F13/$F$12</f>
        <v>1</v>
      </c>
      <c r="N13" s="17"/>
      <c r="O13" s="16"/>
      <c r="P13" s="26">
        <f t="shared" ref="P13:P46" si="6">B13/$B13</f>
        <v>1</v>
      </c>
      <c r="Q13" s="26">
        <f t="shared" si="0"/>
        <v>1.1083339903808247</v>
      </c>
      <c r="R13" s="26">
        <f t="shared" si="0"/>
        <v>1.1680201844989355</v>
      </c>
      <c r="S13" s="26">
        <f t="shared" si="0"/>
        <v>1.2103603248442798</v>
      </c>
      <c r="T13" s="26">
        <f t="shared" si="0"/>
        <v>1.3090751399511156</v>
      </c>
      <c r="U13" s="26"/>
      <c r="V13" s="26"/>
    </row>
    <row r="14" spans="1:22" s="135" customFormat="1" ht="15" x14ac:dyDescent="0.2">
      <c r="A14" s="10" t="s">
        <v>390</v>
      </c>
      <c r="B14" s="252">
        <v>5706</v>
      </c>
      <c r="C14" s="252">
        <v>6734</v>
      </c>
      <c r="D14" s="252">
        <v>6734</v>
      </c>
      <c r="E14" s="252">
        <v>6822</v>
      </c>
      <c r="F14" s="252">
        <v>7604</v>
      </c>
      <c r="G14" s="335"/>
      <c r="H14" s="336"/>
      <c r="I14" s="16">
        <f t="shared" si="1"/>
        <v>0.44989355830639438</v>
      </c>
      <c r="J14" s="16">
        <f t="shared" si="2"/>
        <v>0.47904958383723412</v>
      </c>
      <c r="K14" s="16">
        <f t="shared" si="3"/>
        <v>0.45457000135007425</v>
      </c>
      <c r="L14" s="16">
        <f t="shared" si="4"/>
        <v>0.44440101622044165</v>
      </c>
      <c r="M14" s="16">
        <f t="shared" si="5"/>
        <v>0.45798951996627113</v>
      </c>
      <c r="N14" s="17"/>
      <c r="O14" s="16"/>
      <c r="P14" s="26">
        <f t="shared" si="6"/>
        <v>1</v>
      </c>
      <c r="Q14" s="26">
        <f t="shared" si="0"/>
        <v>1.180161233788994</v>
      </c>
      <c r="R14" s="26">
        <f t="shared" si="0"/>
        <v>1.180161233788994</v>
      </c>
      <c r="S14" s="26">
        <f t="shared" si="0"/>
        <v>1.1955835962145109</v>
      </c>
      <c r="T14" s="26">
        <f t="shared" si="0"/>
        <v>1.3326323168594463</v>
      </c>
    </row>
    <row r="15" spans="1:22" s="135" customFormat="1" ht="15" x14ac:dyDescent="0.2">
      <c r="A15" s="10" t="s">
        <v>391</v>
      </c>
      <c r="B15" s="252">
        <v>6977</v>
      </c>
      <c r="C15" s="252">
        <v>7323</v>
      </c>
      <c r="D15" s="252">
        <v>8080</v>
      </c>
      <c r="E15" s="252">
        <v>8529</v>
      </c>
      <c r="F15" s="252">
        <v>8999</v>
      </c>
      <c r="G15" s="335"/>
      <c r="H15" s="336"/>
      <c r="I15" s="16">
        <f t="shared" si="1"/>
        <v>0.55010644169360556</v>
      </c>
      <c r="J15" s="16">
        <f t="shared" si="2"/>
        <v>0.52095041616276583</v>
      </c>
      <c r="K15" s="16">
        <f t="shared" si="3"/>
        <v>0.5454299986499257</v>
      </c>
      <c r="L15" s="16">
        <f t="shared" si="4"/>
        <v>0.5555989837795583</v>
      </c>
      <c r="M15" s="16">
        <f t="shared" si="5"/>
        <v>0.54201048003372887</v>
      </c>
      <c r="N15" s="17"/>
      <c r="O15" s="16"/>
      <c r="P15" s="26">
        <f t="shared" si="6"/>
        <v>1</v>
      </c>
      <c r="Q15" s="26">
        <f t="shared" si="0"/>
        <v>1.0495915149777841</v>
      </c>
      <c r="R15" s="26">
        <f t="shared" si="0"/>
        <v>1.1580908700014332</v>
      </c>
      <c r="S15" s="26">
        <f t="shared" si="0"/>
        <v>1.2224451770101763</v>
      </c>
      <c r="T15" s="26">
        <f t="shared" si="0"/>
        <v>1.2898093736562992</v>
      </c>
    </row>
    <row r="16" spans="1:22" ht="15" x14ac:dyDescent="0.2">
      <c r="A16" s="52" t="s">
        <v>392</v>
      </c>
      <c r="B16" s="251">
        <v>3765</v>
      </c>
      <c r="C16" s="251">
        <v>4283</v>
      </c>
      <c r="D16" s="251">
        <v>4488</v>
      </c>
      <c r="E16" s="251">
        <v>4525</v>
      </c>
      <c r="F16" s="251">
        <v>4874</v>
      </c>
      <c r="G16" s="341"/>
      <c r="H16" s="342"/>
      <c r="I16" s="18">
        <f t="shared" si="1"/>
        <v>0.29685405661121184</v>
      </c>
      <c r="J16" s="18">
        <f t="shared" si="2"/>
        <v>0.30468805577292452</v>
      </c>
      <c r="K16" s="18">
        <f t="shared" si="3"/>
        <v>0.30295666261644388</v>
      </c>
      <c r="L16" s="18">
        <f t="shared" si="4"/>
        <v>0.29476907041886524</v>
      </c>
      <c r="M16" s="18">
        <f t="shared" si="5"/>
        <v>0.29356140456544</v>
      </c>
      <c r="N16" s="19"/>
      <c r="O16" s="18"/>
      <c r="P16" s="20">
        <f t="shared" si="6"/>
        <v>1</v>
      </c>
      <c r="Q16" s="20">
        <f t="shared" si="0"/>
        <v>1.1375830013280213</v>
      </c>
      <c r="R16" s="20">
        <f t="shared" si="0"/>
        <v>1.1920318725099601</v>
      </c>
      <c r="S16" s="20">
        <f t="shared" si="0"/>
        <v>1.201859229747676</v>
      </c>
      <c r="T16" s="20">
        <f t="shared" si="0"/>
        <v>1.294555112881806</v>
      </c>
    </row>
    <row r="17" spans="1:20" ht="15" x14ac:dyDescent="0.2">
      <c r="A17" s="52" t="s">
        <v>393</v>
      </c>
      <c r="B17" s="254">
        <v>66</v>
      </c>
      <c r="C17" s="254">
        <v>65</v>
      </c>
      <c r="D17" s="254">
        <v>66</v>
      </c>
      <c r="E17" s="254">
        <v>70</v>
      </c>
      <c r="F17" s="254">
        <v>70</v>
      </c>
      <c r="G17" s="343"/>
      <c r="H17" s="344"/>
      <c r="I17" s="18">
        <f t="shared" si="1"/>
        <v>5.2038161318300087E-3</v>
      </c>
      <c r="J17" s="18">
        <f t="shared" si="2"/>
        <v>4.6240307320196345E-3</v>
      </c>
      <c r="K17" s="18">
        <f t="shared" si="3"/>
        <v>4.4552450384771165E-3</v>
      </c>
      <c r="L17" s="18">
        <f t="shared" si="4"/>
        <v>4.5599635202918376E-3</v>
      </c>
      <c r="M17" s="18">
        <f t="shared" si="5"/>
        <v>4.2161055230982352E-3</v>
      </c>
      <c r="N17" s="19"/>
      <c r="O17" s="18"/>
      <c r="P17" s="20">
        <f t="shared" si="6"/>
        <v>1</v>
      </c>
      <c r="Q17" s="20">
        <f t="shared" si="0"/>
        <v>0.98484848484848486</v>
      </c>
      <c r="R17" s="20">
        <f t="shared" si="0"/>
        <v>1</v>
      </c>
      <c r="S17" s="20">
        <f t="shared" si="0"/>
        <v>1.0606060606060606</v>
      </c>
      <c r="T17" s="20">
        <f t="shared" si="0"/>
        <v>1.0606060606060606</v>
      </c>
    </row>
    <row r="18" spans="1:20" ht="15" x14ac:dyDescent="0.2">
      <c r="A18" s="52" t="s">
        <v>394</v>
      </c>
      <c r="B18" s="254">
        <v>177</v>
      </c>
      <c r="C18" s="254">
        <v>170</v>
      </c>
      <c r="D18" s="254">
        <v>171</v>
      </c>
      <c r="E18" s="254">
        <v>188</v>
      </c>
      <c r="F18" s="254">
        <v>209</v>
      </c>
      <c r="G18" s="343"/>
      <c r="H18" s="344"/>
      <c r="I18" s="18">
        <f t="shared" si="1"/>
        <v>1.3955688717180477E-2</v>
      </c>
      <c r="J18" s="18">
        <f t="shared" si="2"/>
        <v>1.2093618837589812E-2</v>
      </c>
      <c r="K18" s="18">
        <f t="shared" si="3"/>
        <v>1.1543134872417983E-2</v>
      </c>
      <c r="L18" s="18">
        <f t="shared" si="4"/>
        <v>1.2246759168783792E-2</v>
      </c>
      <c r="M18" s="18">
        <f t="shared" si="5"/>
        <v>1.2588086490393302E-2</v>
      </c>
      <c r="N18" s="19"/>
      <c r="O18" s="18"/>
      <c r="P18" s="20">
        <f t="shared" si="6"/>
        <v>1</v>
      </c>
      <c r="Q18" s="20">
        <f t="shared" si="0"/>
        <v>0.96045197740112997</v>
      </c>
      <c r="R18" s="20">
        <f t="shared" si="0"/>
        <v>0.96610169491525422</v>
      </c>
      <c r="S18" s="20">
        <f t="shared" si="0"/>
        <v>1.0621468926553672</v>
      </c>
      <c r="T18" s="20">
        <f t="shared" si="0"/>
        <v>1.1807909604519775</v>
      </c>
    </row>
    <row r="19" spans="1:20" ht="15" x14ac:dyDescent="0.2">
      <c r="A19" s="52" t="s">
        <v>395</v>
      </c>
      <c r="B19" s="254" t="s">
        <v>356</v>
      </c>
      <c r="C19" s="254" t="s">
        <v>356</v>
      </c>
      <c r="D19" s="254">
        <v>137</v>
      </c>
      <c r="E19" s="254">
        <v>133</v>
      </c>
      <c r="F19" s="254">
        <v>138</v>
      </c>
      <c r="G19" s="343"/>
      <c r="H19" s="344"/>
      <c r="I19" s="18"/>
      <c r="J19" s="18"/>
      <c r="K19" s="18">
        <f t="shared" si="3"/>
        <v>9.2480086404752269E-3</v>
      </c>
      <c r="L19" s="18">
        <f t="shared" si="4"/>
        <v>8.6639306885544914E-3</v>
      </c>
      <c r="M19" s="18">
        <f t="shared" si="5"/>
        <v>8.3117508883936639E-3</v>
      </c>
      <c r="N19" s="19"/>
      <c r="O19" s="18"/>
      <c r="P19" s="20"/>
      <c r="Q19" s="20"/>
      <c r="R19" s="20"/>
      <c r="S19" s="20"/>
      <c r="T19" s="20"/>
    </row>
    <row r="20" spans="1:20" ht="15" x14ac:dyDescent="0.2">
      <c r="A20" s="52" t="s">
        <v>396</v>
      </c>
      <c r="B20" s="254">
        <v>-60</v>
      </c>
      <c r="C20" s="254">
        <v>-69</v>
      </c>
      <c r="D20" s="254">
        <v>-9</v>
      </c>
      <c r="E20" s="254">
        <v>217</v>
      </c>
      <c r="F20" s="254">
        <v>-4</v>
      </c>
      <c r="G20" s="343"/>
      <c r="H20" s="344"/>
      <c r="I20" s="18">
        <f t="shared" si="1"/>
        <v>-4.730741938027281E-3</v>
      </c>
      <c r="J20" s="18">
        <f t="shared" si="2"/>
        <v>-4.9085864693746888E-3</v>
      </c>
      <c r="K20" s="18">
        <f t="shared" si="3"/>
        <v>-6.0753341433778852E-4</v>
      </c>
      <c r="L20" s="18">
        <f t="shared" si="4"/>
        <v>1.4135886912904697E-2</v>
      </c>
      <c r="M20" s="18">
        <f t="shared" si="5"/>
        <v>-2.4092031560561344E-4</v>
      </c>
      <c r="N20" s="19"/>
      <c r="O20" s="18"/>
      <c r="P20" s="20">
        <f t="shared" si="6"/>
        <v>1</v>
      </c>
      <c r="Q20" s="20">
        <f t="shared" ref="Q20:Q24" si="7">C20/$B20</f>
        <v>1.1499999999999999</v>
      </c>
      <c r="R20" s="20">
        <f t="shared" ref="R20:R24" si="8">D20/$B20</f>
        <v>0.15</v>
      </c>
      <c r="S20" s="20">
        <f t="shared" ref="S20:S24" si="9">E20/$B20</f>
        <v>-3.6166666666666667</v>
      </c>
      <c r="T20" s="20">
        <f t="shared" ref="T20:T24" si="10">F20/$B20</f>
        <v>6.6666666666666666E-2</v>
      </c>
    </row>
    <row r="21" spans="1:20" ht="15" x14ac:dyDescent="0.2">
      <c r="A21" s="5" t="s">
        <v>397</v>
      </c>
      <c r="B21" s="251">
        <v>3948</v>
      </c>
      <c r="C21" s="251">
        <v>4449</v>
      </c>
      <c r="D21" s="251">
        <v>4853</v>
      </c>
      <c r="E21" s="251">
        <v>5133</v>
      </c>
      <c r="F21" s="251">
        <v>5287</v>
      </c>
      <c r="G21" s="345"/>
      <c r="H21" s="346"/>
      <c r="I21" s="18">
        <f t="shared" si="1"/>
        <v>0.31128281952219505</v>
      </c>
      <c r="J21" s="18">
        <f t="shared" si="2"/>
        <v>0.31649711887315929</v>
      </c>
      <c r="K21" s="18">
        <f t="shared" si="3"/>
        <v>0.32759551775347645</v>
      </c>
      <c r="L21" s="18">
        <f t="shared" si="4"/>
        <v>0.33437561070940003</v>
      </c>
      <c r="M21" s="18">
        <f t="shared" si="5"/>
        <v>0.31843642715171955</v>
      </c>
      <c r="N21" s="19"/>
      <c r="O21" s="18"/>
      <c r="P21" s="20">
        <f t="shared" si="6"/>
        <v>1</v>
      </c>
      <c r="Q21" s="20">
        <f t="shared" si="7"/>
        <v>1.1268996960486322</v>
      </c>
      <c r="R21" s="20">
        <f t="shared" si="8"/>
        <v>1.2292299898682877</v>
      </c>
      <c r="S21" s="20">
        <f t="shared" si="9"/>
        <v>1.3001519756838906</v>
      </c>
      <c r="T21" s="20">
        <f t="shared" si="10"/>
        <v>1.3391590678824721</v>
      </c>
    </row>
    <row r="22" spans="1:20" s="135" customFormat="1" ht="15" x14ac:dyDescent="0.2">
      <c r="A22" s="10" t="s">
        <v>398</v>
      </c>
      <c r="B22" s="252">
        <v>3029</v>
      </c>
      <c r="C22" s="252">
        <v>2874</v>
      </c>
      <c r="D22" s="252">
        <v>3227</v>
      </c>
      <c r="E22" s="252">
        <v>3396</v>
      </c>
      <c r="F22" s="252">
        <v>3712</v>
      </c>
      <c r="G22" s="347"/>
      <c r="H22" s="348"/>
      <c r="I22" s="16">
        <f t="shared" si="1"/>
        <v>0.23882362217141054</v>
      </c>
      <c r="J22" s="16">
        <f t="shared" si="2"/>
        <v>0.20445329728960659</v>
      </c>
      <c r="K22" s="16">
        <f t="shared" si="3"/>
        <v>0.2178344808964493</v>
      </c>
      <c r="L22" s="16">
        <f t="shared" si="4"/>
        <v>0.2212233730701583</v>
      </c>
      <c r="M22" s="16">
        <f t="shared" si="5"/>
        <v>0.22357405288200927</v>
      </c>
      <c r="N22" s="17"/>
      <c r="O22" s="16"/>
      <c r="P22" s="26">
        <f t="shared" si="6"/>
        <v>1</v>
      </c>
      <c r="Q22" s="26">
        <f t="shared" si="7"/>
        <v>0.94882799603829648</v>
      </c>
      <c r="R22" s="26">
        <f t="shared" si="8"/>
        <v>1.0653681082865631</v>
      </c>
      <c r="S22" s="26">
        <f t="shared" si="9"/>
        <v>1.1211620997028722</v>
      </c>
      <c r="T22" s="26">
        <f t="shared" si="10"/>
        <v>1.2254869593925388</v>
      </c>
    </row>
    <row r="23" spans="1:20" s="135" customFormat="1" ht="15" x14ac:dyDescent="0.2">
      <c r="A23" s="10" t="s">
        <v>399</v>
      </c>
      <c r="B23" s="252">
        <v>-500</v>
      </c>
      <c r="C23" s="252">
        <v>-693</v>
      </c>
      <c r="D23" s="252">
        <v>-496</v>
      </c>
      <c r="E23" s="252">
        <v>-735</v>
      </c>
      <c r="F23" s="252">
        <v>-754</v>
      </c>
      <c r="G23" s="349"/>
      <c r="H23" s="350"/>
      <c r="I23" s="16">
        <f t="shared" si="1"/>
        <v>-3.9422849483560674E-2</v>
      </c>
      <c r="J23" s="16">
        <f t="shared" si="2"/>
        <v>-4.929928149676318E-2</v>
      </c>
      <c r="K23" s="16">
        <f t="shared" si="3"/>
        <v>-3.3481841501282569E-2</v>
      </c>
      <c r="L23" s="16">
        <f t="shared" si="4"/>
        <v>-4.7879616963064295E-2</v>
      </c>
      <c r="M23" s="16">
        <f t="shared" si="5"/>
        <v>-4.5413479491658137E-2</v>
      </c>
      <c r="N23" s="17"/>
      <c r="O23" s="16"/>
      <c r="P23" s="26">
        <f t="shared" si="6"/>
        <v>1</v>
      </c>
      <c r="Q23" s="26">
        <f t="shared" si="7"/>
        <v>1.3859999999999999</v>
      </c>
      <c r="R23" s="26">
        <f t="shared" si="8"/>
        <v>0.99199999999999999</v>
      </c>
      <c r="S23" s="26">
        <f t="shared" si="9"/>
        <v>1.47</v>
      </c>
      <c r="T23" s="26">
        <f t="shared" si="10"/>
        <v>1.508</v>
      </c>
    </row>
    <row r="24" spans="1:20" ht="15" x14ac:dyDescent="0.2">
      <c r="A24" s="5" t="s">
        <v>400</v>
      </c>
      <c r="B24" s="251">
        <v>-5</v>
      </c>
      <c r="C24" s="251">
        <v>-5</v>
      </c>
      <c r="D24" s="251">
        <v>33</v>
      </c>
      <c r="E24" s="251">
        <v>42</v>
      </c>
      <c r="F24" s="251">
        <v>81</v>
      </c>
      <c r="G24" s="341"/>
      <c r="H24" s="342"/>
      <c r="I24" s="18">
        <f t="shared" si="1"/>
        <v>-3.9422849483560673E-4</v>
      </c>
      <c r="J24" s="18">
        <f t="shared" si="2"/>
        <v>-3.5569467169381801E-4</v>
      </c>
      <c r="K24" s="18">
        <f t="shared" si="3"/>
        <v>2.2276225192385582E-3</v>
      </c>
      <c r="L24" s="18">
        <f t="shared" si="4"/>
        <v>2.7359781121751026E-3</v>
      </c>
      <c r="M24" s="18">
        <f t="shared" si="5"/>
        <v>4.8786363910136724E-3</v>
      </c>
      <c r="N24" s="19"/>
      <c r="O24" s="18"/>
      <c r="P24" s="20">
        <f t="shared" si="6"/>
        <v>1</v>
      </c>
      <c r="Q24" s="20">
        <f t="shared" si="7"/>
        <v>1</v>
      </c>
      <c r="R24" s="20">
        <f t="shared" si="8"/>
        <v>-6.6</v>
      </c>
      <c r="S24" s="20">
        <f t="shared" si="9"/>
        <v>-8.4</v>
      </c>
      <c r="T24" s="20">
        <f t="shared" si="10"/>
        <v>-16.2</v>
      </c>
    </row>
    <row r="25" spans="1:20" ht="15" x14ac:dyDescent="0.2">
      <c r="A25" s="5" t="s">
        <v>401</v>
      </c>
      <c r="B25" s="251" t="s">
        <v>356</v>
      </c>
      <c r="C25" s="251">
        <v>9</v>
      </c>
      <c r="D25" s="251">
        <v>-5</v>
      </c>
      <c r="E25" s="251">
        <v>10</v>
      </c>
      <c r="F25" s="251">
        <v>-36</v>
      </c>
      <c r="G25" s="341"/>
      <c r="H25" s="342"/>
      <c r="I25" s="18"/>
      <c r="J25" s="18">
        <f t="shared" si="2"/>
        <v>6.4025040904887244E-4</v>
      </c>
      <c r="K25" s="18">
        <f t="shared" si="3"/>
        <v>-3.3751856352099368E-4</v>
      </c>
      <c r="L25" s="18">
        <f t="shared" si="4"/>
        <v>6.5142336004169106E-4</v>
      </c>
      <c r="M25" s="18">
        <f t="shared" si="5"/>
        <v>-2.1682828404505209E-3</v>
      </c>
      <c r="N25" s="19"/>
      <c r="O25" s="18"/>
      <c r="P25" s="20"/>
      <c r="Q25" s="20"/>
      <c r="R25" s="20"/>
      <c r="S25" s="20"/>
      <c r="T25" s="20"/>
    </row>
    <row r="26" spans="1:20" ht="15" x14ac:dyDescent="0.2">
      <c r="A26" s="5" t="s">
        <v>402</v>
      </c>
      <c r="B26" s="254">
        <v>4</v>
      </c>
      <c r="C26" s="254">
        <v>-19</v>
      </c>
      <c r="D26" s="254">
        <v>35</v>
      </c>
      <c r="E26" s="254">
        <v>10</v>
      </c>
      <c r="F26" s="254">
        <v>-175</v>
      </c>
      <c r="G26" s="343"/>
      <c r="H26" s="344"/>
      <c r="I26" s="18">
        <f t="shared" si="1"/>
        <v>3.1538279586848538E-4</v>
      </c>
      <c r="J26" s="18">
        <f t="shared" si="2"/>
        <v>-1.3516397524365085E-3</v>
      </c>
      <c r="K26" s="18">
        <f t="shared" si="3"/>
        <v>2.3626299446469555E-3</v>
      </c>
      <c r="L26" s="18">
        <f t="shared" si="4"/>
        <v>6.5142336004169106E-4</v>
      </c>
      <c r="M26" s="18">
        <f t="shared" si="5"/>
        <v>-1.0540263807745589E-2</v>
      </c>
      <c r="N26" s="19"/>
      <c r="O26" s="18"/>
      <c r="P26" s="20">
        <f t="shared" si="6"/>
        <v>1</v>
      </c>
      <c r="Q26" s="20">
        <f t="shared" ref="Q26:Q28" si="11">C26/$B26</f>
        <v>-4.75</v>
      </c>
      <c r="R26" s="20">
        <f t="shared" ref="R26:R28" si="12">D26/$B26</f>
        <v>8.75</v>
      </c>
      <c r="S26" s="20">
        <f t="shared" ref="S26:S28" si="13">E26/$B26</f>
        <v>2.5</v>
      </c>
      <c r="T26" s="20">
        <f t="shared" ref="T26:T28" si="14">F26/$B26</f>
        <v>-43.75</v>
      </c>
    </row>
    <row r="27" spans="1:20" ht="15" x14ac:dyDescent="0.2">
      <c r="A27" s="5" t="s">
        <v>403</v>
      </c>
      <c r="B27" s="251">
        <v>2528</v>
      </c>
      <c r="C27" s="251">
        <v>2166</v>
      </c>
      <c r="D27" s="251">
        <v>2794</v>
      </c>
      <c r="E27" s="251">
        <v>2723</v>
      </c>
      <c r="F27" s="251">
        <v>2828</v>
      </c>
      <c r="G27" s="351"/>
      <c r="H27" s="352"/>
      <c r="I27" s="18">
        <f t="shared" si="1"/>
        <v>0.19932192698888276</v>
      </c>
      <c r="J27" s="18">
        <f t="shared" si="2"/>
        <v>0.15408693177776198</v>
      </c>
      <c r="K27" s="18">
        <f t="shared" si="3"/>
        <v>0.18860537329553126</v>
      </c>
      <c r="L27" s="18">
        <f t="shared" si="4"/>
        <v>0.1773825809393525</v>
      </c>
      <c r="M27" s="18">
        <f t="shared" si="5"/>
        <v>0.17033066313316869</v>
      </c>
      <c r="N27" s="19"/>
      <c r="O27" s="18"/>
      <c r="P27" s="20">
        <f t="shared" si="6"/>
        <v>1</v>
      </c>
      <c r="Q27" s="20">
        <f t="shared" si="11"/>
        <v>0.85680379746835444</v>
      </c>
      <c r="R27" s="20">
        <f t="shared" si="12"/>
        <v>1.1052215189873418</v>
      </c>
      <c r="S27" s="20">
        <f t="shared" si="13"/>
        <v>1.0771360759493671</v>
      </c>
      <c r="T27" s="20">
        <f t="shared" si="14"/>
        <v>1.1186708860759493</v>
      </c>
    </row>
    <row r="28" spans="1:20" ht="15" x14ac:dyDescent="0.2">
      <c r="A28" s="5" t="s">
        <v>404</v>
      </c>
      <c r="B28" s="251">
        <v>-202</v>
      </c>
      <c r="C28" s="251">
        <v>-172</v>
      </c>
      <c r="D28" s="251">
        <v>-35</v>
      </c>
      <c r="E28" s="251">
        <v>-91</v>
      </c>
      <c r="F28" s="251">
        <v>-63</v>
      </c>
      <c r="G28" s="341"/>
      <c r="H28" s="342"/>
      <c r="I28" s="18">
        <f t="shared" si="1"/>
        <v>-1.5926831191358511E-2</v>
      </c>
      <c r="J28" s="18">
        <f t="shared" si="2"/>
        <v>-1.2235896706267339E-2</v>
      </c>
      <c r="K28" s="18">
        <f t="shared" si="3"/>
        <v>-2.3626299446469555E-3</v>
      </c>
      <c r="L28" s="18">
        <f t="shared" si="4"/>
        <v>-5.9279525763793889E-3</v>
      </c>
      <c r="M28" s="18">
        <f t="shared" si="5"/>
        <v>-3.7944949707884117E-3</v>
      </c>
      <c r="N28" s="351"/>
      <c r="O28" s="352"/>
      <c r="P28" s="20">
        <f t="shared" si="6"/>
        <v>1</v>
      </c>
      <c r="Q28" s="20">
        <f t="shared" si="11"/>
        <v>0.85148514851485146</v>
      </c>
      <c r="R28" s="20">
        <f t="shared" si="12"/>
        <v>0.17326732673267325</v>
      </c>
      <c r="S28" s="20">
        <f t="shared" si="13"/>
        <v>0.45049504950495051</v>
      </c>
      <c r="T28" s="20">
        <f t="shared" si="14"/>
        <v>0.31188118811881188</v>
      </c>
    </row>
    <row r="29" spans="1:20" ht="15" x14ac:dyDescent="0.2">
      <c r="A29" s="5" t="s">
        <v>405</v>
      </c>
      <c r="B29" s="251" t="s">
        <v>356</v>
      </c>
      <c r="C29" s="251" t="s">
        <v>356</v>
      </c>
      <c r="D29" s="252" t="s">
        <v>356</v>
      </c>
      <c r="E29" s="252">
        <v>-306</v>
      </c>
      <c r="F29" s="252" t="s">
        <v>356</v>
      </c>
      <c r="G29" s="347"/>
      <c r="H29" s="348"/>
      <c r="I29" s="18"/>
      <c r="J29" s="18"/>
      <c r="K29" s="18"/>
      <c r="L29" s="18">
        <f t="shared" si="4"/>
        <v>-1.9933554817275746E-2</v>
      </c>
      <c r="M29" s="18"/>
      <c r="N29" s="349"/>
      <c r="O29" s="350"/>
      <c r="P29" s="20"/>
      <c r="Q29" s="20"/>
      <c r="R29" s="20"/>
      <c r="S29" s="20"/>
      <c r="T29" s="20"/>
    </row>
    <row r="30" spans="1:20" ht="15" x14ac:dyDescent="0.2">
      <c r="A30" s="5" t="s">
        <v>406</v>
      </c>
      <c r="B30" s="251">
        <v>507</v>
      </c>
      <c r="C30" s="251">
        <v>38</v>
      </c>
      <c r="D30" s="251" t="s">
        <v>356</v>
      </c>
      <c r="E30" s="251" t="s">
        <v>356</v>
      </c>
      <c r="F30" s="251" t="s">
        <v>356</v>
      </c>
      <c r="G30" s="341"/>
      <c r="H30" s="342"/>
      <c r="I30" s="18">
        <f t="shared" si="1"/>
        <v>3.9974769376330523E-2</v>
      </c>
      <c r="J30" s="18">
        <f t="shared" si="2"/>
        <v>2.7032795048730169E-3</v>
      </c>
      <c r="K30" s="18"/>
      <c r="L30" s="18"/>
      <c r="M30" s="18"/>
      <c r="N30" s="351"/>
      <c r="O30" s="352"/>
      <c r="P30" s="20">
        <f t="shared" si="6"/>
        <v>1</v>
      </c>
      <c r="Q30" s="20">
        <f t="shared" ref="Q30:Q31" si="15">C30/$B30</f>
        <v>7.4950690335305714E-2</v>
      </c>
      <c r="R30" s="20"/>
      <c r="S30" s="20"/>
      <c r="T30" s="20"/>
    </row>
    <row r="31" spans="1:20" ht="15" x14ac:dyDescent="0.2">
      <c r="A31" s="5" t="s">
        <v>407</v>
      </c>
      <c r="B31" s="251">
        <v>70</v>
      </c>
      <c r="C31" s="251">
        <v>82</v>
      </c>
      <c r="D31" s="251" t="s">
        <v>356</v>
      </c>
      <c r="E31" s="251" t="s">
        <v>356</v>
      </c>
      <c r="F31" s="251" t="s">
        <v>356</v>
      </c>
      <c r="G31" s="353"/>
      <c r="H31" s="354"/>
      <c r="I31" s="18">
        <f t="shared" si="1"/>
        <v>5.5191989276984939E-3</v>
      </c>
      <c r="J31" s="18">
        <f t="shared" si="2"/>
        <v>5.8333926157786153E-3</v>
      </c>
      <c r="K31" s="18"/>
      <c r="L31" s="18"/>
      <c r="M31" s="18"/>
      <c r="N31" s="351"/>
      <c r="O31" s="352"/>
      <c r="P31" s="20">
        <f t="shared" si="6"/>
        <v>1</v>
      </c>
      <c r="Q31" s="20">
        <f t="shared" si="15"/>
        <v>1.1714285714285715</v>
      </c>
      <c r="R31" s="20"/>
      <c r="S31" s="20"/>
      <c r="T31" s="20"/>
    </row>
    <row r="32" spans="1:20" ht="15" x14ac:dyDescent="0.2">
      <c r="A32" s="52" t="s">
        <v>408</v>
      </c>
      <c r="B32" s="251" t="s">
        <v>356</v>
      </c>
      <c r="C32" s="251">
        <v>-477</v>
      </c>
      <c r="D32" s="251">
        <v>-2</v>
      </c>
      <c r="E32" s="251">
        <v>-412</v>
      </c>
      <c r="F32" s="251">
        <v>-78</v>
      </c>
      <c r="G32" s="355"/>
      <c r="H32" s="356"/>
      <c r="I32" s="18"/>
      <c r="J32" s="18">
        <f t="shared" si="2"/>
        <v>-3.3933271679590239E-2</v>
      </c>
      <c r="K32" s="18">
        <f t="shared" si="3"/>
        <v>-1.3500742540839745E-4</v>
      </c>
      <c r="L32" s="18">
        <f t="shared" si="4"/>
        <v>-2.6838642433717672E-2</v>
      </c>
      <c r="M32" s="18">
        <f t="shared" si="5"/>
        <v>-4.6979461543094625E-3</v>
      </c>
      <c r="N32" s="351"/>
      <c r="O32" s="352"/>
      <c r="P32" s="20"/>
      <c r="Q32" s="20"/>
      <c r="R32" s="20"/>
      <c r="S32" s="20"/>
      <c r="T32" s="20"/>
    </row>
    <row r="33" spans="1:20" ht="15" x14ac:dyDescent="0.2">
      <c r="A33" s="52" t="s">
        <v>409</v>
      </c>
      <c r="B33" s="251" t="s">
        <v>356</v>
      </c>
      <c r="C33" s="251">
        <v>299</v>
      </c>
      <c r="D33" s="251" t="s">
        <v>356</v>
      </c>
      <c r="E33" s="251" t="s">
        <v>356</v>
      </c>
      <c r="F33" s="251" t="s">
        <v>356</v>
      </c>
      <c r="G33" s="355"/>
      <c r="H33" s="356"/>
      <c r="I33" s="18"/>
      <c r="J33" s="18">
        <f t="shared" si="2"/>
        <v>2.1270541367290317E-2</v>
      </c>
      <c r="K33" s="18"/>
      <c r="L33" s="18"/>
      <c r="M33" s="18"/>
      <c r="N33" s="351"/>
      <c r="O33" s="352"/>
      <c r="P33" s="20"/>
      <c r="Q33" s="20"/>
      <c r="R33" s="20"/>
      <c r="S33" s="20"/>
      <c r="T33" s="20"/>
    </row>
    <row r="34" spans="1:20" ht="15" x14ac:dyDescent="0.2">
      <c r="A34" s="1" t="s">
        <v>410</v>
      </c>
      <c r="B34" s="251">
        <v>-105</v>
      </c>
      <c r="C34" s="251">
        <v>-217</v>
      </c>
      <c r="D34" s="251" t="s">
        <v>356</v>
      </c>
      <c r="E34" s="251" t="s">
        <v>356</v>
      </c>
      <c r="F34" s="251" t="s">
        <v>356</v>
      </c>
      <c r="G34" s="355"/>
      <c r="H34" s="356"/>
      <c r="I34" s="18">
        <f t="shared" si="1"/>
        <v>-8.2787983915477408E-3</v>
      </c>
      <c r="J34" s="18">
        <f t="shared" si="2"/>
        <v>-1.5437148751511703E-2</v>
      </c>
      <c r="K34" s="18"/>
      <c r="L34" s="18"/>
      <c r="M34" s="18"/>
      <c r="N34" s="355"/>
      <c r="O34" s="356"/>
      <c r="P34" s="20">
        <f t="shared" si="6"/>
        <v>1</v>
      </c>
      <c r="Q34" s="20">
        <f t="shared" ref="Q34:Q42" si="16">C34/$B34</f>
        <v>2.0666666666666669</v>
      </c>
      <c r="R34" s="20"/>
      <c r="S34" s="20"/>
      <c r="T34" s="20"/>
    </row>
    <row r="35" spans="1:20" ht="15" x14ac:dyDescent="0.2">
      <c r="A35" s="1" t="s">
        <v>411</v>
      </c>
      <c r="B35" s="255">
        <v>2798</v>
      </c>
      <c r="C35" s="255">
        <v>1719</v>
      </c>
      <c r="D35" s="255">
        <v>2757</v>
      </c>
      <c r="E35" s="255">
        <v>1914</v>
      </c>
      <c r="F35" s="255">
        <v>2687</v>
      </c>
      <c r="G35" s="357"/>
      <c r="H35" s="358"/>
      <c r="I35" s="18">
        <f t="shared" si="1"/>
        <v>0.22061026571000553</v>
      </c>
      <c r="J35" s="18">
        <f t="shared" si="2"/>
        <v>0.12228782812833464</v>
      </c>
      <c r="K35" s="18">
        <f t="shared" si="3"/>
        <v>0.18610773592547591</v>
      </c>
      <c r="L35" s="18">
        <f t="shared" si="4"/>
        <v>0.12468243111197967</v>
      </c>
      <c r="M35" s="18">
        <f t="shared" si="5"/>
        <v>0.16183822200807083</v>
      </c>
      <c r="N35" s="362"/>
      <c r="O35" s="363"/>
      <c r="P35" s="20">
        <f t="shared" si="6"/>
        <v>1</v>
      </c>
      <c r="Q35" s="20">
        <f t="shared" si="16"/>
        <v>0.61436740528949252</v>
      </c>
      <c r="R35" s="20">
        <f t="shared" ref="R35:R42" si="17">D35/$B35</f>
        <v>0.98534667619728378</v>
      </c>
      <c r="S35" s="20">
        <f t="shared" ref="S35:S42" si="18">E35/$B35</f>
        <v>0.684060042887777</v>
      </c>
      <c r="T35" s="20">
        <f t="shared" ref="T35:T42" si="19">F35/$B35</f>
        <v>0.96032880629020734</v>
      </c>
    </row>
    <row r="36" spans="1:20" s="135" customFormat="1" ht="15" x14ac:dyDescent="0.2">
      <c r="A36" s="135" t="s">
        <v>412</v>
      </c>
      <c r="B36" s="324">
        <v>653</v>
      </c>
      <c r="C36" s="324">
        <v>284</v>
      </c>
      <c r="D36" s="324">
        <v>576</v>
      </c>
      <c r="E36" s="324">
        <v>473</v>
      </c>
      <c r="F36" s="324">
        <v>608</v>
      </c>
      <c r="G36" s="359"/>
      <c r="H36" s="360"/>
      <c r="I36" s="16">
        <f t="shared" si="1"/>
        <v>5.1486241425530238E-2</v>
      </c>
      <c r="J36" s="16">
        <f t="shared" si="2"/>
        <v>2.0203457352208864E-2</v>
      </c>
      <c r="K36" s="16">
        <f t="shared" si="3"/>
        <v>3.8882138517618466E-2</v>
      </c>
      <c r="L36" s="16">
        <f t="shared" si="4"/>
        <v>3.081232492997199E-2</v>
      </c>
      <c r="M36" s="16">
        <f t="shared" si="5"/>
        <v>3.661988797205324E-2</v>
      </c>
      <c r="N36" s="359"/>
      <c r="O36" s="360"/>
      <c r="P36" s="26">
        <f t="shared" si="6"/>
        <v>1</v>
      </c>
      <c r="Q36" s="26">
        <f t="shared" si="16"/>
        <v>0.43491577335375192</v>
      </c>
      <c r="R36" s="26">
        <f t="shared" si="17"/>
        <v>0.8820826952526799</v>
      </c>
      <c r="S36" s="26">
        <f t="shared" si="18"/>
        <v>0.72434915773353747</v>
      </c>
      <c r="T36" s="26">
        <f t="shared" si="19"/>
        <v>0.93108728943338437</v>
      </c>
    </row>
    <row r="37" spans="1:20" ht="15" x14ac:dyDescent="0.2">
      <c r="A37" t="s">
        <v>413</v>
      </c>
      <c r="B37" s="256">
        <v>2145</v>
      </c>
      <c r="C37" s="256">
        <v>1435</v>
      </c>
      <c r="D37" s="256">
        <v>2181</v>
      </c>
      <c r="E37" s="256">
        <v>1441</v>
      </c>
      <c r="F37" s="256">
        <v>2079</v>
      </c>
      <c r="G37" s="361"/>
      <c r="H37" s="284"/>
      <c r="I37" s="18">
        <f t="shared" si="1"/>
        <v>0.16912402428447529</v>
      </c>
      <c r="J37" s="18">
        <f t="shared" si="2"/>
        <v>0.10208437077612577</v>
      </c>
      <c r="K37" s="18">
        <f t="shared" si="3"/>
        <v>0.14722559740785743</v>
      </c>
      <c r="L37" s="18">
        <f t="shared" si="4"/>
        <v>9.3870106182007682E-2</v>
      </c>
      <c r="M37" s="18">
        <f t="shared" si="5"/>
        <v>0.12521833403601759</v>
      </c>
      <c r="N37" s="361"/>
      <c r="O37" s="284"/>
      <c r="P37" s="20">
        <f t="shared" si="6"/>
        <v>1</v>
      </c>
      <c r="Q37" s="20">
        <f t="shared" si="16"/>
        <v>0.66899766899766899</v>
      </c>
      <c r="R37" s="20">
        <f t="shared" si="17"/>
        <v>1.0167832167832167</v>
      </c>
      <c r="S37" s="20">
        <f t="shared" si="18"/>
        <v>0.67179487179487174</v>
      </c>
      <c r="T37" s="20">
        <f t="shared" si="19"/>
        <v>0.96923076923076923</v>
      </c>
    </row>
    <row r="38" spans="1:20" ht="15" x14ac:dyDescent="0.2">
      <c r="A38" t="s">
        <v>414</v>
      </c>
      <c r="B38" s="256">
        <v>2145</v>
      </c>
      <c r="C38" s="256">
        <v>1435</v>
      </c>
      <c r="D38" s="256">
        <v>2181</v>
      </c>
      <c r="E38" s="256">
        <v>1441</v>
      </c>
      <c r="F38" s="256">
        <v>2079</v>
      </c>
      <c r="G38" s="361"/>
      <c r="H38" s="284"/>
      <c r="I38" s="18">
        <f t="shared" si="1"/>
        <v>0.16912402428447529</v>
      </c>
      <c r="J38" s="18">
        <f t="shared" si="2"/>
        <v>0.10208437077612577</v>
      </c>
      <c r="K38" s="18">
        <f t="shared" si="3"/>
        <v>0.14722559740785743</v>
      </c>
      <c r="L38" s="18">
        <f t="shared" si="4"/>
        <v>9.3870106182007682E-2</v>
      </c>
      <c r="M38" s="18">
        <f t="shared" si="5"/>
        <v>0.12521833403601759</v>
      </c>
      <c r="N38" s="361"/>
      <c r="O38" s="284"/>
      <c r="P38" s="20">
        <f t="shared" si="6"/>
        <v>1</v>
      </c>
      <c r="Q38" s="20">
        <f t="shared" si="16"/>
        <v>0.66899766899766899</v>
      </c>
      <c r="R38" s="20">
        <f t="shared" si="17"/>
        <v>1.0167832167832167</v>
      </c>
      <c r="S38" s="20">
        <f t="shared" si="18"/>
        <v>0.67179487179487174</v>
      </c>
      <c r="T38" s="20">
        <f t="shared" si="19"/>
        <v>0.96923076923076923</v>
      </c>
    </row>
    <row r="39" spans="1:20" ht="15" x14ac:dyDescent="0.2">
      <c r="A39" t="s">
        <v>415</v>
      </c>
      <c r="B39" s="256">
        <v>1</v>
      </c>
      <c r="C39" s="256">
        <v>1</v>
      </c>
      <c r="D39" s="256" t="s">
        <v>356</v>
      </c>
      <c r="E39" s="256" t="s">
        <v>356</v>
      </c>
      <c r="F39" s="256" t="s">
        <v>356</v>
      </c>
      <c r="G39" s="361"/>
      <c r="H39" s="284"/>
      <c r="I39" s="18">
        <f t="shared" si="1"/>
        <v>7.8845698967121346E-5</v>
      </c>
      <c r="J39" s="18">
        <f t="shared" si="2"/>
        <v>7.1138934338763608E-5</v>
      </c>
      <c r="K39" s="18"/>
      <c r="L39" s="18"/>
      <c r="M39" s="18"/>
      <c r="N39" s="361"/>
      <c r="O39" s="284"/>
      <c r="P39" s="20">
        <f t="shared" si="6"/>
        <v>1</v>
      </c>
      <c r="Q39" s="20">
        <f t="shared" si="16"/>
        <v>1</v>
      </c>
      <c r="R39" s="20"/>
      <c r="S39" s="20"/>
      <c r="T39" s="20"/>
    </row>
    <row r="40" spans="1:20" s="135" customFormat="1" ht="15" x14ac:dyDescent="0.2">
      <c r="A40" s="135" t="s">
        <v>416</v>
      </c>
      <c r="B40" s="324">
        <v>2146</v>
      </c>
      <c r="C40" s="324">
        <v>1436</v>
      </c>
      <c r="D40" s="324">
        <v>2181</v>
      </c>
      <c r="E40" s="324">
        <v>1441</v>
      </c>
      <c r="F40" s="324">
        <v>2079</v>
      </c>
      <c r="G40" s="359"/>
      <c r="H40" s="360"/>
      <c r="I40" s="16">
        <f t="shared" si="1"/>
        <v>0.16920286998344242</v>
      </c>
      <c r="J40" s="16">
        <f t="shared" si="2"/>
        <v>0.10215550971046454</v>
      </c>
      <c r="K40" s="16">
        <f t="shared" si="3"/>
        <v>0.14722559740785743</v>
      </c>
      <c r="L40" s="16">
        <f t="shared" si="4"/>
        <v>9.3870106182007682E-2</v>
      </c>
      <c r="M40" s="16">
        <f t="shared" si="5"/>
        <v>0.12521833403601759</v>
      </c>
      <c r="N40" s="359"/>
      <c r="O40" s="360"/>
      <c r="P40" s="26">
        <f t="shared" si="6"/>
        <v>1</v>
      </c>
      <c r="Q40" s="26">
        <f t="shared" si="16"/>
        <v>0.66915191053122092</v>
      </c>
      <c r="R40" s="26">
        <f t="shared" si="17"/>
        <v>1.016309412861137</v>
      </c>
      <c r="S40" s="26">
        <f t="shared" si="18"/>
        <v>0.6714818266542405</v>
      </c>
      <c r="T40" s="26">
        <f t="shared" si="19"/>
        <v>0.96877912395153776</v>
      </c>
    </row>
    <row r="41" spans="1:20" ht="15" x14ac:dyDescent="0.2">
      <c r="A41" t="s">
        <v>417</v>
      </c>
      <c r="B41" s="256">
        <v>2146</v>
      </c>
      <c r="C41" s="256">
        <v>1436</v>
      </c>
      <c r="D41" s="256">
        <v>2181</v>
      </c>
      <c r="E41" s="256">
        <v>1441</v>
      </c>
      <c r="F41" s="256">
        <v>2079</v>
      </c>
      <c r="G41" s="361"/>
      <c r="H41" s="284"/>
      <c r="I41" s="18">
        <f t="shared" si="1"/>
        <v>0.16920286998344242</v>
      </c>
      <c r="J41" s="18">
        <f t="shared" si="2"/>
        <v>0.10215550971046454</v>
      </c>
      <c r="K41" s="18">
        <f t="shared" si="3"/>
        <v>0.14722559740785743</v>
      </c>
      <c r="L41" s="18">
        <f t="shared" si="4"/>
        <v>9.3870106182007682E-2</v>
      </c>
      <c r="M41" s="18">
        <f t="shared" si="5"/>
        <v>0.12521833403601759</v>
      </c>
      <c r="N41" s="361"/>
      <c r="O41" s="284"/>
      <c r="P41" s="20">
        <f t="shared" si="6"/>
        <v>1</v>
      </c>
      <c r="Q41" s="20">
        <f t="shared" si="16"/>
        <v>0.66915191053122092</v>
      </c>
      <c r="R41" s="20">
        <f t="shared" si="17"/>
        <v>1.016309412861137</v>
      </c>
      <c r="S41" s="20">
        <f t="shared" si="18"/>
        <v>0.6714818266542405</v>
      </c>
      <c r="T41" s="20">
        <f t="shared" si="19"/>
        <v>0.96877912395153776</v>
      </c>
    </row>
    <row r="42" spans="1:20" ht="15" x14ac:dyDescent="0.2">
      <c r="A42" t="s">
        <v>418</v>
      </c>
      <c r="B42" s="256">
        <v>2146</v>
      </c>
      <c r="C42" s="256">
        <v>1436</v>
      </c>
      <c r="D42" s="256">
        <v>2181</v>
      </c>
      <c r="E42" s="256">
        <v>1441</v>
      </c>
      <c r="F42" s="256">
        <v>2079</v>
      </c>
      <c r="G42" s="361"/>
      <c r="H42" s="284"/>
      <c r="I42" s="18">
        <f t="shared" si="1"/>
        <v>0.16920286998344242</v>
      </c>
      <c r="J42" s="18">
        <f t="shared" si="2"/>
        <v>0.10215550971046454</v>
      </c>
      <c r="K42" s="18">
        <f t="shared" si="3"/>
        <v>0.14722559740785743</v>
      </c>
      <c r="L42" s="18">
        <f t="shared" si="4"/>
        <v>9.3870106182007682E-2</v>
      </c>
      <c r="M42" s="18">
        <f t="shared" si="5"/>
        <v>0.12521833403601759</v>
      </c>
      <c r="N42" s="361"/>
      <c r="O42" s="284"/>
      <c r="P42" s="20">
        <f t="shared" si="6"/>
        <v>1</v>
      </c>
      <c r="Q42" s="20">
        <f t="shared" si="16"/>
        <v>0.66915191053122092</v>
      </c>
      <c r="R42" s="20">
        <f t="shared" si="17"/>
        <v>1.016309412861137</v>
      </c>
      <c r="S42" s="20">
        <f t="shared" si="18"/>
        <v>0.6714818266542405</v>
      </c>
      <c r="T42" s="20">
        <f t="shared" si="19"/>
        <v>0.96877912395153776</v>
      </c>
    </row>
    <row r="43" spans="1:20" s="135" customFormat="1" ht="15" x14ac:dyDescent="0.2">
      <c r="A43" s="135" t="s">
        <v>419</v>
      </c>
      <c r="B43" s="324"/>
      <c r="C43" s="324"/>
      <c r="D43" s="324"/>
      <c r="E43" s="324"/>
      <c r="F43" s="324"/>
      <c r="G43" s="359"/>
      <c r="H43" s="360"/>
      <c r="I43" s="16"/>
      <c r="J43" s="16"/>
      <c r="K43" s="16"/>
      <c r="L43" s="16"/>
      <c r="M43" s="16"/>
      <c r="N43" s="359"/>
      <c r="O43" s="360"/>
      <c r="P43" s="26"/>
      <c r="Q43" s="26"/>
      <c r="R43" s="26"/>
      <c r="S43" s="26"/>
      <c r="T43" s="26"/>
    </row>
    <row r="44" spans="1:20" ht="15" x14ac:dyDescent="0.2">
      <c r="A44" t="s">
        <v>420</v>
      </c>
      <c r="B44" s="256">
        <v>1.52</v>
      </c>
      <c r="C44" s="256">
        <v>1.01</v>
      </c>
      <c r="D44" s="256">
        <v>1.56</v>
      </c>
      <c r="E44" s="256">
        <v>1.06</v>
      </c>
      <c r="F44" s="256">
        <v>1.53</v>
      </c>
      <c r="G44" s="361"/>
      <c r="H44" s="284"/>
      <c r="I44" s="18"/>
      <c r="J44" s="18"/>
      <c r="K44" s="18"/>
      <c r="L44" s="18"/>
      <c r="M44" s="18"/>
      <c r="N44" s="361"/>
      <c r="O44" s="284"/>
      <c r="P44" s="20">
        <f t="shared" si="6"/>
        <v>1</v>
      </c>
      <c r="Q44" s="20">
        <f t="shared" ref="Q44:Q46" si="20">C44/$B44</f>
        <v>0.66447368421052633</v>
      </c>
      <c r="R44" s="20">
        <f t="shared" ref="R44:R46" si="21">D44/$B44</f>
        <v>1.0263157894736843</v>
      </c>
      <c r="S44" s="20">
        <f t="shared" ref="S44:S46" si="22">E44/$B44</f>
        <v>0.69736842105263164</v>
      </c>
      <c r="T44" s="20">
        <f t="shared" ref="T44:T46" si="23">F44/$B44</f>
        <v>1.006578947368421</v>
      </c>
    </row>
    <row r="45" spans="1:20" ht="15" x14ac:dyDescent="0.2">
      <c r="A45" t="s">
        <v>421</v>
      </c>
      <c r="B45" s="256">
        <v>1415.7</v>
      </c>
      <c r="C45" s="256">
        <v>1416.8</v>
      </c>
      <c r="D45" s="256">
        <v>1399.3</v>
      </c>
      <c r="E45" s="256">
        <v>1362.2</v>
      </c>
      <c r="F45" s="256">
        <v>1358.1</v>
      </c>
      <c r="G45" s="361"/>
      <c r="H45" s="284"/>
      <c r="I45" s="18">
        <f t="shared" ref="I45" si="24">B45/$B$12</f>
        <v>0.11162185602775369</v>
      </c>
      <c r="J45" s="18">
        <f t="shared" ref="J45" si="25">C45/$C$12</f>
        <v>0.10078964217116028</v>
      </c>
      <c r="K45" s="18">
        <f t="shared" ref="K45" si="26">D45/$D$12</f>
        <v>9.4457945186985276E-2</v>
      </c>
      <c r="L45" s="18">
        <f t="shared" ref="L45" si="27">E45/$E$12</f>
        <v>8.873689010487916E-2</v>
      </c>
      <c r="M45" s="18">
        <f t="shared" ref="M45" si="28">F45/$F$12</f>
        <v>8.1798470155995895E-2</v>
      </c>
      <c r="N45" s="361"/>
      <c r="O45" s="284"/>
      <c r="P45" s="20">
        <f t="shared" si="6"/>
        <v>1</v>
      </c>
      <c r="Q45" s="20">
        <f t="shared" si="20"/>
        <v>1.0007770007770007</v>
      </c>
      <c r="R45" s="20">
        <f t="shared" si="21"/>
        <v>0.98841562477926104</v>
      </c>
      <c r="S45" s="20">
        <f t="shared" si="22"/>
        <v>0.96220950766405311</v>
      </c>
      <c r="T45" s="20">
        <f t="shared" si="23"/>
        <v>0.95931341385886826</v>
      </c>
    </row>
    <row r="46" spans="1:20" ht="15" x14ac:dyDescent="0.2">
      <c r="A46" t="s">
        <v>422</v>
      </c>
      <c r="B46" s="256">
        <v>1.5</v>
      </c>
      <c r="C46" s="256">
        <v>1.01</v>
      </c>
      <c r="D46" s="256">
        <v>1.55</v>
      </c>
      <c r="E46" s="256">
        <v>1.05</v>
      </c>
      <c r="F46" s="256">
        <v>1.53</v>
      </c>
      <c r="G46" s="361"/>
      <c r="H46" s="284"/>
      <c r="I46" s="18"/>
      <c r="J46" s="18"/>
      <c r="K46" s="18"/>
      <c r="L46" s="18"/>
      <c r="M46" s="18"/>
      <c r="N46" s="361"/>
      <c r="O46" s="284"/>
      <c r="P46" s="20">
        <f t="shared" si="6"/>
        <v>1</v>
      </c>
      <c r="Q46" s="20">
        <f t="shared" si="20"/>
        <v>0.67333333333333334</v>
      </c>
      <c r="R46" s="20">
        <f t="shared" si="21"/>
        <v>1.0333333333333334</v>
      </c>
      <c r="S46" s="20">
        <f t="shared" si="22"/>
        <v>0.70000000000000007</v>
      </c>
      <c r="T46" s="20">
        <f t="shared" si="23"/>
        <v>1.02</v>
      </c>
    </row>
    <row r="47" spans="1:20" ht="16" customHeight="1" x14ac:dyDescent="0.2">
      <c r="A47" s="5"/>
      <c r="B47" s="256"/>
      <c r="C47" s="256"/>
      <c r="D47" s="256"/>
      <c r="E47" s="256"/>
      <c r="F47" s="256"/>
    </row>
    <row r="48" spans="1:20" ht="16" customHeight="1" x14ac:dyDescent="0.25"/>
    <row r="49" spans="1:21" ht="18" x14ac:dyDescent="0.2">
      <c r="A49" s="617" t="s">
        <v>0</v>
      </c>
      <c r="B49" s="617"/>
      <c r="C49" s="617"/>
      <c r="D49" s="617"/>
      <c r="E49" s="617"/>
      <c r="F49" s="617"/>
      <c r="G49" s="617"/>
      <c r="H49" s="617"/>
      <c r="I49" s="617"/>
      <c r="J49" s="617"/>
      <c r="K49" s="617"/>
      <c r="L49" s="617"/>
      <c r="M49" s="617"/>
      <c r="N49" s="617"/>
      <c r="O49" s="617"/>
      <c r="P49" s="617"/>
      <c r="Q49" s="617"/>
      <c r="R49" s="617"/>
      <c r="S49" s="617"/>
      <c r="T49" s="617"/>
      <c r="U49" s="617"/>
    </row>
    <row r="50" spans="1:21" ht="14.25" customHeight="1" x14ac:dyDescent="0.2">
      <c r="A50" s="623" t="s">
        <v>423</v>
      </c>
      <c r="B50" s="624"/>
      <c r="C50" s="624"/>
      <c r="D50" s="624"/>
      <c r="E50" s="624"/>
      <c r="F50" s="624"/>
      <c r="G50" s="624"/>
      <c r="H50" s="624"/>
      <c r="I50" s="624"/>
      <c r="J50" s="624"/>
      <c r="K50" s="624"/>
      <c r="L50" s="624"/>
      <c r="M50" s="624"/>
      <c r="N50" s="624"/>
      <c r="O50" s="624"/>
      <c r="P50" s="624"/>
      <c r="Q50" s="624"/>
      <c r="R50" s="624"/>
      <c r="S50" s="624"/>
      <c r="T50" s="624"/>
      <c r="U50" s="624"/>
    </row>
    <row r="51" spans="1:21" ht="16" x14ac:dyDescent="0.2">
      <c r="A51" s="625" t="s">
        <v>33</v>
      </c>
      <c r="B51" s="626"/>
      <c r="C51" s="626"/>
      <c r="D51" s="626"/>
      <c r="E51" s="626"/>
      <c r="F51" s="626"/>
      <c r="G51" s="626"/>
      <c r="H51" s="626"/>
      <c r="I51" s="626"/>
      <c r="J51" s="626"/>
      <c r="K51" s="626"/>
      <c r="L51" s="626"/>
      <c r="M51" s="626"/>
      <c r="N51" s="626"/>
      <c r="O51" s="626"/>
      <c r="P51" s="626"/>
      <c r="Q51" s="626"/>
      <c r="R51" s="626"/>
      <c r="S51" s="626"/>
      <c r="T51" s="626"/>
      <c r="U51" s="626"/>
    </row>
    <row r="52" spans="1:21" s="109" customFormat="1" ht="16" x14ac:dyDescent="0.2">
      <c r="A52" s="106" t="s">
        <v>34</v>
      </c>
      <c r="T52" s="616" t="s">
        <v>35</v>
      </c>
      <c r="U52" s="616"/>
    </row>
    <row r="53" spans="1:21" s="109" customFormat="1" ht="16" x14ac:dyDescent="0.2">
      <c r="A53" s="106" t="str">
        <f>A5</f>
        <v>FIN320 Section B</v>
      </c>
    </row>
    <row r="54" spans="1:21" ht="6" customHeight="1" x14ac:dyDescent="0.2">
      <c r="A54" s="1"/>
      <c r="T54" s="613"/>
      <c r="U54" s="613"/>
    </row>
    <row r="55" spans="1:21" ht="15" x14ac:dyDescent="0.2">
      <c r="A55" s="48"/>
      <c r="B55" s="55"/>
      <c r="C55" s="55"/>
      <c r="D55" s="55"/>
      <c r="E55" s="55"/>
      <c r="F55" s="55"/>
      <c r="G55" s="55"/>
      <c r="H55" s="55"/>
      <c r="I55" s="614" t="s">
        <v>7</v>
      </c>
      <c r="J55" s="614"/>
      <c r="K55" s="614"/>
      <c r="L55" s="614"/>
      <c r="M55" s="614"/>
      <c r="N55" s="71"/>
      <c r="O55" s="71"/>
      <c r="P55" s="614" t="s">
        <v>8</v>
      </c>
      <c r="Q55" s="614"/>
      <c r="R55" s="614"/>
      <c r="S55" s="614"/>
      <c r="T55" s="614"/>
      <c r="U55" s="71"/>
    </row>
    <row r="56" spans="1:21" ht="15" x14ac:dyDescent="0.2">
      <c r="A56" s="49"/>
      <c r="B56" s="55"/>
      <c r="C56" s="55"/>
      <c r="D56" s="55"/>
      <c r="E56" s="55"/>
      <c r="F56" s="72"/>
      <c r="G56" s="272"/>
      <c r="H56" s="273"/>
      <c r="I56" s="615" t="s">
        <v>36</v>
      </c>
      <c r="J56" s="615"/>
      <c r="K56" s="615"/>
      <c r="L56" s="615"/>
      <c r="M56" s="615"/>
      <c r="N56" s="282"/>
      <c r="O56" s="283"/>
      <c r="P56" s="615" t="s">
        <v>37</v>
      </c>
      <c r="Q56" s="615"/>
      <c r="R56" s="615"/>
      <c r="S56" s="615"/>
      <c r="T56" s="615"/>
    </row>
    <row r="57" spans="1:21" ht="15" x14ac:dyDescent="0.2">
      <c r="A57" s="131" t="s">
        <v>38</v>
      </c>
      <c r="B57" s="8">
        <v>2021</v>
      </c>
      <c r="C57" s="8">
        <v>2022</v>
      </c>
      <c r="D57" s="8">
        <v>2023</v>
      </c>
      <c r="E57" s="8">
        <v>2024</v>
      </c>
      <c r="F57" s="134">
        <v>2025</v>
      </c>
      <c r="G57" s="274"/>
      <c r="H57" s="275"/>
      <c r="I57" s="8">
        <v>2021</v>
      </c>
      <c r="J57" s="8">
        <v>2022</v>
      </c>
      <c r="K57" s="8">
        <v>2023</v>
      </c>
      <c r="L57" s="8">
        <v>2024</v>
      </c>
      <c r="M57" s="134">
        <v>2025</v>
      </c>
      <c r="N57" s="274"/>
      <c r="O57" s="284"/>
      <c r="P57" s="8">
        <v>2021</v>
      </c>
      <c r="Q57" s="8">
        <v>2022</v>
      </c>
      <c r="R57" s="8">
        <v>2023</v>
      </c>
      <c r="S57" s="8">
        <v>2024</v>
      </c>
      <c r="T57" s="134">
        <v>2025</v>
      </c>
    </row>
    <row r="58" spans="1:21" s="135" customFormat="1" ht="15" x14ac:dyDescent="0.2">
      <c r="A58" s="50" t="s">
        <v>40</v>
      </c>
      <c r="B58" s="327"/>
      <c r="C58" s="327"/>
      <c r="D58" s="327"/>
      <c r="E58" s="327"/>
      <c r="F58" s="327"/>
      <c r="G58" s="328"/>
      <c r="H58" s="329"/>
      <c r="I58" s="330"/>
      <c r="J58" s="331"/>
      <c r="K58" s="331"/>
      <c r="L58" s="331"/>
      <c r="M58" s="331"/>
      <c r="N58" s="332"/>
      <c r="O58" s="333"/>
      <c r="P58" s="334"/>
      <c r="Q58" s="327"/>
      <c r="R58" s="327"/>
      <c r="S58" s="327"/>
      <c r="T58" s="327"/>
    </row>
    <row r="59" spans="1:21" s="135" customFormat="1" ht="15" x14ac:dyDescent="0.2">
      <c r="A59" s="306" t="s">
        <v>224</v>
      </c>
      <c r="B59" s="307"/>
      <c r="C59" s="307"/>
      <c r="D59" s="307"/>
      <c r="E59" s="307"/>
      <c r="F59" s="307"/>
      <c r="G59" s="308"/>
      <c r="H59" s="309"/>
      <c r="I59" s="310"/>
      <c r="J59" s="310"/>
      <c r="K59" s="310"/>
      <c r="L59" s="310"/>
      <c r="M59" s="310"/>
      <c r="N59" s="311"/>
      <c r="O59" s="312"/>
      <c r="P59" s="307"/>
      <c r="Q59" s="307"/>
      <c r="R59" s="307"/>
      <c r="S59" s="307"/>
      <c r="T59" s="307"/>
    </row>
    <row r="60" spans="1:21" ht="15" x14ac:dyDescent="0.2">
      <c r="A60" s="51" t="s">
        <v>424</v>
      </c>
      <c r="B60" s="262">
        <v>567</v>
      </c>
      <c r="C60" s="262">
        <v>535</v>
      </c>
      <c r="D60" s="263">
        <v>267</v>
      </c>
      <c r="E60" s="263">
        <v>510</v>
      </c>
      <c r="F60" s="263">
        <v>1026</v>
      </c>
      <c r="G60" s="278"/>
      <c r="H60" s="279"/>
      <c r="I60" s="261">
        <f>B60/$B$60</f>
        <v>1</v>
      </c>
      <c r="J60" s="261">
        <f>C60/$C$60</f>
        <v>1</v>
      </c>
      <c r="K60" s="261">
        <f>D60/$D$60</f>
        <v>1</v>
      </c>
      <c r="L60" s="261">
        <f>E60/$E$60</f>
        <v>1</v>
      </c>
      <c r="M60" s="261">
        <f>F60/$F$60</f>
        <v>1</v>
      </c>
      <c r="N60" s="287"/>
      <c r="O60" s="288"/>
      <c r="P60" s="264">
        <f>B60/$B60</f>
        <v>1</v>
      </c>
      <c r="Q60" s="264">
        <f>C60/$B60</f>
        <v>0.9435626102292769</v>
      </c>
      <c r="R60" s="264">
        <f>D60/$B60</f>
        <v>0.47089947089947087</v>
      </c>
      <c r="S60" s="264">
        <f>E60/$B60</f>
        <v>0.89947089947089942</v>
      </c>
      <c r="T60" s="264">
        <f>F60/$B60</f>
        <v>1.8095238095238095</v>
      </c>
    </row>
    <row r="61" spans="1:21" ht="15" x14ac:dyDescent="0.2">
      <c r="A61" s="51" t="s">
        <v>425</v>
      </c>
      <c r="B61" s="265">
        <v>2</v>
      </c>
      <c r="C61" s="265" t="s">
        <v>356</v>
      </c>
      <c r="D61" s="266" t="s">
        <v>356</v>
      </c>
      <c r="E61" s="266" t="s">
        <v>356</v>
      </c>
      <c r="F61" s="266" t="s">
        <v>356</v>
      </c>
      <c r="G61" s="280"/>
      <c r="H61" s="281"/>
      <c r="I61" s="261">
        <f t="shared" ref="I61:I99" si="29">B61/$B$60</f>
        <v>3.5273368606701938E-3</v>
      </c>
      <c r="J61" s="261"/>
      <c r="K61" s="261"/>
      <c r="L61" s="261"/>
      <c r="M61" s="261"/>
      <c r="N61" s="287"/>
      <c r="O61" s="288"/>
      <c r="P61" s="264">
        <f t="shared" ref="P61:P79" si="30">B61/$B61</f>
        <v>1</v>
      </c>
      <c r="Q61" s="264"/>
      <c r="R61" s="264"/>
      <c r="S61" s="264"/>
      <c r="T61" s="264"/>
    </row>
    <row r="62" spans="1:21" ht="15" x14ac:dyDescent="0.2">
      <c r="A62" s="51" t="s">
        <v>426</v>
      </c>
      <c r="B62" s="267">
        <v>569</v>
      </c>
      <c r="C62" s="260">
        <v>535</v>
      </c>
      <c r="D62" s="260">
        <v>267</v>
      </c>
      <c r="E62" s="260">
        <v>510</v>
      </c>
      <c r="F62" s="260">
        <v>1026</v>
      </c>
      <c r="G62" s="276"/>
      <c r="H62" s="277"/>
      <c r="I62" s="261">
        <f t="shared" si="29"/>
        <v>1.0035273368606703</v>
      </c>
      <c r="J62" s="261">
        <f t="shared" ref="J62:J99" si="31">C62/$C$60</f>
        <v>1</v>
      </c>
      <c r="K62" s="261">
        <f t="shared" ref="K62:K99" si="32">D62/$D$60</f>
        <v>1</v>
      </c>
      <c r="L62" s="261">
        <f t="shared" ref="L62:L99" si="33">E62/$E$60</f>
        <v>1</v>
      </c>
      <c r="M62" s="261">
        <f t="shared" ref="M62:M99" si="34">F62/$F$60</f>
        <v>1</v>
      </c>
      <c r="N62" s="287"/>
      <c r="O62" s="288"/>
      <c r="P62" s="264">
        <f t="shared" si="30"/>
        <v>1</v>
      </c>
      <c r="Q62" s="264">
        <f t="shared" ref="Q62:T63" si="35">C62/$B62</f>
        <v>0.94024604569420034</v>
      </c>
      <c r="R62" s="264">
        <f t="shared" si="35"/>
        <v>0.46924428822495606</v>
      </c>
      <c r="S62" s="264">
        <f t="shared" si="35"/>
        <v>0.8963093145869947</v>
      </c>
      <c r="T62" s="264">
        <f t="shared" si="35"/>
        <v>1.8031634446397189</v>
      </c>
    </row>
    <row r="63" spans="1:21" ht="15" x14ac:dyDescent="0.2">
      <c r="A63" s="51" t="s">
        <v>427</v>
      </c>
      <c r="B63" s="267">
        <v>1148</v>
      </c>
      <c r="C63" s="267">
        <v>1484</v>
      </c>
      <c r="D63" s="260">
        <v>1368</v>
      </c>
      <c r="E63" s="260">
        <v>1502</v>
      </c>
      <c r="F63" s="260">
        <v>1671</v>
      </c>
      <c r="G63" s="276"/>
      <c r="H63" s="277"/>
      <c r="I63" s="261">
        <f t="shared" si="29"/>
        <v>2.0246913580246915</v>
      </c>
      <c r="J63" s="261">
        <f t="shared" si="31"/>
        <v>2.7738317757009345</v>
      </c>
      <c r="K63" s="261">
        <f t="shared" si="32"/>
        <v>5.1235955056179776</v>
      </c>
      <c r="L63" s="261">
        <f t="shared" si="33"/>
        <v>2.9450980392156865</v>
      </c>
      <c r="M63" s="261">
        <f t="shared" si="34"/>
        <v>1.628654970760234</v>
      </c>
      <c r="N63" s="287"/>
      <c r="O63" s="288"/>
      <c r="P63" s="264">
        <f t="shared" si="30"/>
        <v>1</v>
      </c>
      <c r="Q63" s="264">
        <f t="shared" si="35"/>
        <v>1.2926829268292683</v>
      </c>
      <c r="R63" s="264">
        <f t="shared" si="35"/>
        <v>1.1916376306620209</v>
      </c>
      <c r="S63" s="264">
        <f t="shared" si="35"/>
        <v>1.3083623693379791</v>
      </c>
      <c r="T63" s="264">
        <f t="shared" si="35"/>
        <v>1.4555749128919862</v>
      </c>
    </row>
    <row r="64" spans="1:21" ht="15" x14ac:dyDescent="0.2">
      <c r="A64" s="51" t="s">
        <v>428</v>
      </c>
      <c r="B64" s="267">
        <v>126</v>
      </c>
      <c r="C64" s="267">
        <v>184</v>
      </c>
      <c r="D64" s="260">
        <v>151</v>
      </c>
      <c r="E64" s="260" t="s">
        <v>356</v>
      </c>
      <c r="F64" s="260" t="s">
        <v>356</v>
      </c>
      <c r="G64" s="276"/>
      <c r="H64" s="277"/>
      <c r="I64" s="261">
        <f t="shared" si="29"/>
        <v>0.22222222222222221</v>
      </c>
      <c r="J64" s="261">
        <f t="shared" si="31"/>
        <v>0.34392523364485983</v>
      </c>
      <c r="K64" s="261">
        <f t="shared" si="32"/>
        <v>0.56554307116104874</v>
      </c>
      <c r="L64" s="261"/>
      <c r="M64" s="261"/>
      <c r="N64" s="287"/>
      <c r="O64" s="288"/>
      <c r="P64" s="264">
        <f t="shared" si="30"/>
        <v>1</v>
      </c>
      <c r="Q64" s="264">
        <f t="shared" ref="Q64:R67" si="36">C64/$B64</f>
        <v>1.4603174603174602</v>
      </c>
      <c r="R64" s="264">
        <f t="shared" si="36"/>
        <v>1.1984126984126984</v>
      </c>
      <c r="S64" s="264"/>
      <c r="T64" s="264"/>
    </row>
    <row r="65" spans="1:20" ht="15" x14ac:dyDescent="0.2">
      <c r="A65" s="51" t="s">
        <v>429</v>
      </c>
      <c r="B65" s="262">
        <v>1274</v>
      </c>
      <c r="C65" s="262">
        <v>1668</v>
      </c>
      <c r="D65" s="263">
        <v>1519</v>
      </c>
      <c r="E65" s="263">
        <v>1502</v>
      </c>
      <c r="F65" s="263">
        <v>1671</v>
      </c>
      <c r="G65" s="278"/>
      <c r="H65" s="279"/>
      <c r="I65" s="261">
        <f t="shared" si="29"/>
        <v>2.2469135802469138</v>
      </c>
      <c r="J65" s="261">
        <f t="shared" si="31"/>
        <v>3.1177570093457945</v>
      </c>
      <c r="K65" s="261">
        <f t="shared" si="32"/>
        <v>5.6891385767790261</v>
      </c>
      <c r="L65" s="261">
        <f t="shared" si="33"/>
        <v>2.9450980392156865</v>
      </c>
      <c r="M65" s="261">
        <f t="shared" si="34"/>
        <v>1.628654970760234</v>
      </c>
      <c r="N65" s="287"/>
      <c r="O65" s="288"/>
      <c r="P65" s="264">
        <f t="shared" si="30"/>
        <v>1</v>
      </c>
      <c r="Q65" s="264">
        <f t="shared" si="36"/>
        <v>1.3092621664050235</v>
      </c>
      <c r="R65" s="264">
        <f t="shared" si="36"/>
        <v>1.1923076923076923</v>
      </c>
      <c r="S65" s="264">
        <f t="shared" ref="S65:S79" si="37">E65/$B65</f>
        <v>1.1789638932496076</v>
      </c>
      <c r="T65" s="264">
        <f t="shared" ref="T65:T79" si="38">F65/$B65</f>
        <v>1.3116169544740974</v>
      </c>
    </row>
    <row r="66" spans="1:20" ht="15" x14ac:dyDescent="0.2">
      <c r="A66" s="51" t="s">
        <v>430</v>
      </c>
      <c r="B66" s="267">
        <v>966</v>
      </c>
      <c r="C66" s="267">
        <v>1403</v>
      </c>
      <c r="D66" s="260">
        <v>1253</v>
      </c>
      <c r="E66" s="260">
        <v>1299</v>
      </c>
      <c r="F66" s="260">
        <v>1733</v>
      </c>
      <c r="G66" s="276"/>
      <c r="H66" s="277"/>
      <c r="I66" s="261">
        <f t="shared" si="29"/>
        <v>1.7037037037037037</v>
      </c>
      <c r="J66" s="261">
        <f t="shared" si="31"/>
        <v>2.622429906542056</v>
      </c>
      <c r="K66" s="261">
        <f t="shared" si="32"/>
        <v>4.6928838951310858</v>
      </c>
      <c r="L66" s="261">
        <f t="shared" si="33"/>
        <v>2.5470588235294116</v>
      </c>
      <c r="M66" s="261">
        <f t="shared" si="34"/>
        <v>1.6890838206627681</v>
      </c>
      <c r="N66" s="287"/>
      <c r="O66" s="288"/>
      <c r="P66" s="264">
        <f t="shared" si="30"/>
        <v>1</v>
      </c>
      <c r="Q66" s="264">
        <f t="shared" si="36"/>
        <v>1.4523809523809523</v>
      </c>
      <c r="R66" s="264">
        <f t="shared" si="36"/>
        <v>1.2971014492753623</v>
      </c>
      <c r="S66" s="264">
        <f t="shared" si="37"/>
        <v>1.34472049689441</v>
      </c>
      <c r="T66" s="264">
        <f t="shared" si="38"/>
        <v>1.7939958592132506</v>
      </c>
    </row>
    <row r="67" spans="1:20" ht="15" x14ac:dyDescent="0.2">
      <c r="A67" s="51" t="s">
        <v>431</v>
      </c>
      <c r="B67" s="267">
        <v>12</v>
      </c>
      <c r="C67" s="267">
        <v>19</v>
      </c>
      <c r="D67" s="260">
        <v>20</v>
      </c>
      <c r="E67" s="260">
        <v>526</v>
      </c>
      <c r="F67" s="260">
        <v>764</v>
      </c>
      <c r="G67" s="276"/>
      <c r="H67" s="277"/>
      <c r="I67" s="261">
        <f t="shared" si="29"/>
        <v>2.1164021164021163E-2</v>
      </c>
      <c r="J67" s="261">
        <f t="shared" si="31"/>
        <v>3.5514018691588788E-2</v>
      </c>
      <c r="K67" s="261">
        <f t="shared" si="32"/>
        <v>7.4906367041198504E-2</v>
      </c>
      <c r="L67" s="261">
        <f t="shared" si="33"/>
        <v>1.031372549019608</v>
      </c>
      <c r="M67" s="261">
        <f t="shared" si="34"/>
        <v>0.74463937621832355</v>
      </c>
      <c r="N67" s="287"/>
      <c r="O67" s="288"/>
      <c r="P67" s="264">
        <f t="shared" si="30"/>
        <v>1</v>
      </c>
      <c r="Q67" s="264">
        <f t="shared" si="36"/>
        <v>1.5833333333333333</v>
      </c>
      <c r="R67" s="264">
        <f t="shared" si="36"/>
        <v>1.6666666666666667</v>
      </c>
      <c r="S67" s="264">
        <f t="shared" si="37"/>
        <v>43.833333333333336</v>
      </c>
      <c r="T67" s="264">
        <f t="shared" si="38"/>
        <v>63.666666666666664</v>
      </c>
    </row>
    <row r="68" spans="1:20" ht="15" x14ac:dyDescent="0.2">
      <c r="A68" s="51" t="s">
        <v>432</v>
      </c>
      <c r="B68" s="262">
        <v>1</v>
      </c>
      <c r="C68" s="262" t="s">
        <v>356</v>
      </c>
      <c r="D68" s="263" t="s">
        <v>356</v>
      </c>
      <c r="E68" s="263">
        <v>80</v>
      </c>
      <c r="F68" s="263">
        <v>18</v>
      </c>
      <c r="G68" s="278"/>
      <c r="H68" s="279"/>
      <c r="I68" s="261">
        <f t="shared" si="29"/>
        <v>1.7636684303350969E-3</v>
      </c>
      <c r="J68" s="261"/>
      <c r="K68" s="261"/>
      <c r="L68" s="261">
        <f t="shared" si="33"/>
        <v>0.15686274509803921</v>
      </c>
      <c r="M68" s="261">
        <f t="shared" si="34"/>
        <v>1.7543859649122806E-2</v>
      </c>
      <c r="N68" s="287"/>
      <c r="O68" s="288"/>
      <c r="P68" s="264">
        <f t="shared" si="30"/>
        <v>1</v>
      </c>
      <c r="Q68" s="264"/>
      <c r="R68" s="264"/>
      <c r="S68" s="264">
        <f t="shared" si="37"/>
        <v>80</v>
      </c>
      <c r="T68" s="264">
        <f t="shared" si="38"/>
        <v>18</v>
      </c>
    </row>
    <row r="69" spans="1:20" ht="15" x14ac:dyDescent="0.2">
      <c r="A69" s="51" t="s">
        <v>433</v>
      </c>
      <c r="B69" s="262">
        <v>235</v>
      </c>
      <c r="C69" s="262">
        <v>179</v>
      </c>
      <c r="D69" s="263">
        <v>316</v>
      </c>
      <c r="E69" s="263">
        <v>80</v>
      </c>
      <c r="F69" s="263">
        <v>54</v>
      </c>
      <c r="G69" s="278"/>
      <c r="H69" s="279"/>
      <c r="I69" s="261">
        <f t="shared" si="29"/>
        <v>0.41446208112874777</v>
      </c>
      <c r="J69" s="261">
        <f t="shared" si="31"/>
        <v>0.33457943925233646</v>
      </c>
      <c r="K69" s="261">
        <f t="shared" si="32"/>
        <v>1.1835205992509363</v>
      </c>
      <c r="L69" s="261">
        <f t="shared" si="33"/>
        <v>0.15686274509803921</v>
      </c>
      <c r="M69" s="261">
        <f t="shared" si="34"/>
        <v>5.2631578947368418E-2</v>
      </c>
      <c r="N69" s="287"/>
      <c r="O69" s="288"/>
      <c r="P69" s="264">
        <f t="shared" si="30"/>
        <v>1</v>
      </c>
      <c r="Q69" s="264">
        <f t="shared" ref="Q69:Q79" si="39">C69/$B69</f>
        <v>0.76170212765957446</v>
      </c>
      <c r="R69" s="264">
        <f t="shared" ref="R69:R79" si="40">D69/$B69</f>
        <v>1.3446808510638297</v>
      </c>
      <c r="S69" s="264">
        <f t="shared" si="37"/>
        <v>0.34042553191489361</v>
      </c>
      <c r="T69" s="264">
        <f t="shared" si="38"/>
        <v>0.22978723404255319</v>
      </c>
    </row>
    <row r="70" spans="1:20" s="135" customFormat="1" ht="15" x14ac:dyDescent="0.2">
      <c r="A70" s="50" t="s">
        <v>47</v>
      </c>
      <c r="B70" s="307">
        <v>3057</v>
      </c>
      <c r="C70" s="307">
        <v>3804</v>
      </c>
      <c r="D70" s="307">
        <v>3375</v>
      </c>
      <c r="E70" s="307">
        <v>3997</v>
      </c>
      <c r="F70" s="307">
        <v>5266</v>
      </c>
      <c r="G70" s="308"/>
      <c r="H70" s="309"/>
      <c r="I70" s="310">
        <f t="shared" si="29"/>
        <v>5.3915343915343916</v>
      </c>
      <c r="J70" s="310">
        <f t="shared" si="31"/>
        <v>7.1102803738317757</v>
      </c>
      <c r="K70" s="310">
        <f t="shared" si="32"/>
        <v>12.640449438202246</v>
      </c>
      <c r="L70" s="310">
        <f t="shared" si="33"/>
        <v>7.837254901960784</v>
      </c>
      <c r="M70" s="310">
        <f t="shared" si="34"/>
        <v>5.132553606237817</v>
      </c>
      <c r="N70" s="311"/>
      <c r="O70" s="312"/>
      <c r="P70" s="313">
        <f t="shared" si="30"/>
        <v>1</v>
      </c>
      <c r="Q70" s="313">
        <f t="shared" si="39"/>
        <v>1.2443572129538762</v>
      </c>
      <c r="R70" s="313">
        <f t="shared" si="40"/>
        <v>1.1040235525024533</v>
      </c>
      <c r="S70" s="313">
        <f t="shared" si="37"/>
        <v>1.3074910042525352</v>
      </c>
      <c r="T70" s="313">
        <f t="shared" si="38"/>
        <v>1.7226038599934577</v>
      </c>
    </row>
    <row r="71" spans="1:20" ht="15" x14ac:dyDescent="0.2">
      <c r="A71" s="51" t="s">
        <v>434</v>
      </c>
      <c r="B71" s="260">
        <v>4516</v>
      </c>
      <c r="C71" s="260">
        <v>5023</v>
      </c>
      <c r="D71" s="260">
        <v>5539</v>
      </c>
      <c r="E71" s="260">
        <v>6096</v>
      </c>
      <c r="F71" s="260">
        <v>6678</v>
      </c>
      <c r="G71" s="276"/>
      <c r="H71" s="277"/>
      <c r="I71" s="261">
        <f t="shared" si="29"/>
        <v>7.9647266313932983</v>
      </c>
      <c r="J71" s="261">
        <f t="shared" si="31"/>
        <v>9.3887850467289713</v>
      </c>
      <c r="K71" s="261">
        <f t="shared" si="32"/>
        <v>20.745318352059925</v>
      </c>
      <c r="L71" s="261">
        <f t="shared" si="33"/>
        <v>11.952941176470588</v>
      </c>
      <c r="M71" s="261">
        <f t="shared" si="34"/>
        <v>6.5087719298245617</v>
      </c>
      <c r="N71" s="287"/>
      <c r="O71" s="288"/>
      <c r="P71" s="264">
        <f t="shared" si="30"/>
        <v>1</v>
      </c>
      <c r="Q71" s="264">
        <f t="shared" si="39"/>
        <v>1.112267493356953</v>
      </c>
      <c r="R71" s="264">
        <f t="shared" si="40"/>
        <v>1.2265279007971657</v>
      </c>
      <c r="S71" s="264">
        <f t="shared" si="37"/>
        <v>1.3498671390611161</v>
      </c>
      <c r="T71" s="264">
        <f t="shared" si="38"/>
        <v>1.4787422497785652</v>
      </c>
    </row>
    <row r="72" spans="1:20" ht="15" x14ac:dyDescent="0.2">
      <c r="A72" s="51" t="s">
        <v>435</v>
      </c>
      <c r="B72" s="267">
        <v>-1349</v>
      </c>
      <c r="C72" s="267">
        <v>-1651</v>
      </c>
      <c r="D72" s="260">
        <v>-1964</v>
      </c>
      <c r="E72" s="260">
        <v>-2252</v>
      </c>
      <c r="F72" s="260">
        <v>-2603</v>
      </c>
      <c r="G72" s="276"/>
      <c r="H72" s="277"/>
      <c r="I72" s="261">
        <f t="shared" si="29"/>
        <v>-2.3791887125220459</v>
      </c>
      <c r="J72" s="261">
        <f t="shared" si="31"/>
        <v>-3.0859813084112151</v>
      </c>
      <c r="K72" s="261">
        <f t="shared" si="32"/>
        <v>-7.3558052434456931</v>
      </c>
      <c r="L72" s="261">
        <f t="shared" si="33"/>
        <v>-4.4156862745098042</v>
      </c>
      <c r="M72" s="261">
        <f t="shared" si="34"/>
        <v>-2.5370370370370372</v>
      </c>
      <c r="N72" s="303"/>
      <c r="O72" s="305"/>
      <c r="P72" s="264">
        <f t="shared" si="30"/>
        <v>1</v>
      </c>
      <c r="Q72" s="264">
        <f t="shared" si="39"/>
        <v>1.2238695329873981</v>
      </c>
      <c r="R72" s="264">
        <f t="shared" si="40"/>
        <v>1.4558932542624166</v>
      </c>
      <c r="S72" s="264">
        <f t="shared" si="37"/>
        <v>1.6693847294292068</v>
      </c>
      <c r="T72" s="264">
        <f t="shared" si="38"/>
        <v>1.9295774647887325</v>
      </c>
    </row>
    <row r="73" spans="1:20" ht="15" x14ac:dyDescent="0.2">
      <c r="A73" s="51" t="s">
        <v>436</v>
      </c>
      <c r="B73" s="267">
        <v>3167</v>
      </c>
      <c r="C73" s="267">
        <v>3372</v>
      </c>
      <c r="D73" s="260">
        <v>3575</v>
      </c>
      <c r="E73" s="260">
        <v>3844</v>
      </c>
      <c r="F73" s="260">
        <v>4075</v>
      </c>
      <c r="G73" s="276"/>
      <c r="H73" s="277"/>
      <c r="I73" s="261">
        <f t="shared" si="29"/>
        <v>5.5855379188712524</v>
      </c>
      <c r="J73" s="261">
        <f t="shared" si="31"/>
        <v>6.3028037383177571</v>
      </c>
      <c r="K73" s="261">
        <f t="shared" si="32"/>
        <v>13.389513108614231</v>
      </c>
      <c r="L73" s="261">
        <f t="shared" si="33"/>
        <v>7.5372549019607842</v>
      </c>
      <c r="M73" s="261">
        <f t="shared" si="34"/>
        <v>3.9717348927875245</v>
      </c>
      <c r="N73" s="304"/>
      <c r="O73" s="284"/>
      <c r="P73" s="264">
        <f t="shared" si="30"/>
        <v>1</v>
      </c>
      <c r="Q73" s="264">
        <f t="shared" si="39"/>
        <v>1.0647300284180612</v>
      </c>
      <c r="R73" s="264">
        <f t="shared" si="40"/>
        <v>1.1288285443637511</v>
      </c>
      <c r="S73" s="264">
        <f t="shared" si="37"/>
        <v>1.2137669718976949</v>
      </c>
      <c r="T73" s="264">
        <f t="shared" si="38"/>
        <v>1.2867066624565835</v>
      </c>
    </row>
    <row r="74" spans="1:20" ht="15" x14ac:dyDescent="0.2">
      <c r="A74" s="51" t="s">
        <v>437</v>
      </c>
      <c r="B74" s="260">
        <v>31</v>
      </c>
      <c r="C74" s="267">
        <v>1186</v>
      </c>
      <c r="D74" s="260">
        <v>1456</v>
      </c>
      <c r="E74" s="260">
        <v>1543</v>
      </c>
      <c r="F74" s="260">
        <v>1697</v>
      </c>
      <c r="G74" s="276"/>
      <c r="H74" s="277"/>
      <c r="I74" s="261">
        <f t="shared" si="29"/>
        <v>5.4673721340388004E-2</v>
      </c>
      <c r="J74" s="261">
        <f t="shared" si="31"/>
        <v>2.216822429906542</v>
      </c>
      <c r="K74" s="261">
        <f t="shared" si="32"/>
        <v>5.4531835205992509</v>
      </c>
      <c r="L74" s="261">
        <f t="shared" si="33"/>
        <v>3.0254901960784313</v>
      </c>
      <c r="M74" s="261">
        <f t="shared" si="34"/>
        <v>1.6539961013645224</v>
      </c>
      <c r="N74" s="285"/>
      <c r="O74" s="286"/>
      <c r="P74" s="264">
        <f t="shared" si="30"/>
        <v>1</v>
      </c>
      <c r="Q74" s="264">
        <f t="shared" si="39"/>
        <v>38.258064516129032</v>
      </c>
      <c r="R74" s="264">
        <f t="shared" si="40"/>
        <v>46.967741935483872</v>
      </c>
      <c r="S74" s="264">
        <f t="shared" si="37"/>
        <v>49.774193548387096</v>
      </c>
      <c r="T74" s="264">
        <f t="shared" si="38"/>
        <v>54.741935483870968</v>
      </c>
    </row>
    <row r="75" spans="1:20" ht="15" x14ac:dyDescent="0.2">
      <c r="A75" s="51" t="s">
        <v>231</v>
      </c>
      <c r="B75" s="267">
        <v>20182</v>
      </c>
      <c r="C75" s="260">
        <v>20072</v>
      </c>
      <c r="D75" s="260">
        <v>20202</v>
      </c>
      <c r="E75" s="260">
        <v>20053</v>
      </c>
      <c r="F75" s="260">
        <v>20247</v>
      </c>
      <c r="G75" s="276"/>
      <c r="H75" s="277"/>
      <c r="I75" s="261">
        <f t="shared" si="29"/>
        <v>35.594356261022931</v>
      </c>
      <c r="J75" s="261">
        <f t="shared" si="31"/>
        <v>37.517757009345793</v>
      </c>
      <c r="K75" s="261">
        <f t="shared" si="32"/>
        <v>75.662921348314612</v>
      </c>
      <c r="L75" s="261">
        <f t="shared" si="33"/>
        <v>39.319607843137256</v>
      </c>
      <c r="M75" s="261">
        <f t="shared" si="34"/>
        <v>19.73391812865497</v>
      </c>
      <c r="N75" s="287"/>
      <c r="O75" s="288"/>
      <c r="P75" s="264">
        <f t="shared" si="30"/>
        <v>1</v>
      </c>
      <c r="Q75" s="264">
        <f t="shared" si="39"/>
        <v>0.99454959865226444</v>
      </c>
      <c r="R75" s="264">
        <f t="shared" si="40"/>
        <v>1.0009909820632246</v>
      </c>
      <c r="S75" s="264">
        <f t="shared" si="37"/>
        <v>0.99360816569220101</v>
      </c>
      <c r="T75" s="264">
        <f t="shared" si="38"/>
        <v>1.0032206917054802</v>
      </c>
    </row>
    <row r="76" spans="1:20" ht="15" x14ac:dyDescent="0.2">
      <c r="A76" s="51" t="s">
        <v>438</v>
      </c>
      <c r="B76" s="262">
        <v>23856</v>
      </c>
      <c r="C76" s="263">
        <v>23183</v>
      </c>
      <c r="D76" s="263">
        <v>23287</v>
      </c>
      <c r="E76" s="263">
        <v>23634</v>
      </c>
      <c r="F76" s="263">
        <v>23725</v>
      </c>
      <c r="G76" s="278"/>
      <c r="H76" s="279"/>
      <c r="I76" s="261">
        <f t="shared" si="29"/>
        <v>42.074074074074076</v>
      </c>
      <c r="J76" s="261">
        <f t="shared" si="31"/>
        <v>43.332710280373831</v>
      </c>
      <c r="K76" s="261">
        <f t="shared" si="32"/>
        <v>87.217228464419478</v>
      </c>
      <c r="L76" s="261">
        <f t="shared" si="33"/>
        <v>46.341176470588238</v>
      </c>
      <c r="M76" s="261">
        <f t="shared" si="34"/>
        <v>23.123781676413255</v>
      </c>
      <c r="N76" s="287"/>
      <c r="O76" s="288"/>
      <c r="P76" s="264">
        <f t="shared" si="30"/>
        <v>1</v>
      </c>
      <c r="Q76" s="264">
        <f t="shared" si="39"/>
        <v>0.97178906773977192</v>
      </c>
      <c r="R76" s="264">
        <f t="shared" si="40"/>
        <v>0.9761485580147552</v>
      </c>
      <c r="S76" s="264">
        <f t="shared" si="37"/>
        <v>0.99069416498993967</v>
      </c>
      <c r="T76" s="264">
        <f t="shared" si="38"/>
        <v>0.99450871898054993</v>
      </c>
    </row>
    <row r="77" spans="1:20" ht="15" x14ac:dyDescent="0.2">
      <c r="A77" s="51" t="s">
        <v>439</v>
      </c>
      <c r="B77" s="267">
        <v>42</v>
      </c>
      <c r="C77" s="267">
        <v>35</v>
      </c>
      <c r="D77" s="260">
        <v>31</v>
      </c>
      <c r="E77" s="260">
        <v>39</v>
      </c>
      <c r="F77" s="260">
        <v>36</v>
      </c>
      <c r="G77" s="276"/>
      <c r="H77" s="277"/>
      <c r="I77" s="261">
        <f t="shared" si="29"/>
        <v>7.407407407407407E-2</v>
      </c>
      <c r="J77" s="261">
        <f t="shared" si="31"/>
        <v>6.5420560747663545E-2</v>
      </c>
      <c r="K77" s="261">
        <f t="shared" si="32"/>
        <v>0.11610486891385768</v>
      </c>
      <c r="L77" s="261">
        <f t="shared" si="33"/>
        <v>7.6470588235294124E-2</v>
      </c>
      <c r="M77" s="261">
        <f t="shared" si="34"/>
        <v>3.5087719298245612E-2</v>
      </c>
      <c r="N77" s="287"/>
      <c r="O77" s="288"/>
      <c r="P77" s="264">
        <f t="shared" si="30"/>
        <v>1</v>
      </c>
      <c r="Q77" s="264">
        <f t="shared" si="39"/>
        <v>0.83333333333333337</v>
      </c>
      <c r="R77" s="264">
        <f t="shared" si="40"/>
        <v>0.73809523809523814</v>
      </c>
      <c r="S77" s="264">
        <f t="shared" si="37"/>
        <v>0.9285714285714286</v>
      </c>
      <c r="T77" s="264">
        <f t="shared" si="38"/>
        <v>0.8571428571428571</v>
      </c>
    </row>
    <row r="78" spans="1:20" ht="15" x14ac:dyDescent="0.2">
      <c r="A78" s="51" t="s">
        <v>440</v>
      </c>
      <c r="B78" s="267">
        <v>263</v>
      </c>
      <c r="C78" s="267">
        <v>185</v>
      </c>
      <c r="D78" s="260">
        <v>204</v>
      </c>
      <c r="E78" s="260">
        <v>320</v>
      </c>
      <c r="F78" s="260">
        <v>413</v>
      </c>
      <c r="G78" s="276"/>
      <c r="H78" s="277"/>
      <c r="I78" s="261">
        <f t="shared" si="29"/>
        <v>0.46384479717813049</v>
      </c>
      <c r="J78" s="261">
        <f t="shared" si="31"/>
        <v>0.34579439252336447</v>
      </c>
      <c r="K78" s="261">
        <f t="shared" si="32"/>
        <v>0.7640449438202247</v>
      </c>
      <c r="L78" s="261">
        <f t="shared" si="33"/>
        <v>0.62745098039215685</v>
      </c>
      <c r="M78" s="261">
        <f t="shared" si="34"/>
        <v>0.40253411306042886</v>
      </c>
      <c r="N78" s="287"/>
      <c r="O78" s="288"/>
      <c r="P78" s="264">
        <f t="shared" si="30"/>
        <v>1</v>
      </c>
      <c r="Q78" s="264">
        <f t="shared" si="39"/>
        <v>0.70342205323193918</v>
      </c>
      <c r="R78" s="264">
        <f t="shared" si="40"/>
        <v>0.7756653992395437</v>
      </c>
      <c r="S78" s="264">
        <f t="shared" si="37"/>
        <v>1.2167300380228137</v>
      </c>
      <c r="T78" s="264">
        <f t="shared" si="38"/>
        <v>1.5703422053231939</v>
      </c>
    </row>
    <row r="79" spans="1:20" s="135" customFormat="1" ht="15" x14ac:dyDescent="0.2">
      <c r="A79" s="306" t="s">
        <v>54</v>
      </c>
      <c r="B79" s="314">
        <v>50598</v>
      </c>
      <c r="C79" s="314">
        <v>51837</v>
      </c>
      <c r="D79" s="315">
        <v>52130</v>
      </c>
      <c r="E79" s="315">
        <v>53430</v>
      </c>
      <c r="F79" s="315">
        <v>55459</v>
      </c>
      <c r="G79" s="316"/>
      <c r="H79" s="317"/>
      <c r="I79" s="310">
        <f t="shared" si="29"/>
        <v>89.238095238095241</v>
      </c>
      <c r="J79" s="310">
        <f t="shared" si="31"/>
        <v>96.891588785046736</v>
      </c>
      <c r="K79" s="310">
        <f t="shared" si="32"/>
        <v>195.24344569288388</v>
      </c>
      <c r="L79" s="310">
        <f t="shared" si="33"/>
        <v>104.76470588235294</v>
      </c>
      <c r="M79" s="310">
        <f t="shared" si="34"/>
        <v>54.053606237816766</v>
      </c>
      <c r="N79" s="311"/>
      <c r="O79" s="312"/>
      <c r="P79" s="313">
        <f t="shared" si="30"/>
        <v>1</v>
      </c>
      <c r="Q79" s="313">
        <f t="shared" si="39"/>
        <v>1.0244871338788095</v>
      </c>
      <c r="R79" s="313">
        <f t="shared" si="40"/>
        <v>1.0302778765959129</v>
      </c>
      <c r="S79" s="313">
        <f t="shared" si="37"/>
        <v>1.0559705917229929</v>
      </c>
      <c r="T79" s="313">
        <f t="shared" si="38"/>
        <v>1.0960709909482589</v>
      </c>
    </row>
    <row r="80" spans="1:20" s="135" customFormat="1" ht="15" x14ac:dyDescent="0.2">
      <c r="A80" s="306" t="s">
        <v>441</v>
      </c>
      <c r="B80" s="307"/>
      <c r="C80" s="307"/>
      <c r="D80" s="307"/>
      <c r="E80" s="307"/>
      <c r="F80" s="307"/>
      <c r="G80" s="308"/>
      <c r="H80" s="309"/>
      <c r="I80" s="310"/>
      <c r="J80" s="310"/>
      <c r="K80" s="310"/>
      <c r="L80" s="310"/>
      <c r="M80" s="310"/>
      <c r="N80" s="311"/>
      <c r="O80" s="312"/>
      <c r="P80" s="313"/>
      <c r="Q80" s="313"/>
      <c r="R80" s="313"/>
      <c r="S80" s="313"/>
      <c r="T80" s="313"/>
    </row>
    <row r="81" spans="1:21" ht="15" x14ac:dyDescent="0.2">
      <c r="A81" s="51" t="s">
        <v>442</v>
      </c>
      <c r="B81" s="267">
        <v>4316</v>
      </c>
      <c r="C81" s="267">
        <v>5206</v>
      </c>
      <c r="D81" s="260">
        <v>3597</v>
      </c>
      <c r="E81" s="260">
        <v>2985</v>
      </c>
      <c r="F81" s="260">
        <v>2996</v>
      </c>
      <c r="G81" s="276"/>
      <c r="H81" s="277"/>
      <c r="I81" s="261">
        <f t="shared" si="29"/>
        <v>7.6119929453262785</v>
      </c>
      <c r="J81" s="261">
        <f t="shared" si="31"/>
        <v>9.7308411214953274</v>
      </c>
      <c r="K81" s="261">
        <f t="shared" si="32"/>
        <v>13.47191011235955</v>
      </c>
      <c r="L81" s="261">
        <f t="shared" si="33"/>
        <v>5.8529411764705879</v>
      </c>
      <c r="M81" s="261">
        <f t="shared" si="34"/>
        <v>2.9200779727095516</v>
      </c>
      <c r="N81" s="287"/>
      <c r="O81" s="288"/>
      <c r="P81" s="264">
        <f t="shared" ref="P81:T85" si="41">B81/$B81</f>
        <v>1</v>
      </c>
      <c r="Q81" s="264">
        <f t="shared" si="41"/>
        <v>1.206209453197405</v>
      </c>
      <c r="R81" s="264">
        <f t="shared" si="41"/>
        <v>0.83341056533827618</v>
      </c>
      <c r="S81" s="264">
        <f t="shared" si="41"/>
        <v>0.6916126042632067</v>
      </c>
      <c r="T81" s="264">
        <f t="shared" si="41"/>
        <v>0.69416126042632065</v>
      </c>
    </row>
    <row r="82" spans="1:21" ht="15" x14ac:dyDescent="0.2">
      <c r="A82" s="51" t="s">
        <v>443</v>
      </c>
      <c r="B82" s="267">
        <v>1110</v>
      </c>
      <c r="C82" s="267">
        <v>1153</v>
      </c>
      <c r="D82" s="260">
        <v>1242</v>
      </c>
      <c r="E82" s="260">
        <v>1584</v>
      </c>
      <c r="F82" s="260">
        <v>1379</v>
      </c>
      <c r="G82" s="276"/>
      <c r="H82" s="277"/>
      <c r="I82" s="261">
        <f t="shared" si="29"/>
        <v>1.9576719576719577</v>
      </c>
      <c r="J82" s="261">
        <f t="shared" si="31"/>
        <v>2.1551401869158879</v>
      </c>
      <c r="K82" s="261">
        <f t="shared" si="32"/>
        <v>4.6516853932584272</v>
      </c>
      <c r="L82" s="261">
        <f t="shared" si="33"/>
        <v>3.1058823529411765</v>
      </c>
      <c r="M82" s="261">
        <f t="shared" si="34"/>
        <v>1.3440545808966862</v>
      </c>
      <c r="N82" s="287"/>
      <c r="O82" s="288"/>
      <c r="P82" s="264">
        <f t="shared" si="41"/>
        <v>1</v>
      </c>
      <c r="Q82" s="264">
        <f t="shared" si="41"/>
        <v>1.0387387387387388</v>
      </c>
      <c r="R82" s="264">
        <f t="shared" si="41"/>
        <v>1.1189189189189188</v>
      </c>
      <c r="S82" s="264">
        <f t="shared" si="41"/>
        <v>1.4270270270270271</v>
      </c>
      <c r="T82" s="264">
        <f t="shared" si="41"/>
        <v>1.2423423423423423</v>
      </c>
    </row>
    <row r="83" spans="1:21" ht="15" x14ac:dyDescent="0.2">
      <c r="A83" s="51" t="s">
        <v>444</v>
      </c>
      <c r="B83" s="267">
        <v>149</v>
      </c>
      <c r="C83" s="267">
        <v>399</v>
      </c>
      <c r="D83" s="260">
        <v>2096</v>
      </c>
      <c r="E83" s="260">
        <v>1616</v>
      </c>
      <c r="F83" s="260">
        <v>2210</v>
      </c>
      <c r="G83" s="276"/>
      <c r="H83" s="277"/>
      <c r="I83" s="261">
        <f t="shared" si="29"/>
        <v>0.26278659611992944</v>
      </c>
      <c r="J83" s="261">
        <f t="shared" si="31"/>
        <v>0.74579439252336444</v>
      </c>
      <c r="K83" s="261">
        <f t="shared" si="32"/>
        <v>7.8501872659176026</v>
      </c>
      <c r="L83" s="261">
        <f t="shared" si="33"/>
        <v>3.168627450980392</v>
      </c>
      <c r="M83" s="261">
        <f t="shared" si="34"/>
        <v>2.1539961013645224</v>
      </c>
      <c r="N83" s="287"/>
      <c r="O83" s="288"/>
      <c r="P83" s="264">
        <f t="shared" si="41"/>
        <v>1</v>
      </c>
      <c r="Q83" s="264">
        <f t="shared" si="41"/>
        <v>2.6778523489932886</v>
      </c>
      <c r="R83" s="264">
        <f t="shared" si="41"/>
        <v>14.067114093959731</v>
      </c>
      <c r="S83" s="264">
        <f t="shared" si="41"/>
        <v>10.845637583892618</v>
      </c>
      <c r="T83" s="264">
        <f t="shared" si="41"/>
        <v>14.832214765100671</v>
      </c>
    </row>
    <row r="84" spans="1:21" ht="15" x14ac:dyDescent="0.2">
      <c r="A84" s="51" t="s">
        <v>445</v>
      </c>
      <c r="B84" s="267">
        <v>163</v>
      </c>
      <c r="C84" s="260">
        <v>554</v>
      </c>
      <c r="D84" s="260">
        <v>1230</v>
      </c>
      <c r="E84" s="260">
        <v>1048</v>
      </c>
      <c r="F84" s="260">
        <v>913</v>
      </c>
      <c r="G84" s="276"/>
      <c r="H84" s="277"/>
      <c r="I84" s="261">
        <f t="shared" si="29"/>
        <v>0.2874779541446208</v>
      </c>
      <c r="J84" s="261">
        <f t="shared" si="31"/>
        <v>1.0355140186915888</v>
      </c>
      <c r="K84" s="261">
        <f t="shared" si="32"/>
        <v>4.606741573033708</v>
      </c>
      <c r="L84" s="261">
        <f t="shared" si="33"/>
        <v>2.0549019607843135</v>
      </c>
      <c r="M84" s="261">
        <f t="shared" si="34"/>
        <v>0.88986354775828458</v>
      </c>
      <c r="N84" s="287"/>
      <c r="O84" s="288"/>
      <c r="P84" s="264">
        <f t="shared" si="41"/>
        <v>1</v>
      </c>
      <c r="Q84" s="264">
        <f t="shared" si="41"/>
        <v>3.3987730061349692</v>
      </c>
      <c r="R84" s="264">
        <f t="shared" si="41"/>
        <v>7.5460122699386503</v>
      </c>
      <c r="S84" s="264">
        <f t="shared" si="41"/>
        <v>6.4294478527607364</v>
      </c>
      <c r="T84" s="264">
        <f t="shared" si="41"/>
        <v>5.6012269938650308</v>
      </c>
    </row>
    <row r="85" spans="1:21" ht="15" x14ac:dyDescent="0.2">
      <c r="A85" s="51" t="s">
        <v>446</v>
      </c>
      <c r="B85" s="262">
        <v>155</v>
      </c>
      <c r="C85" s="262">
        <v>195</v>
      </c>
      <c r="D85" s="263">
        <v>220</v>
      </c>
      <c r="E85" s="263">
        <v>253</v>
      </c>
      <c r="F85" s="263">
        <v>306</v>
      </c>
      <c r="G85" s="278"/>
      <c r="H85" s="279"/>
      <c r="I85" s="261">
        <f t="shared" si="29"/>
        <v>0.27336860670194002</v>
      </c>
      <c r="J85" s="261">
        <f t="shared" si="31"/>
        <v>0.3644859813084112</v>
      </c>
      <c r="K85" s="261">
        <f t="shared" si="32"/>
        <v>0.82397003745318353</v>
      </c>
      <c r="L85" s="261">
        <f t="shared" si="33"/>
        <v>0.49607843137254903</v>
      </c>
      <c r="M85" s="261">
        <f t="shared" si="34"/>
        <v>0.2982456140350877</v>
      </c>
      <c r="N85" s="287"/>
      <c r="O85" s="288"/>
      <c r="P85" s="264">
        <f t="shared" si="41"/>
        <v>1</v>
      </c>
      <c r="Q85" s="264">
        <f t="shared" si="41"/>
        <v>1.2580645161290323</v>
      </c>
      <c r="R85" s="264">
        <f t="shared" si="41"/>
        <v>1.4193548387096775</v>
      </c>
      <c r="S85" s="264">
        <f t="shared" si="41"/>
        <v>1.6322580645161291</v>
      </c>
      <c r="T85" s="264">
        <f t="shared" si="41"/>
        <v>1.9741935483870967</v>
      </c>
    </row>
    <row r="86" spans="1:21" ht="15" x14ac:dyDescent="0.2">
      <c r="A86" s="51" t="s">
        <v>447</v>
      </c>
      <c r="B86" s="262">
        <v>144</v>
      </c>
      <c r="C86" s="262">
        <v>87</v>
      </c>
      <c r="D86" s="263">
        <v>29</v>
      </c>
      <c r="E86" s="263" t="s">
        <v>356</v>
      </c>
      <c r="F86" s="263" t="s">
        <v>356</v>
      </c>
      <c r="G86" s="278"/>
      <c r="H86" s="279"/>
      <c r="I86" s="261">
        <f t="shared" si="29"/>
        <v>0.25396825396825395</v>
      </c>
      <c r="J86" s="261">
        <f t="shared" si="31"/>
        <v>0.16261682242990655</v>
      </c>
      <c r="K86" s="261">
        <f t="shared" si="32"/>
        <v>0.10861423220973783</v>
      </c>
      <c r="L86" s="261"/>
      <c r="M86" s="261"/>
      <c r="N86" s="287"/>
      <c r="O86" s="288"/>
      <c r="P86" s="264">
        <f t="shared" ref="P86:R90" si="42">B86/$B86</f>
        <v>1</v>
      </c>
      <c r="Q86" s="264">
        <f t="shared" si="42"/>
        <v>0.60416666666666663</v>
      </c>
      <c r="R86" s="264">
        <f t="shared" si="42"/>
        <v>0.2013888888888889</v>
      </c>
      <c r="S86" s="264"/>
      <c r="T86" s="264"/>
    </row>
    <row r="87" spans="1:21" ht="15" x14ac:dyDescent="0.2">
      <c r="A87" s="51" t="s">
        <v>448</v>
      </c>
      <c r="B87" s="267">
        <v>448</v>
      </c>
      <c r="C87" s="267">
        <v>482</v>
      </c>
      <c r="D87" s="260">
        <v>502</v>
      </c>
      <c r="E87" s="260">
        <v>601</v>
      </c>
      <c r="F87" s="260">
        <v>486</v>
      </c>
      <c r="G87" s="276"/>
      <c r="H87" s="277"/>
      <c r="I87" s="261">
        <f t="shared" si="29"/>
        <v>0.79012345679012341</v>
      </c>
      <c r="J87" s="261">
        <f t="shared" si="31"/>
        <v>0.90093457943925237</v>
      </c>
      <c r="K87" s="261">
        <f t="shared" si="32"/>
        <v>1.8801498127340823</v>
      </c>
      <c r="L87" s="261">
        <f t="shared" si="33"/>
        <v>1.1784313725490196</v>
      </c>
      <c r="M87" s="261">
        <f t="shared" si="34"/>
        <v>0.47368421052631576</v>
      </c>
      <c r="N87" s="287"/>
      <c r="O87" s="288"/>
      <c r="P87" s="264">
        <f t="shared" si="42"/>
        <v>1</v>
      </c>
      <c r="Q87" s="264">
        <f t="shared" si="42"/>
        <v>1.0758928571428572</v>
      </c>
      <c r="R87" s="264">
        <f t="shared" si="42"/>
        <v>1.1205357142857142</v>
      </c>
      <c r="S87" s="264">
        <f t="shared" ref="S87:T90" si="43">E87/$B87</f>
        <v>1.3415178571428572</v>
      </c>
      <c r="T87" s="264">
        <f t="shared" si="43"/>
        <v>1.0848214285714286</v>
      </c>
      <c r="U87" s="104"/>
    </row>
    <row r="88" spans="1:21" ht="15" x14ac:dyDescent="0.2">
      <c r="A88" s="51" t="s">
        <v>63</v>
      </c>
      <c r="B88" s="267">
        <v>6485</v>
      </c>
      <c r="C88" s="267">
        <v>8076</v>
      </c>
      <c r="D88" s="260">
        <v>8916</v>
      </c>
      <c r="E88" s="260">
        <v>8087</v>
      </c>
      <c r="F88" s="260">
        <v>8290</v>
      </c>
      <c r="G88" s="276"/>
      <c r="H88" s="277"/>
      <c r="I88" s="261">
        <f t="shared" si="29"/>
        <v>11.437389770723104</v>
      </c>
      <c r="J88" s="261">
        <f t="shared" si="31"/>
        <v>15.095327102803738</v>
      </c>
      <c r="K88" s="261">
        <f t="shared" si="32"/>
        <v>33.393258426966291</v>
      </c>
      <c r="L88" s="261">
        <f t="shared" si="33"/>
        <v>15.85686274509804</v>
      </c>
      <c r="M88" s="261">
        <f t="shared" si="34"/>
        <v>8.0799220272904488</v>
      </c>
      <c r="N88" s="303"/>
      <c r="O88" s="305"/>
      <c r="P88" s="264">
        <f t="shared" si="42"/>
        <v>1</v>
      </c>
      <c r="Q88" s="264">
        <f t="shared" si="42"/>
        <v>1.2453353893600616</v>
      </c>
      <c r="R88" s="264">
        <f t="shared" si="42"/>
        <v>1.3748650732459522</v>
      </c>
      <c r="S88" s="264">
        <f t="shared" si="43"/>
        <v>1.2470316114109483</v>
      </c>
      <c r="T88" s="264">
        <f t="shared" si="43"/>
        <v>1.2783346183500386</v>
      </c>
      <c r="U88" s="104"/>
    </row>
    <row r="89" spans="1:21" ht="17.25" customHeight="1" x14ac:dyDescent="0.2">
      <c r="A89" s="51" t="s">
        <v>449</v>
      </c>
      <c r="B89" s="267">
        <v>11711</v>
      </c>
      <c r="C89" s="267">
        <v>11266</v>
      </c>
      <c r="D89" s="260">
        <v>10131</v>
      </c>
      <c r="E89" s="260">
        <v>13946</v>
      </c>
      <c r="F89" s="260">
        <v>14297</v>
      </c>
      <c r="G89" s="276"/>
      <c r="H89" s="277"/>
      <c r="I89" s="261">
        <f t="shared" si="29"/>
        <v>20.654320987654319</v>
      </c>
      <c r="J89" s="261">
        <f t="shared" si="31"/>
        <v>21.057943925233644</v>
      </c>
      <c r="K89" s="261">
        <f t="shared" si="32"/>
        <v>37.943820224719104</v>
      </c>
      <c r="L89" s="261">
        <f t="shared" si="33"/>
        <v>27.345098039215685</v>
      </c>
      <c r="M89" s="261">
        <f t="shared" si="34"/>
        <v>13.934697855750487</v>
      </c>
      <c r="N89" s="304"/>
      <c r="O89" s="284"/>
      <c r="P89" s="264">
        <f t="shared" si="42"/>
        <v>1</v>
      </c>
      <c r="Q89" s="264">
        <f t="shared" si="42"/>
        <v>0.96200153701648028</v>
      </c>
      <c r="R89" s="264">
        <f t="shared" si="42"/>
        <v>0.86508410895739052</v>
      </c>
      <c r="S89" s="264">
        <f t="shared" si="43"/>
        <v>1.1908462129621724</v>
      </c>
      <c r="T89" s="264">
        <f t="shared" si="43"/>
        <v>1.2208180343267014</v>
      </c>
      <c r="U89" s="104"/>
    </row>
    <row r="90" spans="1:21" ht="21" customHeight="1" x14ac:dyDescent="0.2">
      <c r="A90" s="51" t="s">
        <v>450</v>
      </c>
      <c r="B90" s="267">
        <v>1229</v>
      </c>
      <c r="C90" s="267">
        <v>1421</v>
      </c>
      <c r="D90" s="260">
        <v>1413</v>
      </c>
      <c r="E90" s="260">
        <v>1467</v>
      </c>
      <c r="F90" s="260">
        <v>1509</v>
      </c>
      <c r="G90" s="278"/>
      <c r="H90" s="279"/>
      <c r="I90" s="261">
        <f t="shared" si="29"/>
        <v>2.1675485008818343</v>
      </c>
      <c r="J90" s="261">
        <f t="shared" si="31"/>
        <v>2.6560747663551401</v>
      </c>
      <c r="K90" s="261">
        <f t="shared" si="32"/>
        <v>5.2921348314606744</v>
      </c>
      <c r="L90" s="261">
        <f t="shared" si="33"/>
        <v>2.8764705882352941</v>
      </c>
      <c r="M90" s="261">
        <f t="shared" si="34"/>
        <v>1.4707602339181287</v>
      </c>
      <c r="N90" s="285"/>
      <c r="O90" s="286"/>
      <c r="P90" s="264">
        <f t="shared" si="42"/>
        <v>1</v>
      </c>
      <c r="Q90" s="264">
        <f t="shared" si="42"/>
        <v>1.1562245728234337</v>
      </c>
      <c r="R90" s="264">
        <f t="shared" si="42"/>
        <v>1.1497152156224573</v>
      </c>
      <c r="S90" s="264">
        <f t="shared" si="43"/>
        <v>1.193653376729048</v>
      </c>
      <c r="T90" s="264">
        <f t="shared" si="43"/>
        <v>1.2278275020341742</v>
      </c>
      <c r="U90" s="104"/>
    </row>
    <row r="91" spans="1:21" s="109" customFormat="1" ht="16" x14ac:dyDescent="0.2">
      <c r="A91" s="318" t="s">
        <v>337</v>
      </c>
      <c r="B91" s="319">
        <v>25626</v>
      </c>
      <c r="C91" s="319">
        <v>26712</v>
      </c>
      <c r="D91" s="319">
        <v>26454</v>
      </c>
      <c r="E91" s="319">
        <v>29187</v>
      </c>
      <c r="F91" s="319">
        <v>29943</v>
      </c>
      <c r="G91" s="308"/>
      <c r="H91" s="309"/>
      <c r="I91" s="310">
        <f t="shared" si="29"/>
        <v>45.195767195767196</v>
      </c>
      <c r="J91" s="310">
        <f t="shared" si="31"/>
        <v>49.928971962616821</v>
      </c>
      <c r="K91" s="310">
        <f t="shared" si="32"/>
        <v>99.078651685393254</v>
      </c>
      <c r="L91" s="310">
        <f t="shared" si="33"/>
        <v>57.22941176470588</v>
      </c>
      <c r="M91" s="310">
        <f t="shared" si="34"/>
        <v>29.184210526315791</v>
      </c>
      <c r="N91" s="311"/>
      <c r="O91" s="312"/>
      <c r="P91" s="313">
        <f t="shared" ref="P91:T96" si="44">B91/$B91</f>
        <v>1</v>
      </c>
      <c r="Q91" s="313">
        <f t="shared" si="44"/>
        <v>1.0423788339967222</v>
      </c>
      <c r="R91" s="313">
        <f t="shared" si="44"/>
        <v>1.0323109342074455</v>
      </c>
      <c r="S91" s="313">
        <f t="shared" si="44"/>
        <v>1.1389604308124561</v>
      </c>
      <c r="T91" s="313">
        <f t="shared" si="44"/>
        <v>1.1684617185670803</v>
      </c>
      <c r="U91" s="320"/>
    </row>
    <row r="92" spans="1:21" s="109" customFormat="1" ht="16" x14ac:dyDescent="0.2">
      <c r="A92" s="268" t="s">
        <v>451</v>
      </c>
      <c r="B92" s="250">
        <v>14</v>
      </c>
      <c r="C92">
        <v>14</v>
      </c>
      <c r="D92">
        <v>14</v>
      </c>
      <c r="E92">
        <v>14</v>
      </c>
      <c r="F92">
        <v>14</v>
      </c>
      <c r="G92" s="276"/>
      <c r="H92" s="277"/>
      <c r="I92" s="261">
        <f t="shared" si="29"/>
        <v>2.4691358024691357E-2</v>
      </c>
      <c r="J92" s="261">
        <f t="shared" si="31"/>
        <v>2.6168224299065422E-2</v>
      </c>
      <c r="K92" s="261">
        <f t="shared" si="32"/>
        <v>5.2434456928838954E-2</v>
      </c>
      <c r="L92" s="261">
        <f t="shared" si="33"/>
        <v>2.7450980392156862E-2</v>
      </c>
      <c r="M92" s="261">
        <f t="shared" si="34"/>
        <v>1.364522417153996E-2</v>
      </c>
      <c r="N92" s="287"/>
      <c r="O92" s="288"/>
      <c r="P92" s="264">
        <f t="shared" si="44"/>
        <v>1</v>
      </c>
      <c r="Q92" s="264">
        <f t="shared" si="44"/>
        <v>1</v>
      </c>
      <c r="R92" s="264">
        <f t="shared" si="44"/>
        <v>1</v>
      </c>
      <c r="S92" s="264">
        <f t="shared" si="44"/>
        <v>1</v>
      </c>
      <c r="T92" s="264">
        <f t="shared" si="44"/>
        <v>1</v>
      </c>
      <c r="U92"/>
    </row>
    <row r="93" spans="1:21" ht="15" x14ac:dyDescent="0.2">
      <c r="A93" s="5" t="s">
        <v>452</v>
      </c>
      <c r="B93" s="269">
        <v>21785</v>
      </c>
      <c r="C93" s="269">
        <v>21444</v>
      </c>
      <c r="D93" s="270">
        <v>20788</v>
      </c>
      <c r="E93" s="270">
        <v>19712</v>
      </c>
      <c r="F93" s="269">
        <v>19778</v>
      </c>
      <c r="G93" s="276"/>
      <c r="H93" s="277"/>
      <c r="I93" s="261">
        <f t="shared" si="29"/>
        <v>38.421516754850089</v>
      </c>
      <c r="J93" s="261">
        <f t="shared" si="31"/>
        <v>40.082242990654208</v>
      </c>
      <c r="K93" s="261">
        <f t="shared" si="32"/>
        <v>77.857677902621717</v>
      </c>
      <c r="L93" s="261">
        <f t="shared" si="33"/>
        <v>38.65098039215686</v>
      </c>
      <c r="M93" s="261">
        <f t="shared" si="34"/>
        <v>19.276803118908383</v>
      </c>
      <c r="N93" s="287"/>
      <c r="O93" s="288"/>
      <c r="P93" s="264">
        <f t="shared" si="44"/>
        <v>1</v>
      </c>
      <c r="Q93" s="264">
        <f t="shared" si="44"/>
        <v>0.98434702777140237</v>
      </c>
      <c r="R93" s="264">
        <f t="shared" si="44"/>
        <v>0.9542345650677071</v>
      </c>
      <c r="S93" s="264">
        <f t="shared" si="44"/>
        <v>0.90484278173054855</v>
      </c>
      <c r="T93" s="264">
        <f t="shared" si="44"/>
        <v>0.9078723892586642</v>
      </c>
    </row>
    <row r="94" spans="1:21" ht="15" x14ac:dyDescent="0.2">
      <c r="A94" s="5" t="s">
        <v>453</v>
      </c>
      <c r="B94" s="271">
        <v>3199</v>
      </c>
      <c r="C94" s="271">
        <v>3539</v>
      </c>
      <c r="D94" s="271">
        <v>4559</v>
      </c>
      <c r="E94" s="271">
        <v>4793</v>
      </c>
      <c r="F94" s="269">
        <v>5622</v>
      </c>
      <c r="G94" s="276"/>
      <c r="H94" s="277"/>
      <c r="I94" s="261">
        <f t="shared" si="29"/>
        <v>5.6419753086419755</v>
      </c>
      <c r="J94" s="261">
        <f t="shared" si="31"/>
        <v>6.6149532710280372</v>
      </c>
      <c r="K94" s="261">
        <f t="shared" si="32"/>
        <v>17.074906367041198</v>
      </c>
      <c r="L94" s="261">
        <f t="shared" si="33"/>
        <v>9.3980392156862749</v>
      </c>
      <c r="M94" s="261">
        <f t="shared" si="34"/>
        <v>5.4795321637426904</v>
      </c>
      <c r="N94" s="287"/>
      <c r="O94" s="288"/>
      <c r="P94" s="264">
        <f t="shared" si="44"/>
        <v>1</v>
      </c>
      <c r="Q94" s="264">
        <f t="shared" si="44"/>
        <v>1.10628321350422</v>
      </c>
      <c r="R94" s="264">
        <f t="shared" si="44"/>
        <v>1.4251328540168802</v>
      </c>
      <c r="S94" s="264">
        <f t="shared" si="44"/>
        <v>1.4982807127227258</v>
      </c>
      <c r="T94" s="264">
        <f t="shared" si="44"/>
        <v>1.7574241950609566</v>
      </c>
    </row>
    <row r="95" spans="1:21" ht="15" x14ac:dyDescent="0.2">
      <c r="A95" s="49" t="s">
        <v>454</v>
      </c>
      <c r="B95" s="364">
        <v>-26</v>
      </c>
      <c r="C95" s="49">
        <v>129</v>
      </c>
      <c r="D95" s="49">
        <v>315</v>
      </c>
      <c r="E95" s="49">
        <v>-276</v>
      </c>
      <c r="F95">
        <v>102</v>
      </c>
      <c r="G95" s="278"/>
      <c r="H95" s="279"/>
      <c r="I95" s="261">
        <f t="shared" si="29"/>
        <v>-4.585537918871252E-2</v>
      </c>
      <c r="J95" s="261">
        <f t="shared" si="31"/>
        <v>0.24112149532710281</v>
      </c>
      <c r="K95" s="261">
        <f t="shared" si="32"/>
        <v>1.1797752808988764</v>
      </c>
      <c r="L95" s="261">
        <f t="shared" si="33"/>
        <v>-0.54117647058823526</v>
      </c>
      <c r="M95" s="261">
        <f t="shared" si="34"/>
        <v>9.9415204678362568E-2</v>
      </c>
      <c r="N95" s="287"/>
      <c r="O95" s="288"/>
      <c r="P95" s="264">
        <f t="shared" si="44"/>
        <v>1</v>
      </c>
      <c r="Q95" s="264">
        <f t="shared" si="44"/>
        <v>-4.9615384615384617</v>
      </c>
      <c r="R95" s="264">
        <f t="shared" si="44"/>
        <v>-12.115384615384615</v>
      </c>
      <c r="S95" s="264">
        <f t="shared" si="44"/>
        <v>10.615384615384615</v>
      </c>
      <c r="T95" s="264">
        <f t="shared" si="44"/>
        <v>-3.9230769230769229</v>
      </c>
    </row>
    <row r="96" spans="1:21" ht="15" x14ac:dyDescent="0.2">
      <c r="A96" s="5" t="s">
        <v>455</v>
      </c>
      <c r="B96" s="271">
        <v>24972</v>
      </c>
      <c r="C96" s="63">
        <v>25126</v>
      </c>
      <c r="D96" s="271">
        <v>25676</v>
      </c>
      <c r="E96" s="271">
        <v>24243</v>
      </c>
      <c r="F96" s="269">
        <v>25516</v>
      </c>
      <c r="G96" s="276"/>
      <c r="H96" s="277"/>
      <c r="I96" s="261">
        <f t="shared" si="29"/>
        <v>44.042328042328045</v>
      </c>
      <c r="J96" s="261">
        <f t="shared" si="31"/>
        <v>46.964485981308414</v>
      </c>
      <c r="K96" s="261">
        <f t="shared" si="32"/>
        <v>96.164794007490642</v>
      </c>
      <c r="L96" s="261">
        <f t="shared" si="33"/>
        <v>47.535294117647062</v>
      </c>
      <c r="M96" s="261">
        <f t="shared" si="34"/>
        <v>24.869395711500974</v>
      </c>
      <c r="N96" s="287"/>
      <c r="O96" s="288"/>
      <c r="P96" s="264">
        <f t="shared" si="44"/>
        <v>1</v>
      </c>
      <c r="Q96" s="264">
        <f t="shared" si="44"/>
        <v>1.0061669069357682</v>
      </c>
      <c r="R96" s="264">
        <f t="shared" si="44"/>
        <v>1.0281915745635111</v>
      </c>
      <c r="S96" s="264">
        <f t="shared" si="44"/>
        <v>0.9708073041806824</v>
      </c>
      <c r="T96" s="264">
        <f t="shared" si="44"/>
        <v>1.0217843985263495</v>
      </c>
    </row>
    <row r="97" spans="1:20" ht="15" x14ac:dyDescent="0.2">
      <c r="A97" s="5" t="s">
        <v>456</v>
      </c>
      <c r="B97" s="5" t="s">
        <v>356</v>
      </c>
      <c r="C97" s="5">
        <v>-1</v>
      </c>
      <c r="D97" s="124" t="s">
        <v>356</v>
      </c>
      <c r="E97" s="5" t="s">
        <v>356</v>
      </c>
      <c r="F97" t="s">
        <v>356</v>
      </c>
      <c r="G97" s="276"/>
      <c r="H97" s="277"/>
      <c r="I97" s="261"/>
      <c r="J97" s="261"/>
      <c r="K97" s="261"/>
      <c r="L97" s="261"/>
      <c r="M97" s="261"/>
      <c r="N97" s="287"/>
      <c r="O97" s="288"/>
      <c r="P97" s="264"/>
      <c r="Q97" s="264"/>
      <c r="R97" s="264"/>
      <c r="S97" s="264"/>
      <c r="T97" s="264"/>
    </row>
    <row r="98" spans="1:20" s="135" customFormat="1" ht="15" x14ac:dyDescent="0.2">
      <c r="A98" s="10" t="s">
        <v>255</v>
      </c>
      <c r="B98" s="321">
        <v>24972</v>
      </c>
      <c r="C98" s="321">
        <v>25125</v>
      </c>
      <c r="D98" s="321">
        <v>25676</v>
      </c>
      <c r="E98" s="321">
        <v>24243</v>
      </c>
      <c r="F98" s="319">
        <v>25516</v>
      </c>
      <c r="G98" s="316"/>
      <c r="H98" s="317"/>
      <c r="I98" s="310">
        <f t="shared" si="29"/>
        <v>44.042328042328045</v>
      </c>
      <c r="J98" s="310">
        <f t="shared" si="31"/>
        <v>46.962616822429908</v>
      </c>
      <c r="K98" s="310">
        <f t="shared" si="32"/>
        <v>96.164794007490642</v>
      </c>
      <c r="L98" s="310">
        <f t="shared" si="33"/>
        <v>47.535294117647062</v>
      </c>
      <c r="M98" s="310">
        <f t="shared" si="34"/>
        <v>24.869395711500974</v>
      </c>
      <c r="N98" s="311"/>
      <c r="O98" s="312"/>
      <c r="P98" s="313">
        <f t="shared" ref="P98:T99" si="45">B98/$B98</f>
        <v>1</v>
      </c>
      <c r="Q98" s="313">
        <f t="shared" si="45"/>
        <v>1.0061268620855357</v>
      </c>
      <c r="R98" s="313">
        <f t="shared" si="45"/>
        <v>1.0281915745635111</v>
      </c>
      <c r="S98" s="313">
        <f t="shared" si="45"/>
        <v>0.9708073041806824</v>
      </c>
      <c r="T98" s="313">
        <f t="shared" si="45"/>
        <v>1.0217843985263495</v>
      </c>
    </row>
    <row r="99" spans="1:20" s="135" customFormat="1" ht="15" x14ac:dyDescent="0.2">
      <c r="A99" s="10" t="s">
        <v>457</v>
      </c>
      <c r="B99" s="322">
        <v>50598</v>
      </c>
      <c r="C99" s="321">
        <v>51837</v>
      </c>
      <c r="D99" s="321">
        <v>52130</v>
      </c>
      <c r="E99" s="321">
        <v>53430</v>
      </c>
      <c r="F99" s="319">
        <v>55459</v>
      </c>
      <c r="G99" s="308"/>
      <c r="H99" s="309"/>
      <c r="I99" s="310">
        <f t="shared" si="29"/>
        <v>89.238095238095241</v>
      </c>
      <c r="J99" s="310">
        <f t="shared" si="31"/>
        <v>96.891588785046736</v>
      </c>
      <c r="K99" s="310">
        <f t="shared" si="32"/>
        <v>195.24344569288388</v>
      </c>
      <c r="L99" s="310">
        <f t="shared" si="33"/>
        <v>104.76470588235294</v>
      </c>
      <c r="M99" s="310">
        <f t="shared" si="34"/>
        <v>54.053606237816766</v>
      </c>
      <c r="N99" s="311"/>
      <c r="O99" s="312"/>
      <c r="P99" s="313">
        <f t="shared" si="45"/>
        <v>1</v>
      </c>
      <c r="Q99" s="313">
        <f t="shared" si="45"/>
        <v>1.0244871338788095</v>
      </c>
      <c r="R99" s="313">
        <f t="shared" si="45"/>
        <v>1.0302778765959129</v>
      </c>
      <c r="S99" s="313">
        <f t="shared" si="45"/>
        <v>1.0559705917229929</v>
      </c>
      <c r="T99" s="313">
        <f t="shared" si="45"/>
        <v>1.0960709909482589</v>
      </c>
    </row>
    <row r="100" spans="1:20" ht="15" x14ac:dyDescent="0.2">
      <c r="A100" s="10"/>
      <c r="B100" s="100"/>
      <c r="C100" s="100"/>
      <c r="D100" s="100"/>
      <c r="E100" s="100"/>
      <c r="F100" s="100"/>
      <c r="G100" s="100"/>
      <c r="H100" s="100"/>
      <c r="I100" s="261"/>
      <c r="J100" s="261"/>
      <c r="K100" s="261"/>
      <c r="L100" s="261"/>
      <c r="M100" s="261"/>
      <c r="P100" s="264"/>
      <c r="Q100" s="264"/>
      <c r="R100" s="264"/>
      <c r="S100" s="264"/>
      <c r="T100" s="264"/>
    </row>
    <row r="101" spans="1:20" s="135" customFormat="1" ht="15" x14ac:dyDescent="0.2">
      <c r="A101" s="10" t="s">
        <v>458</v>
      </c>
      <c r="B101" s="10">
        <v>29</v>
      </c>
      <c r="C101" s="10">
        <v>36</v>
      </c>
      <c r="D101" s="10">
        <v>32</v>
      </c>
      <c r="E101" s="10">
        <v>32</v>
      </c>
      <c r="F101" s="10">
        <v>28</v>
      </c>
      <c r="G101" s="323"/>
      <c r="H101" s="323"/>
      <c r="I101" s="310">
        <f t="shared" ref="I101" si="46">B101/$B$60</f>
        <v>5.114638447971781E-2</v>
      </c>
      <c r="J101" s="310">
        <f t="shared" ref="J101" si="47">C101/$C$60</f>
        <v>6.7289719626168226E-2</v>
      </c>
      <c r="K101" s="310">
        <f t="shared" ref="K101" si="48">D101/$D$60</f>
        <v>0.1198501872659176</v>
      </c>
      <c r="L101" s="310">
        <f t="shared" ref="L101" si="49">E101/$E$60</f>
        <v>6.2745098039215685E-2</v>
      </c>
      <c r="M101" s="310">
        <f t="shared" ref="M101" si="50">F101/$F$60</f>
        <v>2.7290448343079921E-2</v>
      </c>
      <c r="P101" s="313">
        <f>B101/$B101</f>
        <v>1</v>
      </c>
      <c r="Q101" s="313">
        <f>C101/$B101</f>
        <v>1.2413793103448276</v>
      </c>
      <c r="R101" s="313">
        <f>D101/$B101</f>
        <v>1.103448275862069</v>
      </c>
      <c r="S101" s="313">
        <f>E101/$B101</f>
        <v>1.103448275862069</v>
      </c>
      <c r="T101" s="313">
        <f>F101/$B101</f>
        <v>0.96551724137931039</v>
      </c>
    </row>
    <row r="102" spans="1:20" ht="15" x14ac:dyDescent="0.2">
      <c r="A102" s="5"/>
      <c r="B102" s="128"/>
      <c r="C102" s="128"/>
      <c r="D102" s="128"/>
      <c r="E102" s="128"/>
      <c r="F102" s="128"/>
      <c r="G102" s="100"/>
      <c r="H102" s="100"/>
    </row>
    <row r="103" spans="1:20" ht="15" x14ac:dyDescent="0.2">
      <c r="A103" s="5"/>
      <c r="B103" s="128"/>
      <c r="C103" s="128"/>
      <c r="D103" s="128"/>
      <c r="E103" s="128"/>
      <c r="F103" s="128"/>
      <c r="G103" s="100"/>
      <c r="H103" s="100"/>
    </row>
    <row r="104" spans="1:20" x14ac:dyDescent="0.25">
      <c r="G104" s="100"/>
      <c r="H104" s="100"/>
    </row>
    <row r="105" spans="1:20" ht="8.25" customHeight="1" x14ac:dyDescent="0.25">
      <c r="G105" s="64"/>
      <c r="H105" s="64"/>
    </row>
  </sheetData>
  <mergeCells count="17">
    <mergeCell ref="T52:U52"/>
    <mergeCell ref="A1:U1"/>
    <mergeCell ref="A2:U2"/>
    <mergeCell ref="A3:U3"/>
    <mergeCell ref="T4:U4"/>
    <mergeCell ref="I8:M8"/>
    <mergeCell ref="P8:T8"/>
    <mergeCell ref="I9:M9"/>
    <mergeCell ref="P9:T9"/>
    <mergeCell ref="A49:U49"/>
    <mergeCell ref="A50:U50"/>
    <mergeCell ref="A51:U51"/>
    <mergeCell ref="T54:U54"/>
    <mergeCell ref="I55:M55"/>
    <mergeCell ref="P55:T55"/>
    <mergeCell ref="I56:M56"/>
    <mergeCell ref="P56:T5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380F6-4A00-4DEC-9261-4413779EB4D4}">
  <dimension ref="A1:W113"/>
  <sheetViews>
    <sheetView topLeftCell="A33" workbookViewId="0">
      <selection activeCell="A116" sqref="A116:F149"/>
    </sheetView>
  </sheetViews>
  <sheetFormatPr baseColWidth="10" defaultColWidth="8.83203125" defaultRowHeight="15" x14ac:dyDescent="0.2"/>
  <cols>
    <col min="1" max="1" width="58.33203125" bestFit="1" customWidth="1"/>
    <col min="2" max="3" width="12.1640625" bestFit="1" customWidth="1"/>
    <col min="4" max="6" width="12.6640625" bestFit="1" customWidth="1"/>
    <col min="7" max="7" width="12.6640625" customWidth="1"/>
    <col min="18" max="18" width="11.5" bestFit="1" customWidth="1"/>
  </cols>
  <sheetData>
    <row r="1" spans="1:21" ht="16" x14ac:dyDescent="0.2">
      <c r="A1" s="649" t="s">
        <v>297</v>
      </c>
      <c r="B1" s="649"/>
      <c r="C1" s="649"/>
      <c r="D1" s="649"/>
      <c r="E1" s="649"/>
      <c r="F1" s="649"/>
      <c r="G1" s="649"/>
      <c r="H1" s="649"/>
      <c r="I1" s="649"/>
      <c r="J1" s="649"/>
      <c r="K1" s="649"/>
      <c r="L1" s="649"/>
      <c r="M1" s="649"/>
      <c r="N1" s="649"/>
      <c r="O1" s="649"/>
      <c r="P1" s="649"/>
      <c r="Q1" s="649"/>
      <c r="R1" s="649"/>
    </row>
    <row r="2" spans="1:21" ht="16" x14ac:dyDescent="0.2">
      <c r="A2" s="628" t="s">
        <v>1</v>
      </c>
      <c r="B2" s="628"/>
      <c r="C2" s="628"/>
      <c r="D2" s="628"/>
      <c r="E2" s="628"/>
      <c r="F2" s="628"/>
      <c r="G2" s="628"/>
      <c r="H2" s="628"/>
      <c r="I2" s="628"/>
      <c r="J2" s="628"/>
      <c r="K2" s="628"/>
      <c r="L2" s="628"/>
      <c r="M2" s="628"/>
      <c r="N2" s="628"/>
      <c r="O2" s="628"/>
      <c r="P2" s="628"/>
      <c r="Q2" s="628"/>
      <c r="R2" s="628"/>
    </row>
    <row r="3" spans="1:21" ht="16" x14ac:dyDescent="0.2">
      <c r="A3" s="629" t="s">
        <v>298</v>
      </c>
      <c r="B3" s="629"/>
      <c r="C3" s="629"/>
      <c r="D3" s="629"/>
      <c r="E3" s="629"/>
      <c r="F3" s="629"/>
      <c r="G3" s="629"/>
      <c r="H3" s="629"/>
      <c r="I3" s="629"/>
      <c r="J3" s="629"/>
      <c r="K3" s="629"/>
      <c r="L3" s="629"/>
      <c r="M3" s="629"/>
      <c r="N3" s="629"/>
      <c r="O3" s="629"/>
      <c r="P3" s="629"/>
      <c r="Q3" s="629"/>
      <c r="R3" s="629"/>
    </row>
    <row r="5" spans="1:21" ht="19" x14ac:dyDescent="0.25">
      <c r="A5" s="449" t="s">
        <v>299</v>
      </c>
      <c r="B5" s="369"/>
      <c r="C5" s="369"/>
      <c r="D5" s="369"/>
      <c r="E5" s="369"/>
      <c r="F5" s="369"/>
      <c r="G5" s="373"/>
      <c r="H5" s="650" t="s">
        <v>300</v>
      </c>
      <c r="I5" s="650"/>
      <c r="J5" s="650"/>
      <c r="K5" s="650"/>
      <c r="L5" s="650"/>
      <c r="M5" s="445"/>
      <c r="N5" s="650" t="s">
        <v>8</v>
      </c>
      <c r="O5" s="650"/>
      <c r="P5" s="650"/>
      <c r="Q5" s="650"/>
      <c r="R5" s="650"/>
    </row>
    <row r="6" spans="1:21" x14ac:dyDescent="0.2">
      <c r="A6" s="377" t="s">
        <v>301</v>
      </c>
      <c r="B6" s="379">
        <v>2021</v>
      </c>
      <c r="C6" s="448">
        <v>2022</v>
      </c>
      <c r="D6" s="448">
        <v>2023</v>
      </c>
      <c r="E6" s="448">
        <v>2024</v>
      </c>
      <c r="F6" s="448">
        <v>2025</v>
      </c>
      <c r="G6" s="460"/>
      <c r="H6" s="381">
        <v>2021</v>
      </c>
      <c r="I6" s="381">
        <v>2022</v>
      </c>
      <c r="J6" s="381">
        <v>2023</v>
      </c>
      <c r="K6" s="381">
        <v>2024</v>
      </c>
      <c r="L6" s="382">
        <v>2025</v>
      </c>
      <c r="M6" s="371"/>
      <c r="N6" s="402">
        <v>2021</v>
      </c>
      <c r="O6" s="381">
        <v>2022</v>
      </c>
      <c r="P6" s="381">
        <v>2023</v>
      </c>
      <c r="Q6" s="381">
        <v>2024</v>
      </c>
      <c r="R6" s="382">
        <v>2025</v>
      </c>
    </row>
    <row r="7" spans="1:21" x14ac:dyDescent="0.2">
      <c r="A7" s="377" t="s">
        <v>224</v>
      </c>
      <c r="B7" s="377" t="s">
        <v>182</v>
      </c>
      <c r="C7" s="371" t="s">
        <v>182</v>
      </c>
      <c r="D7" s="371" t="s">
        <v>182</v>
      </c>
      <c r="E7" s="371" t="s">
        <v>182</v>
      </c>
      <c r="F7" s="371" t="s">
        <v>182</v>
      </c>
      <c r="G7" s="460"/>
      <c r="L7" s="361"/>
      <c r="N7" s="284"/>
      <c r="R7" s="361"/>
    </row>
    <row r="8" spans="1:21" x14ac:dyDescent="0.2">
      <c r="A8" s="377" t="s">
        <v>302</v>
      </c>
      <c r="B8" s="377" t="s">
        <v>182</v>
      </c>
      <c r="C8" s="371" t="s">
        <v>182</v>
      </c>
      <c r="D8" s="371" t="s">
        <v>182</v>
      </c>
      <c r="E8" s="371" t="s">
        <v>182</v>
      </c>
      <c r="F8" s="371" t="s">
        <v>182</v>
      </c>
      <c r="G8" s="460"/>
      <c r="L8" s="361"/>
      <c r="N8" s="284"/>
      <c r="R8" s="361"/>
    </row>
    <row r="9" spans="1:21" x14ac:dyDescent="0.2">
      <c r="A9" s="378" t="s">
        <v>303</v>
      </c>
      <c r="B9" s="393">
        <v>16255</v>
      </c>
      <c r="C9" s="374">
        <v>614159</v>
      </c>
      <c r="D9" s="374">
        <v>755981</v>
      </c>
      <c r="E9" s="374">
        <v>890190</v>
      </c>
      <c r="F9" s="374">
        <v>398866</v>
      </c>
      <c r="G9" s="464"/>
      <c r="H9" s="177">
        <f>B9/$B$31</f>
        <v>5.1764548529065216E-2</v>
      </c>
      <c r="I9" s="177">
        <f>C9/$C$31</f>
        <v>0.5025567296118304</v>
      </c>
      <c r="J9" s="177">
        <f>D9/$D$31</f>
        <v>0.49204827401268941</v>
      </c>
      <c r="K9" s="177">
        <f>E9/$E$31</f>
        <v>0.50382000825182904</v>
      </c>
      <c r="L9" s="368">
        <f>F9/$F$31</f>
        <v>7.7909282737921415E-2</v>
      </c>
      <c r="M9" s="177"/>
      <c r="N9" s="400">
        <f>B9/$B9</f>
        <v>1</v>
      </c>
      <c r="O9" s="394">
        <f t="shared" ref="O9:R26" si="0">C9/$B9</f>
        <v>37.782774530913564</v>
      </c>
      <c r="P9" s="394">
        <f t="shared" si="0"/>
        <v>46.507597662257766</v>
      </c>
      <c r="Q9" s="394">
        <f t="shared" si="0"/>
        <v>54.76407259304829</v>
      </c>
      <c r="R9" s="395">
        <f t="shared" si="0"/>
        <v>24.538049830821286</v>
      </c>
    </row>
    <row r="10" spans="1:21" x14ac:dyDescent="0.2">
      <c r="A10" s="378" t="s">
        <v>304</v>
      </c>
      <c r="B10" s="393">
        <v>38741</v>
      </c>
      <c r="C10" s="374">
        <v>63311</v>
      </c>
      <c r="D10" s="374">
        <v>183703</v>
      </c>
      <c r="E10" s="374">
        <v>270342</v>
      </c>
      <c r="F10" s="374">
        <v>755499</v>
      </c>
      <c r="G10" s="464"/>
      <c r="H10" s="177">
        <f>B10/$B$31</f>
        <v>0.1233719086167035</v>
      </c>
      <c r="I10" s="177">
        <f>C10/$C$31</f>
        <v>5.1806403730067611E-2</v>
      </c>
      <c r="J10" s="177">
        <f>D10/$D$31</f>
        <v>0.11956748130039391</v>
      </c>
      <c r="K10" s="177">
        <f>E10/$E$31</f>
        <v>0.15300521087724639</v>
      </c>
      <c r="L10" s="368">
        <f>F10/$F$31</f>
        <v>0.14756932202598591</v>
      </c>
      <c r="M10" s="177"/>
      <c r="N10" s="400">
        <f t="shared" ref="N10:N68" si="1">B10/$B10</f>
        <v>1</v>
      </c>
      <c r="O10" s="394">
        <f t="shared" si="0"/>
        <v>1.6342118169381277</v>
      </c>
      <c r="P10" s="394">
        <f t="shared" si="0"/>
        <v>4.7418239074881905</v>
      </c>
      <c r="Q10" s="394">
        <f t="shared" si="0"/>
        <v>6.9781884824862548</v>
      </c>
      <c r="R10" s="395">
        <f t="shared" si="0"/>
        <v>19.501277716114711</v>
      </c>
    </row>
    <row r="11" spans="1:21" x14ac:dyDescent="0.2">
      <c r="A11" s="378" t="s">
        <v>305</v>
      </c>
      <c r="B11" s="393">
        <v>191222</v>
      </c>
      <c r="C11" s="374">
        <v>173289</v>
      </c>
      <c r="D11" s="374">
        <v>229275</v>
      </c>
      <c r="E11" s="374">
        <v>131165</v>
      </c>
      <c r="F11" s="374">
        <v>337698</v>
      </c>
      <c r="G11" s="464"/>
      <c r="H11" s="177">
        <f>B11/$B$31</f>
        <v>0.6089523530498252</v>
      </c>
      <c r="I11" s="177">
        <f>C11/$C$31</f>
        <v>0.14179968561513304</v>
      </c>
      <c r="J11" s="177">
        <f>D11/$D$31</f>
        <v>0.14922910499636813</v>
      </c>
      <c r="K11" s="177">
        <f>E11/$E$31</f>
        <v>7.4235333335974527E-2</v>
      </c>
      <c r="L11" s="368">
        <f>F11/$F$31</f>
        <v>6.5961523323699159E-2</v>
      </c>
      <c r="M11" s="177"/>
      <c r="N11" s="400">
        <f t="shared" si="1"/>
        <v>1</v>
      </c>
      <c r="O11" s="394">
        <f t="shared" si="0"/>
        <v>0.9062189497024401</v>
      </c>
      <c r="P11" s="394">
        <f t="shared" si="0"/>
        <v>1.1989990691447636</v>
      </c>
      <c r="Q11" s="394">
        <f t="shared" si="0"/>
        <v>0.68593048916965627</v>
      </c>
      <c r="R11" s="395">
        <f t="shared" si="0"/>
        <v>1.7659997280647624</v>
      </c>
    </row>
    <row r="12" spans="1:21" x14ac:dyDescent="0.2">
      <c r="A12" s="378"/>
      <c r="B12" s="393"/>
      <c r="C12" s="374"/>
      <c r="D12" s="374"/>
      <c r="E12" s="374"/>
      <c r="F12" s="374"/>
      <c r="G12" s="464"/>
      <c r="H12" s="177"/>
      <c r="I12" s="177"/>
      <c r="J12" s="177"/>
      <c r="K12" s="177"/>
      <c r="L12" s="368"/>
      <c r="M12" s="177"/>
      <c r="N12" s="400"/>
      <c r="O12" s="394"/>
      <c r="P12" s="394"/>
      <c r="Q12" s="394"/>
      <c r="R12" s="395"/>
    </row>
    <row r="13" spans="1:21" x14ac:dyDescent="0.2">
      <c r="A13" s="377" t="s">
        <v>306</v>
      </c>
      <c r="B13" s="396">
        <v>16143</v>
      </c>
      <c r="C13" s="380">
        <v>67212</v>
      </c>
      <c r="D13" s="380">
        <v>35945</v>
      </c>
      <c r="E13" s="380">
        <v>32883</v>
      </c>
      <c r="F13" s="380">
        <v>319091</v>
      </c>
      <c r="G13" s="463"/>
      <c r="H13" s="386">
        <f>B13/$B$31</f>
        <v>5.1407881076880942E-2</v>
      </c>
      <c r="I13" s="386">
        <f t="shared" ref="I13:I18" si="2">C13/$C$31</f>
        <v>5.4998531179499682E-2</v>
      </c>
      <c r="J13" s="386">
        <f>D13/$D$31</f>
        <v>2.3395661014478038E-2</v>
      </c>
      <c r="K13" s="386">
        <f>E13/$E$31</f>
        <v>1.8610760996354593E-2</v>
      </c>
      <c r="L13" s="387">
        <f>F13/$F$31</f>
        <v>6.2327074601811347E-2</v>
      </c>
      <c r="M13" s="389"/>
      <c r="N13" s="401">
        <f t="shared" si="1"/>
        <v>1</v>
      </c>
      <c r="O13" s="388">
        <f t="shared" si="0"/>
        <v>4.1635383757665858</v>
      </c>
      <c r="P13" s="388">
        <f t="shared" si="0"/>
        <v>2.22666171095831</v>
      </c>
      <c r="Q13" s="388">
        <f t="shared" si="0"/>
        <v>2.0369819736108532</v>
      </c>
      <c r="R13" s="397">
        <f t="shared" si="0"/>
        <v>19.766524190051417</v>
      </c>
    </row>
    <row r="14" spans="1:21" x14ac:dyDescent="0.2">
      <c r="A14" s="378" t="s">
        <v>307</v>
      </c>
      <c r="B14" s="398">
        <v>0</v>
      </c>
      <c r="C14" s="374">
        <v>38768</v>
      </c>
      <c r="D14" s="373">
        <v>0</v>
      </c>
      <c r="E14" s="376">
        <v>0</v>
      </c>
      <c r="F14" s="374">
        <v>141121</v>
      </c>
      <c r="G14" s="464"/>
      <c r="H14" s="177">
        <v>0</v>
      </c>
      <c r="I14" s="177">
        <f t="shared" si="2"/>
        <v>3.1723249669208531E-2</v>
      </c>
      <c r="J14" s="177">
        <v>0</v>
      </c>
      <c r="K14" s="177">
        <v>0</v>
      </c>
      <c r="L14" s="368">
        <f>F14/$F$31</f>
        <v>2.7564735748993919E-2</v>
      </c>
      <c r="M14" s="177"/>
      <c r="N14" s="400" t="s">
        <v>308</v>
      </c>
      <c r="O14" s="394">
        <f>C14/C14</f>
        <v>1</v>
      </c>
      <c r="P14" s="394" t="s">
        <v>308</v>
      </c>
      <c r="Q14" s="394" t="s">
        <v>308</v>
      </c>
      <c r="R14" s="395">
        <f>F14/C14</f>
        <v>3.6401413536937679</v>
      </c>
      <c r="U14" s="250"/>
    </row>
    <row r="15" spans="1:21" x14ac:dyDescent="0.2">
      <c r="A15" s="378" t="s">
        <v>309</v>
      </c>
      <c r="B15" s="393">
        <v>2588</v>
      </c>
      <c r="C15" s="374">
        <v>2979</v>
      </c>
      <c r="D15" s="374">
        <v>2318</v>
      </c>
      <c r="E15" s="373">
        <v>0</v>
      </c>
      <c r="F15" s="373">
        <v>0</v>
      </c>
      <c r="G15" s="413"/>
      <c r="H15" s="177">
        <f>B15/$B$31</f>
        <v>8.2415657701150891E-3</v>
      </c>
      <c r="I15" s="177">
        <f t="shared" si="2"/>
        <v>2.4376692314427417E-3</v>
      </c>
      <c r="J15" s="177">
        <f>D15/$D$31</f>
        <v>1.5087256150107134E-3</v>
      </c>
      <c r="K15" s="177">
        <v>0</v>
      </c>
      <c r="L15" s="368">
        <v>0</v>
      </c>
      <c r="M15" s="177"/>
      <c r="N15" s="400">
        <f t="shared" si="1"/>
        <v>1</v>
      </c>
      <c r="O15" s="394">
        <f t="shared" si="0"/>
        <v>1.1510819165378672</v>
      </c>
      <c r="P15" s="394">
        <f t="shared" si="0"/>
        <v>0.89567233384853173</v>
      </c>
      <c r="Q15" s="394" t="s">
        <v>308</v>
      </c>
      <c r="R15" s="395" t="s">
        <v>308</v>
      </c>
      <c r="U15" s="250"/>
    </row>
    <row r="16" spans="1:21" x14ac:dyDescent="0.2">
      <c r="A16" s="378" t="s">
        <v>310</v>
      </c>
      <c r="B16" s="393">
        <v>13555</v>
      </c>
      <c r="C16" s="374">
        <v>11341</v>
      </c>
      <c r="D16" s="374">
        <v>19503</v>
      </c>
      <c r="E16" s="374">
        <v>18759</v>
      </c>
      <c r="F16" s="374">
        <v>128806</v>
      </c>
      <c r="G16" s="464"/>
      <c r="H16" s="177">
        <f>B16/$B$31</f>
        <v>4.3166315306765853E-2</v>
      </c>
      <c r="I16" s="177">
        <f t="shared" si="2"/>
        <v>9.2801633950292499E-3</v>
      </c>
      <c r="J16" s="177">
        <f>D16/$D$31</f>
        <v>1.2693992954941304E-2</v>
      </c>
      <c r="K16" s="177">
        <f>E16/$E$31</f>
        <v>1.0617013822662646E-2</v>
      </c>
      <c r="L16" s="368">
        <f>F16/$F$31</f>
        <v>2.5159284251705352E-2</v>
      </c>
      <c r="M16" s="177"/>
      <c r="N16" s="400">
        <f t="shared" si="1"/>
        <v>1</v>
      </c>
      <c r="O16" s="394">
        <f t="shared" si="0"/>
        <v>0.83666543710807817</v>
      </c>
      <c r="P16" s="394">
        <f t="shared" si="0"/>
        <v>1.4388048690520103</v>
      </c>
      <c r="Q16" s="394">
        <f t="shared" si="0"/>
        <v>1.3839173736628549</v>
      </c>
      <c r="R16" s="395">
        <f t="shared" si="0"/>
        <v>9.5024714127628176</v>
      </c>
    </row>
    <row r="17" spans="1:18" x14ac:dyDescent="0.2">
      <c r="A17" s="378" t="s">
        <v>311</v>
      </c>
      <c r="B17" s="398">
        <v>0</v>
      </c>
      <c r="C17" s="374">
        <v>14124</v>
      </c>
      <c r="D17" s="374">
        <v>14124</v>
      </c>
      <c r="E17" s="374">
        <v>14124</v>
      </c>
      <c r="F17" s="374">
        <v>49164</v>
      </c>
      <c r="G17" s="464"/>
      <c r="H17" s="177">
        <v>0</v>
      </c>
      <c r="I17" s="177">
        <f t="shared" si="2"/>
        <v>1.1557448883819162E-2</v>
      </c>
      <c r="J17" s="177">
        <f>D17/$D$31</f>
        <v>9.192942444526021E-3</v>
      </c>
      <c r="K17" s="177">
        <f>E17/$E$31</f>
        <v>7.9937471736919469E-3</v>
      </c>
      <c r="L17" s="368">
        <f>F17/$F$31</f>
        <v>9.6030546011120748E-3</v>
      </c>
      <c r="M17" s="177"/>
      <c r="N17" s="400" t="s">
        <v>308</v>
      </c>
      <c r="O17" s="394">
        <f>C17/$C17</f>
        <v>1</v>
      </c>
      <c r="P17" s="394">
        <f t="shared" ref="P17:R17" si="3">D17/$C17</f>
        <v>1</v>
      </c>
      <c r="Q17" s="394">
        <f t="shared" si="3"/>
        <v>1</v>
      </c>
      <c r="R17" s="395">
        <f t="shared" si="3"/>
        <v>3.4808836023789294</v>
      </c>
    </row>
    <row r="18" spans="1:18" x14ac:dyDescent="0.2">
      <c r="A18" s="377" t="s">
        <v>96</v>
      </c>
      <c r="B18" s="396">
        <v>262361</v>
      </c>
      <c r="C18" s="380">
        <v>917971</v>
      </c>
      <c r="D18" s="380">
        <v>1204904</v>
      </c>
      <c r="E18" s="380">
        <v>1324580</v>
      </c>
      <c r="F18" s="380">
        <v>1811154</v>
      </c>
      <c r="G18" s="463"/>
      <c r="H18" s="386">
        <f>B18/$B$31</f>
        <v>0.83549669127247483</v>
      </c>
      <c r="I18" s="386">
        <f t="shared" si="2"/>
        <v>0.75116135013653074</v>
      </c>
      <c r="J18" s="386">
        <f>D18/$D$31</f>
        <v>0.78424052132392952</v>
      </c>
      <c r="K18" s="386">
        <f>E18/$E$31</f>
        <v>0.74967131346140459</v>
      </c>
      <c r="L18" s="387">
        <f>F18/$F$31</f>
        <v>0.3537672026894178</v>
      </c>
      <c r="M18" s="389"/>
      <c r="N18" s="401">
        <f t="shared" si="1"/>
        <v>1</v>
      </c>
      <c r="O18" s="388">
        <f t="shared" si="0"/>
        <v>3.4988851239322916</v>
      </c>
      <c r="P18" s="388">
        <f t="shared" si="0"/>
        <v>4.5925423367040068</v>
      </c>
      <c r="Q18" s="388">
        <f t="shared" si="0"/>
        <v>5.0486924504785389</v>
      </c>
      <c r="R18" s="397">
        <f t="shared" si="0"/>
        <v>6.9032897419967147</v>
      </c>
    </row>
    <row r="19" spans="1:18" x14ac:dyDescent="0.2">
      <c r="A19" s="377"/>
      <c r="B19" s="420"/>
      <c r="C19" s="375"/>
      <c r="D19" s="375"/>
      <c r="E19" s="375"/>
      <c r="F19" s="375"/>
      <c r="G19" s="463"/>
      <c r="H19" s="389"/>
      <c r="I19" s="389"/>
      <c r="J19" s="389"/>
      <c r="K19" s="389"/>
      <c r="L19" s="390"/>
      <c r="M19" s="389"/>
      <c r="N19" s="450"/>
      <c r="O19" s="451"/>
      <c r="P19" s="451"/>
      <c r="Q19" s="451"/>
      <c r="R19" s="452"/>
    </row>
    <row r="20" spans="1:18" x14ac:dyDescent="0.2">
      <c r="A20" s="377" t="s">
        <v>312</v>
      </c>
      <c r="B20" s="377" t="s">
        <v>182</v>
      </c>
      <c r="C20" s="371" t="s">
        <v>182</v>
      </c>
      <c r="D20" s="371" t="s">
        <v>182</v>
      </c>
      <c r="E20" s="371" t="s">
        <v>182</v>
      </c>
      <c r="F20" s="371" t="s">
        <v>182</v>
      </c>
      <c r="G20" s="460"/>
      <c r="H20" s="177"/>
      <c r="I20" s="177"/>
      <c r="J20" s="177"/>
      <c r="K20" s="177"/>
      <c r="L20" s="368"/>
      <c r="M20" s="177"/>
      <c r="N20" s="400"/>
      <c r="O20" s="394"/>
      <c r="P20" s="394"/>
      <c r="Q20" s="394"/>
      <c r="R20" s="395"/>
    </row>
    <row r="21" spans="1:18" x14ac:dyDescent="0.2">
      <c r="A21" s="378" t="s">
        <v>313</v>
      </c>
      <c r="B21" s="393">
        <v>3180</v>
      </c>
      <c r="C21" s="374">
        <v>10185</v>
      </c>
      <c r="D21" s="374">
        <v>24868</v>
      </c>
      <c r="E21" s="374">
        <v>55602</v>
      </c>
      <c r="F21" s="374">
        <v>87910</v>
      </c>
      <c r="G21" s="464"/>
      <c r="H21" s="177">
        <f>B21/$B$31</f>
        <v>1.0126808017374801E-2</v>
      </c>
      <c r="I21" s="177">
        <f>C21/$C$31</f>
        <v>8.3342266271380742E-3</v>
      </c>
      <c r="J21" s="177">
        <f>D21/$D$31</f>
        <v>1.6185931231271104E-2</v>
      </c>
      <c r="K21" s="177">
        <f>E21/$E$31</f>
        <v>3.1469012344351434E-2</v>
      </c>
      <c r="L21" s="368">
        <f>F21/$F$31</f>
        <v>1.7171192945727817E-2</v>
      </c>
      <c r="M21" s="177"/>
      <c r="N21" s="400">
        <f t="shared" si="1"/>
        <v>1</v>
      </c>
      <c r="O21" s="394">
        <f t="shared" si="0"/>
        <v>3.2028301886792452</v>
      </c>
      <c r="P21" s="394">
        <f t="shared" si="0"/>
        <v>7.8201257861635218</v>
      </c>
      <c r="Q21" s="394">
        <f t="shared" si="0"/>
        <v>17.484905660377358</v>
      </c>
      <c r="R21" s="395">
        <f t="shared" si="0"/>
        <v>27.644654088050313</v>
      </c>
    </row>
    <row r="22" spans="1:18" x14ac:dyDescent="0.2">
      <c r="A22" s="378" t="s">
        <v>314</v>
      </c>
      <c r="B22" s="393">
        <v>14527</v>
      </c>
      <c r="C22" s="374">
        <v>13679</v>
      </c>
      <c r="D22" s="374">
        <v>14173</v>
      </c>
      <c r="E22" s="374">
        <v>71582</v>
      </c>
      <c r="F22" s="374">
        <v>917560</v>
      </c>
      <c r="G22" s="464"/>
      <c r="H22" s="177">
        <f>B22/$B$31</f>
        <v>4.6261679266793622E-2</v>
      </c>
      <c r="I22" s="177">
        <f>C22/$C$31</f>
        <v>1.1193312325245137E-2</v>
      </c>
      <c r="J22" s="177">
        <f>D22/$D$31</f>
        <v>9.2248352638252124E-3</v>
      </c>
      <c r="K22" s="177">
        <f>E22/$E$31</f>
        <v>4.0513198115775764E-2</v>
      </c>
      <c r="L22" s="368">
        <f>F22/$F$31</f>
        <v>0.17922420429168487</v>
      </c>
      <c r="M22" s="177"/>
      <c r="N22" s="400">
        <f t="shared" si="1"/>
        <v>1</v>
      </c>
      <c r="O22" s="394">
        <f t="shared" si="0"/>
        <v>0.94162593790872173</v>
      </c>
      <c r="P22" s="394">
        <f t="shared" si="0"/>
        <v>0.97563158257038618</v>
      </c>
      <c r="Q22" s="394">
        <f t="shared" si="0"/>
        <v>4.927514283747505</v>
      </c>
      <c r="R22" s="395">
        <f t="shared" si="0"/>
        <v>63.162387278860052</v>
      </c>
    </row>
    <row r="23" spans="1:18" x14ac:dyDescent="0.2">
      <c r="A23" s="378" t="s">
        <v>315</v>
      </c>
      <c r="B23" s="393">
        <v>9019</v>
      </c>
      <c r="C23" s="373">
        <v>501</v>
      </c>
      <c r="D23" s="374">
        <v>29518</v>
      </c>
      <c r="E23" s="374">
        <v>38699</v>
      </c>
      <c r="F23" s="374">
        <v>96013</v>
      </c>
      <c r="G23" s="464"/>
      <c r="H23" s="177">
        <f>B23/$B$31</f>
        <v>2.872128349330293E-2</v>
      </c>
      <c r="I23" s="177">
        <f>C23/$C$31</f>
        <v>4.0996048504626169E-4</v>
      </c>
      <c r="J23" s="177">
        <f>D23/$D$31</f>
        <v>1.9212494695378016E-2</v>
      </c>
      <c r="K23" s="177">
        <f>E23/$E$31</f>
        <v>2.1902437119421171E-2</v>
      </c>
      <c r="L23" s="368">
        <f>F23/$F$31</f>
        <v>1.8753927292664826E-2</v>
      </c>
      <c r="M23" s="177"/>
      <c r="N23" s="400">
        <f t="shared" si="1"/>
        <v>1</v>
      </c>
      <c r="O23" s="394">
        <f t="shared" si="0"/>
        <v>5.5549395720146361E-2</v>
      </c>
      <c r="P23" s="394">
        <f t="shared" si="0"/>
        <v>3.2728683889566472</v>
      </c>
      <c r="Q23" s="394">
        <f t="shared" si="0"/>
        <v>4.290830469009868</v>
      </c>
      <c r="R23" s="395">
        <f t="shared" si="0"/>
        <v>10.645636988579666</v>
      </c>
    </row>
    <row r="24" spans="1:18" x14ac:dyDescent="0.2">
      <c r="A24" s="378"/>
      <c r="B24" s="393"/>
      <c r="C24" s="373"/>
      <c r="D24" s="374"/>
      <c r="E24" s="374"/>
      <c r="F24" s="374"/>
      <c r="G24" s="464"/>
      <c r="H24" s="177"/>
      <c r="I24" s="177"/>
      <c r="J24" s="177"/>
      <c r="K24" s="177"/>
      <c r="L24" s="368"/>
      <c r="M24" s="177"/>
      <c r="N24" s="400"/>
      <c r="O24" s="394"/>
      <c r="P24" s="394"/>
      <c r="Q24" s="394"/>
      <c r="R24" s="395"/>
    </row>
    <row r="25" spans="1:18" x14ac:dyDescent="0.2">
      <c r="A25" s="377" t="s">
        <v>316</v>
      </c>
      <c r="B25" s="396">
        <v>24931</v>
      </c>
      <c r="C25" s="380">
        <v>279733</v>
      </c>
      <c r="D25" s="380">
        <v>262933</v>
      </c>
      <c r="E25" s="380">
        <v>276418</v>
      </c>
      <c r="F25" s="380">
        <v>815069</v>
      </c>
      <c r="G25" s="463"/>
      <c r="H25" s="386">
        <f>B25/$B$31</f>
        <v>7.9393537950053814E-2</v>
      </c>
      <c r="I25" s="386">
        <f>C25/$C$31</f>
        <v>0.22890115042603978</v>
      </c>
      <c r="J25" s="386">
        <f>D25/$D$31</f>
        <v>0.17113621748559615</v>
      </c>
      <c r="K25" s="386">
        <f>E25/$E$31</f>
        <v>0.15644403895904704</v>
      </c>
      <c r="L25" s="387">
        <f>F25/$F$31</f>
        <v>0.15920494896008905</v>
      </c>
      <c r="M25" s="389"/>
      <c r="N25" s="401">
        <f t="shared" si="1"/>
        <v>1</v>
      </c>
      <c r="O25" s="388">
        <f t="shared" si="0"/>
        <v>11.22028799486583</v>
      </c>
      <c r="P25" s="388">
        <f t="shared" si="0"/>
        <v>10.546428141671012</v>
      </c>
      <c r="Q25" s="388">
        <f t="shared" si="0"/>
        <v>11.087321005976495</v>
      </c>
      <c r="R25" s="397">
        <f t="shared" si="0"/>
        <v>32.692992659740888</v>
      </c>
    </row>
    <row r="26" spans="1:18" x14ac:dyDescent="0.2">
      <c r="A26" s="378" t="s">
        <v>317</v>
      </c>
      <c r="B26" s="393">
        <v>7117</v>
      </c>
      <c r="C26" s="374">
        <v>3574</v>
      </c>
      <c r="D26" s="373">
        <v>0</v>
      </c>
      <c r="E26" s="373">
        <v>0</v>
      </c>
      <c r="F26" s="373">
        <v>0</v>
      </c>
      <c r="G26" s="413"/>
      <c r="H26" s="177">
        <f>B26/$B$31</f>
        <v>2.2664305867816495E-2</v>
      </c>
      <c r="I26" s="177">
        <f>C26/$C$31</f>
        <v>2.9245484502102583E-3</v>
      </c>
      <c r="J26" s="177">
        <v>0</v>
      </c>
      <c r="K26" s="177">
        <v>0</v>
      </c>
      <c r="L26" s="368">
        <v>0</v>
      </c>
      <c r="M26" s="177"/>
      <c r="N26" s="400">
        <f t="shared" si="1"/>
        <v>1</v>
      </c>
      <c r="O26" s="394">
        <f t="shared" si="0"/>
        <v>0.50217788393986229</v>
      </c>
      <c r="P26" s="394" t="s">
        <v>308</v>
      </c>
      <c r="Q26" s="394" t="s">
        <v>308</v>
      </c>
      <c r="R26" s="395" t="s">
        <v>308</v>
      </c>
    </row>
    <row r="27" spans="1:18" x14ac:dyDescent="0.2">
      <c r="A27" s="378" t="s">
        <v>318</v>
      </c>
      <c r="B27" s="398">
        <v>0</v>
      </c>
      <c r="C27" s="374">
        <v>262462</v>
      </c>
      <c r="D27" s="374">
        <v>248338</v>
      </c>
      <c r="E27" s="374">
        <v>234215</v>
      </c>
      <c r="F27" s="374">
        <v>771635</v>
      </c>
      <c r="G27" s="464"/>
      <c r="H27" s="177">
        <v>0</v>
      </c>
      <c r="I27" s="177">
        <f>C27/$C$31</f>
        <v>0.21476856053136115</v>
      </c>
      <c r="J27" s="177">
        <f>D27/$D$31</f>
        <v>0.16163671345147995</v>
      </c>
      <c r="K27" s="177">
        <f>E27/$E$31</f>
        <v>0.13255844621114835</v>
      </c>
      <c r="L27" s="368">
        <f>F27/$F$31</f>
        <v>0.15072111783274583</v>
      </c>
      <c r="M27" s="177"/>
      <c r="N27" s="400" t="s">
        <v>308</v>
      </c>
      <c r="O27" s="394">
        <f>C27/$C27</f>
        <v>1</v>
      </c>
      <c r="P27" s="394">
        <f t="shared" ref="P27:R27" si="4">D27/$C27</f>
        <v>0.94618649556888235</v>
      </c>
      <c r="Q27" s="394">
        <f t="shared" si="4"/>
        <v>0.89237680121312801</v>
      </c>
      <c r="R27" s="395">
        <f t="shared" si="4"/>
        <v>2.9399875029528082</v>
      </c>
    </row>
    <row r="28" spans="1:18" x14ac:dyDescent="0.2">
      <c r="A28" s="378" t="s">
        <v>319</v>
      </c>
      <c r="B28" s="393">
        <v>16301</v>
      </c>
      <c r="C28" s="374">
        <v>12254</v>
      </c>
      <c r="D28" s="374">
        <v>12139</v>
      </c>
      <c r="E28" s="374">
        <v>12213</v>
      </c>
      <c r="F28" s="373">
        <v>0</v>
      </c>
      <c r="G28" s="413"/>
      <c r="H28" s="177">
        <f>B28/$B$31</f>
        <v>5.1911036946926607E-2</v>
      </c>
      <c r="I28" s="177">
        <f>C28/$C$31</f>
        <v>1.0027257053406968E-2</v>
      </c>
      <c r="J28" s="177">
        <f>D28/$D$31</f>
        <v>7.9009578259771566E-3</v>
      </c>
      <c r="K28" s="177">
        <f>E28/$E$31</f>
        <v>6.9121802769965832E-3</v>
      </c>
      <c r="L28" s="368">
        <v>0</v>
      </c>
      <c r="M28" s="177"/>
      <c r="N28" s="400">
        <f t="shared" si="1"/>
        <v>1</v>
      </c>
      <c r="O28" s="394">
        <f t="shared" ref="O28:O68" si="5">C28/$B28</f>
        <v>0.75173302251395624</v>
      </c>
      <c r="P28" s="394">
        <f t="shared" ref="P28:P68" si="6">D28/$B28</f>
        <v>0.74467824059873622</v>
      </c>
      <c r="Q28" s="394">
        <f t="shared" ref="Q28:R68" si="7">E28/$B28</f>
        <v>0.749217839396356</v>
      </c>
      <c r="R28" s="394">
        <f t="shared" si="7"/>
        <v>0</v>
      </c>
    </row>
    <row r="29" spans="1:18" x14ac:dyDescent="0.2">
      <c r="A29" s="378" t="s">
        <v>320</v>
      </c>
      <c r="B29" s="393">
        <v>1513</v>
      </c>
      <c r="C29" s="374">
        <v>1443</v>
      </c>
      <c r="D29" s="374">
        <v>2456</v>
      </c>
      <c r="E29" s="374">
        <v>29990</v>
      </c>
      <c r="F29" s="374">
        <v>43434</v>
      </c>
      <c r="G29" s="464"/>
      <c r="H29" s="177">
        <f>B29/$B$31</f>
        <v>4.8181951353107148E-3</v>
      </c>
      <c r="I29" s="177">
        <f>C29/$C$31</f>
        <v>1.1807843910613886E-3</v>
      </c>
      <c r="J29" s="177">
        <f>D29/$D$31</f>
        <v>1.5985462081390474E-3</v>
      </c>
      <c r="K29" s="177">
        <f>E29/$E$31</f>
        <v>1.6973412470902116E-2</v>
      </c>
      <c r="L29" s="368">
        <f>F29/$F$31</f>
        <v>8.4838311273432148E-3</v>
      </c>
      <c r="M29" s="177"/>
      <c r="N29" s="400">
        <f t="shared" si="1"/>
        <v>1</v>
      </c>
      <c r="O29" s="394">
        <f t="shared" si="5"/>
        <v>0.95373430270984794</v>
      </c>
      <c r="P29" s="394">
        <f t="shared" si="6"/>
        <v>1.6232650363516192</v>
      </c>
      <c r="Q29" s="394">
        <f t="shared" si="7"/>
        <v>19.821546596166556</v>
      </c>
      <c r="R29" s="395">
        <f t="shared" ref="R29:R68" si="8">F29/$B29</f>
        <v>28.70720423000661</v>
      </c>
    </row>
    <row r="30" spans="1:18" x14ac:dyDescent="0.2">
      <c r="A30" s="378"/>
      <c r="B30" s="393"/>
      <c r="C30" s="374"/>
      <c r="D30" s="374"/>
      <c r="E30" s="374"/>
      <c r="F30" s="374"/>
      <c r="G30" s="464"/>
      <c r="H30" s="177"/>
      <c r="I30" s="177"/>
      <c r="J30" s="177"/>
      <c r="K30" s="177"/>
      <c r="L30" s="368"/>
      <c r="M30" s="177"/>
      <c r="N30" s="400"/>
      <c r="O30" s="394"/>
      <c r="P30" s="394"/>
      <c r="Q30" s="394"/>
      <c r="R30" s="395"/>
    </row>
    <row r="31" spans="1:18" x14ac:dyDescent="0.2">
      <c r="A31" s="410" t="s">
        <v>54</v>
      </c>
      <c r="B31" s="396">
        <v>314018</v>
      </c>
      <c r="C31" s="380">
        <v>1222069</v>
      </c>
      <c r="D31" s="380">
        <v>1536396</v>
      </c>
      <c r="E31" s="380">
        <v>1766881</v>
      </c>
      <c r="F31" s="380">
        <v>5119621</v>
      </c>
      <c r="G31" s="463"/>
      <c r="H31" s="386">
        <f>B31/$B$31</f>
        <v>1</v>
      </c>
      <c r="I31" s="386">
        <f>C31/$C$31</f>
        <v>1</v>
      </c>
      <c r="J31" s="386">
        <f>D31/$D$31</f>
        <v>1</v>
      </c>
      <c r="K31" s="386">
        <f>E31/$E$31</f>
        <v>1</v>
      </c>
      <c r="L31" s="387">
        <f>F31/$F$31</f>
        <v>1</v>
      </c>
      <c r="M31" s="389"/>
      <c r="N31" s="401">
        <f t="shared" si="1"/>
        <v>1</v>
      </c>
      <c r="O31" s="388">
        <f t="shared" si="5"/>
        <v>3.8917163984230205</v>
      </c>
      <c r="P31" s="388">
        <f t="shared" si="6"/>
        <v>4.8927004184473502</v>
      </c>
      <c r="Q31" s="388">
        <f t="shared" si="7"/>
        <v>5.6266870052035234</v>
      </c>
      <c r="R31" s="397">
        <f t="shared" si="8"/>
        <v>16.303590876956097</v>
      </c>
    </row>
    <row r="32" spans="1:18" x14ac:dyDescent="0.2">
      <c r="A32" s="373" t="s">
        <v>182</v>
      </c>
      <c r="B32" s="373" t="s">
        <v>182</v>
      </c>
      <c r="C32" s="373" t="s">
        <v>182</v>
      </c>
      <c r="D32" s="373" t="s">
        <v>182</v>
      </c>
      <c r="E32" s="373" t="s">
        <v>182</v>
      </c>
      <c r="F32" s="373" t="s">
        <v>182</v>
      </c>
      <c r="G32" s="413"/>
      <c r="H32" s="177"/>
      <c r="I32" s="177"/>
      <c r="J32" s="177"/>
      <c r="K32" s="177"/>
      <c r="L32" s="368"/>
      <c r="M32" s="177"/>
      <c r="N32" s="400"/>
      <c r="O32" s="394"/>
      <c r="P32" s="394"/>
      <c r="Q32" s="394"/>
      <c r="R32" s="395"/>
    </row>
    <row r="33" spans="1:18" x14ac:dyDescent="0.2">
      <c r="A33" s="411" t="s">
        <v>321</v>
      </c>
      <c r="B33" s="370" t="s">
        <v>182</v>
      </c>
      <c r="C33" s="370" t="s">
        <v>182</v>
      </c>
      <c r="D33" s="370" t="s">
        <v>182</v>
      </c>
      <c r="E33" s="370" t="s">
        <v>182</v>
      </c>
      <c r="F33" s="370" t="s">
        <v>182</v>
      </c>
      <c r="G33" s="413"/>
      <c r="H33" s="403"/>
      <c r="I33" s="403"/>
      <c r="J33" s="403"/>
      <c r="K33" s="403"/>
      <c r="L33" s="407"/>
      <c r="M33" s="177"/>
      <c r="N33" s="404"/>
      <c r="O33" s="405"/>
      <c r="P33" s="405"/>
      <c r="Q33" s="405"/>
      <c r="R33" s="406"/>
    </row>
    <row r="34" spans="1:18" x14ac:dyDescent="0.2">
      <c r="A34" s="412"/>
      <c r="B34" s="373"/>
      <c r="C34" s="373"/>
      <c r="D34" s="373"/>
      <c r="E34" s="373"/>
      <c r="F34" s="373"/>
      <c r="G34" s="413"/>
      <c r="H34" s="177"/>
      <c r="I34" s="177"/>
      <c r="J34" s="177"/>
      <c r="K34" s="177"/>
      <c r="L34" s="368"/>
      <c r="M34" s="177"/>
      <c r="N34" s="400"/>
      <c r="O34" s="394"/>
      <c r="P34" s="394"/>
      <c r="Q34" s="394"/>
      <c r="R34" s="395"/>
    </row>
    <row r="35" spans="1:18" x14ac:dyDescent="0.2">
      <c r="A35" s="412" t="s">
        <v>322</v>
      </c>
      <c r="B35" s="373" t="s">
        <v>182</v>
      </c>
      <c r="C35" s="373" t="s">
        <v>182</v>
      </c>
      <c r="D35" s="373" t="s">
        <v>182</v>
      </c>
      <c r="E35" s="373" t="s">
        <v>182</v>
      </c>
      <c r="F35" s="373" t="s">
        <v>182</v>
      </c>
      <c r="G35" s="413"/>
      <c r="H35" s="177"/>
      <c r="I35" s="177"/>
      <c r="J35" s="177"/>
      <c r="K35" s="177"/>
      <c r="L35" s="368"/>
      <c r="M35" s="177"/>
      <c r="N35" s="400"/>
      <c r="O35" s="394"/>
      <c r="P35" s="394"/>
      <c r="Q35" s="394"/>
      <c r="R35" s="395"/>
    </row>
    <row r="36" spans="1:18" x14ac:dyDescent="0.2">
      <c r="A36" s="413" t="s">
        <v>323</v>
      </c>
      <c r="B36" s="373">
        <v>72442</v>
      </c>
      <c r="C36" s="373">
        <v>107340</v>
      </c>
      <c r="D36" s="373">
        <v>104960</v>
      </c>
      <c r="E36" s="373">
        <v>190067</v>
      </c>
      <c r="F36" s="373">
        <v>368651</v>
      </c>
      <c r="G36" s="413"/>
      <c r="H36" s="177">
        <f>B36/$B$31</f>
        <v>0.23069378188511486</v>
      </c>
      <c r="I36" s="177">
        <f>C36/$C$31</f>
        <v>8.783464763446254E-2</v>
      </c>
      <c r="J36" s="177">
        <f>D36/$D$31</f>
        <v>6.831572068659382E-2</v>
      </c>
      <c r="K36" s="177">
        <f>E36/$E$31</f>
        <v>0.10757204361810445</v>
      </c>
      <c r="L36" s="368">
        <f>F36/$F$31</f>
        <v>7.2007478678597497E-2</v>
      </c>
      <c r="M36" s="177"/>
      <c r="N36" s="400">
        <f t="shared" si="1"/>
        <v>1</v>
      </c>
      <c r="O36" s="394">
        <f t="shared" si="5"/>
        <v>1.4817371138289943</v>
      </c>
      <c r="P36" s="394">
        <f t="shared" si="6"/>
        <v>1.4488832445266557</v>
      </c>
      <c r="Q36" s="394">
        <f t="shared" si="7"/>
        <v>2.6237127633140997</v>
      </c>
      <c r="R36" s="395">
        <f t="shared" si="8"/>
        <v>5.0889125093177991</v>
      </c>
    </row>
    <row r="37" spans="1:18" x14ac:dyDescent="0.2">
      <c r="A37" s="413" t="s">
        <v>324</v>
      </c>
      <c r="B37" s="373">
        <v>0</v>
      </c>
      <c r="C37" s="373">
        <v>0</v>
      </c>
      <c r="D37" s="373">
        <v>50424</v>
      </c>
      <c r="E37" s="373">
        <v>10834</v>
      </c>
      <c r="F37" s="373">
        <v>49612</v>
      </c>
      <c r="G37" s="413"/>
      <c r="H37" s="177">
        <v>0</v>
      </c>
      <c r="I37" s="177">
        <v>0</v>
      </c>
      <c r="J37" s="177">
        <f>D37/$D$31</f>
        <v>3.2819663680457384E-2</v>
      </c>
      <c r="K37" s="177">
        <f>E37/$E$31</f>
        <v>6.1317089266339948E-3</v>
      </c>
      <c r="L37" s="368">
        <f>F37/$F$31</f>
        <v>9.6905610786423447E-3</v>
      </c>
      <c r="M37" s="177"/>
      <c r="N37" s="400" t="s">
        <v>308</v>
      </c>
      <c r="O37" s="394" t="s">
        <v>308</v>
      </c>
      <c r="P37" s="394">
        <f>D37/$D37</f>
        <v>1</v>
      </c>
      <c r="Q37" s="394">
        <f t="shared" ref="Q37:R37" si="9">E37/$D37</f>
        <v>0.21485800412501982</v>
      </c>
      <c r="R37" s="395">
        <f t="shared" si="9"/>
        <v>0.98389655719498648</v>
      </c>
    </row>
    <row r="38" spans="1:18" x14ac:dyDescent="0.2">
      <c r="A38" s="413" t="s">
        <v>325</v>
      </c>
      <c r="B38" s="373">
        <v>20682</v>
      </c>
      <c r="C38" s="373">
        <v>53955</v>
      </c>
      <c r="D38" s="373">
        <v>121229</v>
      </c>
      <c r="E38" s="373">
        <v>164634</v>
      </c>
      <c r="F38" s="373">
        <v>660463</v>
      </c>
      <c r="G38" s="413"/>
      <c r="H38" s="177">
        <f>B38/$B$31</f>
        <v>6.586246648281309E-2</v>
      </c>
      <c r="I38" s="177">
        <f t="shared" ref="I38:I43" si="10">C38/$C$31</f>
        <v>4.4150534871598902E-2</v>
      </c>
      <c r="J38" s="177">
        <f>D38/$D$31</f>
        <v>7.8904787567788515E-2</v>
      </c>
      <c r="K38" s="177">
        <f>E38/$E$31</f>
        <v>9.3177752208552816E-2</v>
      </c>
      <c r="L38" s="368">
        <f>F38/$F$31</f>
        <v>0.12900622917204221</v>
      </c>
      <c r="M38" s="177"/>
      <c r="N38" s="400">
        <f t="shared" si="1"/>
        <v>1</v>
      </c>
      <c r="O38" s="394">
        <f t="shared" si="5"/>
        <v>2.6087902523933857</v>
      </c>
      <c r="P38" s="394">
        <f t="shared" si="6"/>
        <v>5.861570447732328</v>
      </c>
      <c r="Q38" s="394">
        <f t="shared" si="7"/>
        <v>7.9602552944589497</v>
      </c>
      <c r="R38" s="395">
        <f t="shared" si="8"/>
        <v>31.934193985107822</v>
      </c>
    </row>
    <row r="39" spans="1:18" x14ac:dyDescent="0.2">
      <c r="A39" s="413" t="s">
        <v>326</v>
      </c>
      <c r="B39" s="373">
        <v>0</v>
      </c>
      <c r="C39" s="373">
        <v>3986</v>
      </c>
      <c r="D39" s="373">
        <v>0</v>
      </c>
      <c r="E39" s="373">
        <v>0</v>
      </c>
      <c r="F39" s="373">
        <v>264088</v>
      </c>
      <c r="G39" s="413"/>
      <c r="H39" s="177">
        <v>0</v>
      </c>
      <c r="I39" s="177">
        <f t="shared" si="10"/>
        <v>3.261681623541715E-3</v>
      </c>
      <c r="J39" s="177">
        <v>0</v>
      </c>
      <c r="K39" s="177">
        <v>0</v>
      </c>
      <c r="L39" s="368">
        <f>F39/$F$31</f>
        <v>5.1583505888424162E-2</v>
      </c>
      <c r="M39" s="177"/>
      <c r="N39" s="400" t="s">
        <v>308</v>
      </c>
      <c r="O39" s="394" t="s">
        <v>308</v>
      </c>
      <c r="P39" s="394" t="s">
        <v>308</v>
      </c>
      <c r="Q39" s="394" t="s">
        <v>308</v>
      </c>
      <c r="R39" s="395">
        <f>F39/$F39</f>
        <v>1</v>
      </c>
    </row>
    <row r="40" spans="1:18" x14ac:dyDescent="0.2">
      <c r="A40" s="413" t="s">
        <v>327</v>
      </c>
      <c r="B40" s="373">
        <v>19037</v>
      </c>
      <c r="C40" s="373">
        <v>35977</v>
      </c>
      <c r="D40" s="373">
        <v>99787</v>
      </c>
      <c r="E40" s="373">
        <v>135948</v>
      </c>
      <c r="F40" s="373">
        <v>307922</v>
      </c>
      <c r="G40" s="413"/>
      <c r="H40" s="177">
        <f>B40/$B$31</f>
        <v>6.0623913278856627E-2</v>
      </c>
      <c r="I40" s="177">
        <f t="shared" si="10"/>
        <v>2.94394179052083E-2</v>
      </c>
      <c r="J40" s="177">
        <f>D40/$D$31</f>
        <v>6.4948750192007784E-2</v>
      </c>
      <c r="K40" s="177">
        <f>E40/$E$31</f>
        <v>7.6942363407609224E-2</v>
      </c>
      <c r="L40" s="368">
        <f>F40/$F$31</f>
        <v>6.0145467799276549E-2</v>
      </c>
      <c r="M40" s="177"/>
      <c r="N40" s="400">
        <f t="shared" si="1"/>
        <v>1</v>
      </c>
      <c r="O40" s="394">
        <f t="shared" si="5"/>
        <v>1.889846089194726</v>
      </c>
      <c r="P40" s="394">
        <f t="shared" si="6"/>
        <v>5.2417397699217316</v>
      </c>
      <c r="Q40" s="394">
        <f t="shared" si="7"/>
        <v>7.141251247570521</v>
      </c>
      <c r="R40" s="395">
        <f t="shared" si="8"/>
        <v>16.174922519304513</v>
      </c>
    </row>
    <row r="41" spans="1:18" x14ac:dyDescent="0.2">
      <c r="A41" s="413" t="s">
        <v>328</v>
      </c>
      <c r="B41" s="373">
        <v>512</v>
      </c>
      <c r="C41" s="373">
        <v>661</v>
      </c>
      <c r="D41" s="373">
        <v>980</v>
      </c>
      <c r="E41" s="373">
        <v>3265</v>
      </c>
      <c r="F41" s="373">
        <v>0</v>
      </c>
      <c r="G41" s="413"/>
      <c r="H41" s="177">
        <f>B41/$B$31</f>
        <v>1.6304797814138043E-3</v>
      </c>
      <c r="I41" s="177">
        <f t="shared" si="10"/>
        <v>5.4088598925265262E-4</v>
      </c>
      <c r="J41" s="177">
        <f>D41/$D$31</f>
        <v>6.3785638598382185E-4</v>
      </c>
      <c r="K41" s="177">
        <f>E41/$E$31</f>
        <v>1.847889020256599E-3</v>
      </c>
      <c r="L41" s="368">
        <v>0</v>
      </c>
      <c r="M41" s="177"/>
      <c r="N41" s="400">
        <f t="shared" si="1"/>
        <v>1</v>
      </c>
      <c r="O41" s="394">
        <f t="shared" si="5"/>
        <v>1.291015625</v>
      </c>
      <c r="P41" s="394">
        <f t="shared" si="6"/>
        <v>1.9140625</v>
      </c>
      <c r="Q41" s="394">
        <f t="shared" si="7"/>
        <v>6.376953125</v>
      </c>
      <c r="R41" s="395">
        <f t="shared" si="8"/>
        <v>0</v>
      </c>
    </row>
    <row r="42" spans="1:18" x14ac:dyDescent="0.2">
      <c r="A42" s="413" t="s">
        <v>329</v>
      </c>
      <c r="B42" s="373">
        <v>157</v>
      </c>
      <c r="C42" s="373">
        <v>70</v>
      </c>
      <c r="D42" s="373">
        <v>59</v>
      </c>
      <c r="E42" s="373">
        <v>100</v>
      </c>
      <c r="F42" s="373">
        <v>0</v>
      </c>
      <c r="G42" s="413"/>
      <c r="H42" s="177">
        <f>B42/$B$31</f>
        <v>4.9997133922259239E-4</v>
      </c>
      <c r="I42" s="177">
        <f t="shared" si="10"/>
        <v>5.7279908090296045E-5</v>
      </c>
      <c r="J42" s="177">
        <f>D42/$D$31</f>
        <v>3.8401557931679075E-5</v>
      </c>
      <c r="K42" s="177">
        <f>E42/$E$31</f>
        <v>5.659690720540885E-5</v>
      </c>
      <c r="L42" s="368">
        <v>0</v>
      </c>
      <c r="M42" s="177"/>
      <c r="N42" s="400">
        <f t="shared" si="1"/>
        <v>1</v>
      </c>
      <c r="O42" s="394">
        <f t="shared" si="5"/>
        <v>0.44585987261146498</v>
      </c>
      <c r="P42" s="394">
        <f t="shared" si="6"/>
        <v>0.37579617834394907</v>
      </c>
      <c r="Q42" s="394">
        <f t="shared" si="7"/>
        <v>0.63694267515923564</v>
      </c>
      <c r="R42" s="395">
        <f t="shared" si="8"/>
        <v>0</v>
      </c>
    </row>
    <row r="43" spans="1:18" x14ac:dyDescent="0.2">
      <c r="A43" s="413" t="s">
        <v>330</v>
      </c>
      <c r="B43" s="373">
        <v>0</v>
      </c>
      <c r="C43" s="373">
        <v>9675</v>
      </c>
      <c r="D43" s="373">
        <v>9513</v>
      </c>
      <c r="E43" s="373">
        <v>9513</v>
      </c>
      <c r="F43" s="373">
        <v>26988</v>
      </c>
      <c r="G43" s="413"/>
      <c r="H43" s="177">
        <v>0</v>
      </c>
      <c r="I43" s="177">
        <f t="shared" si="10"/>
        <v>7.9169015824802035E-3</v>
      </c>
      <c r="J43" s="177">
        <f>D43/$D$31</f>
        <v>6.1917630610858138E-3</v>
      </c>
      <c r="K43" s="177">
        <f>E43/$E$31</f>
        <v>5.3840637824505442E-3</v>
      </c>
      <c r="L43" s="368">
        <f>F43/$F$31</f>
        <v>5.2714839633636939E-3</v>
      </c>
      <c r="M43" s="177"/>
      <c r="N43" s="400" t="s">
        <v>308</v>
      </c>
      <c r="O43" s="394">
        <f>C43/$C43</f>
        <v>1</v>
      </c>
      <c r="P43" s="394">
        <f t="shared" ref="P43:R43" si="11">D43/$C43</f>
        <v>0.98325581395348838</v>
      </c>
      <c r="Q43" s="394">
        <f t="shared" si="11"/>
        <v>0.98325581395348838</v>
      </c>
      <c r="R43" s="395">
        <f t="shared" si="11"/>
        <v>2.7894573643410854</v>
      </c>
    </row>
    <row r="44" spans="1:18" x14ac:dyDescent="0.2">
      <c r="A44" s="413" t="s">
        <v>331</v>
      </c>
      <c r="B44" s="373">
        <v>0</v>
      </c>
      <c r="C44" s="373">
        <v>0</v>
      </c>
      <c r="D44" s="373">
        <v>0</v>
      </c>
      <c r="E44" s="373">
        <v>0</v>
      </c>
      <c r="F44" s="373">
        <v>25000</v>
      </c>
      <c r="G44" s="413"/>
      <c r="H44" s="177">
        <v>0</v>
      </c>
      <c r="I44" s="177">
        <v>0</v>
      </c>
      <c r="J44" s="177">
        <v>0</v>
      </c>
      <c r="K44" s="177">
        <v>0</v>
      </c>
      <c r="L44" s="368">
        <f>F44/$F$31</f>
        <v>4.8831739693231202E-3</v>
      </c>
      <c r="M44" s="177"/>
      <c r="N44" s="400" t="s">
        <v>308</v>
      </c>
      <c r="O44" s="394" t="s">
        <v>308</v>
      </c>
      <c r="P44" s="394" t="s">
        <v>308</v>
      </c>
      <c r="Q44" s="394" t="s">
        <v>308</v>
      </c>
      <c r="R44" s="395">
        <f>F44/$F44</f>
        <v>1</v>
      </c>
    </row>
    <row r="45" spans="1:18" x14ac:dyDescent="0.2">
      <c r="A45" s="413" t="s">
        <v>332</v>
      </c>
      <c r="B45" s="373">
        <v>976</v>
      </c>
      <c r="C45" s="373">
        <v>3586</v>
      </c>
      <c r="D45" s="373">
        <v>10890</v>
      </c>
      <c r="E45" s="373">
        <v>15808</v>
      </c>
      <c r="F45" s="373">
        <v>36465</v>
      </c>
      <c r="G45" s="413"/>
      <c r="H45" s="177">
        <f>B45/$B$31</f>
        <v>3.1081020833200646E-3</v>
      </c>
      <c r="I45" s="177">
        <f>C45/$C$31</f>
        <v>2.9343678630257375E-3</v>
      </c>
      <c r="J45" s="177">
        <f>D45/$D$31</f>
        <v>7.0880163707794088E-3</v>
      </c>
      <c r="K45" s="177">
        <f>E45/$E$31</f>
        <v>8.9468390910310315E-3</v>
      </c>
      <c r="L45" s="368">
        <f>F45/$F$31</f>
        <v>7.1225975516547024E-3</v>
      </c>
      <c r="M45" s="177"/>
      <c r="N45" s="400">
        <f t="shared" si="1"/>
        <v>1</v>
      </c>
      <c r="O45" s="394">
        <f t="shared" si="5"/>
        <v>3.6741803278688523</v>
      </c>
      <c r="P45" s="394">
        <f t="shared" si="6"/>
        <v>11.157786885245901</v>
      </c>
      <c r="Q45" s="394">
        <f t="shared" si="7"/>
        <v>16.196721311475411</v>
      </c>
      <c r="R45" s="395">
        <f t="shared" si="8"/>
        <v>37.361680327868854</v>
      </c>
    </row>
    <row r="46" spans="1:18" x14ac:dyDescent="0.2">
      <c r="A46" s="414" t="s">
        <v>110</v>
      </c>
      <c r="B46" s="415">
        <v>93124</v>
      </c>
      <c r="C46" s="415">
        <v>161295</v>
      </c>
      <c r="D46" s="415">
        <v>276613</v>
      </c>
      <c r="E46" s="415">
        <v>365535</v>
      </c>
      <c r="F46" s="415">
        <v>1078726</v>
      </c>
      <c r="G46" s="413"/>
      <c r="H46" s="383">
        <f>B46/$B$31</f>
        <v>0.29655624836792793</v>
      </c>
      <c r="I46" s="383">
        <f>C46/$C$31</f>
        <v>0.13198518250606145</v>
      </c>
      <c r="J46" s="383">
        <f>D46/$D$31</f>
        <v>0.1800401719348397</v>
      </c>
      <c r="K46" s="383">
        <f>E46/$E$31</f>
        <v>0.20688150475329126</v>
      </c>
      <c r="L46" s="384">
        <f>F46/$F$31</f>
        <v>0.21070426892928207</v>
      </c>
      <c r="M46" s="177"/>
      <c r="N46" s="416">
        <f t="shared" si="1"/>
        <v>1</v>
      </c>
      <c r="O46" s="385">
        <f t="shared" si="5"/>
        <v>1.7320454447832996</v>
      </c>
      <c r="P46" s="385">
        <f t="shared" si="6"/>
        <v>2.9703728362183757</v>
      </c>
      <c r="Q46" s="385">
        <f t="shared" si="7"/>
        <v>3.9252502040290365</v>
      </c>
      <c r="R46" s="417">
        <f t="shared" si="8"/>
        <v>11.583759288690349</v>
      </c>
    </row>
    <row r="47" spans="1:18" x14ac:dyDescent="0.2">
      <c r="A47" s="412"/>
      <c r="B47" s="373"/>
      <c r="C47" s="373"/>
      <c r="D47" s="373"/>
      <c r="E47" s="373"/>
      <c r="F47" s="373"/>
      <c r="G47" s="413"/>
      <c r="H47" s="177"/>
      <c r="I47" s="177"/>
      <c r="J47" s="177"/>
      <c r="K47" s="177"/>
      <c r="L47" s="368"/>
      <c r="M47" s="177"/>
      <c r="N47" s="400"/>
      <c r="O47" s="394"/>
      <c r="P47" s="394"/>
      <c r="Q47" s="394"/>
      <c r="R47" s="395"/>
    </row>
    <row r="48" spans="1:18" x14ac:dyDescent="0.2">
      <c r="A48" s="412" t="s">
        <v>333</v>
      </c>
      <c r="B48" s="373" t="s">
        <v>182</v>
      </c>
      <c r="C48" s="373" t="s">
        <v>182</v>
      </c>
      <c r="D48" s="373" t="s">
        <v>182</v>
      </c>
      <c r="E48" s="373" t="s">
        <v>182</v>
      </c>
      <c r="F48" s="373" t="s">
        <v>182</v>
      </c>
      <c r="G48" s="413"/>
      <c r="H48" s="177"/>
      <c r="I48" s="177"/>
      <c r="J48" s="177"/>
      <c r="K48" s="177"/>
      <c r="L48" s="368"/>
      <c r="M48" s="177"/>
      <c r="N48" s="400"/>
      <c r="O48" s="394"/>
      <c r="P48" s="394"/>
      <c r="Q48" s="394"/>
      <c r="R48" s="395"/>
    </row>
    <row r="49" spans="1:18" x14ac:dyDescent="0.2">
      <c r="A49" s="413" t="s">
        <v>334</v>
      </c>
      <c r="B49" s="373">
        <v>0</v>
      </c>
      <c r="C49" s="373">
        <v>0</v>
      </c>
      <c r="D49" s="373">
        <v>0</v>
      </c>
      <c r="E49" s="373">
        <v>0</v>
      </c>
      <c r="F49" s="373">
        <v>669926</v>
      </c>
      <c r="G49" s="413"/>
      <c r="H49" s="177">
        <v>0</v>
      </c>
      <c r="I49" s="177">
        <v>0</v>
      </c>
      <c r="J49" s="177">
        <v>0</v>
      </c>
      <c r="K49" s="177">
        <v>0</v>
      </c>
      <c r="L49" s="368">
        <f>F49/$F$31</f>
        <v>0.13085460818291042</v>
      </c>
      <c r="M49" s="177"/>
      <c r="N49" s="400" t="s">
        <v>308</v>
      </c>
      <c r="O49" s="394" t="s">
        <v>308</v>
      </c>
      <c r="P49" s="394" t="s">
        <v>308</v>
      </c>
      <c r="Q49" s="394" t="s">
        <v>308</v>
      </c>
      <c r="R49" s="395">
        <f>F49/$F49</f>
        <v>1</v>
      </c>
    </row>
    <row r="50" spans="1:18" x14ac:dyDescent="0.2">
      <c r="A50" s="413" t="s">
        <v>335</v>
      </c>
      <c r="B50" s="373">
        <v>0</v>
      </c>
      <c r="C50" s="373">
        <v>179788</v>
      </c>
      <c r="D50" s="373">
        <v>167227</v>
      </c>
      <c r="E50" s="373">
        <v>157714</v>
      </c>
      <c r="F50" s="373">
        <v>401155</v>
      </c>
      <c r="G50" s="413"/>
      <c r="H50" s="177">
        <v>0</v>
      </c>
      <c r="I50" s="177">
        <f>C50/$C$31</f>
        <v>0.14711771593911638</v>
      </c>
      <c r="J50" s="177">
        <f>D50/$D$31</f>
        <v>0.10884368352950671</v>
      </c>
      <c r="K50" s="177">
        <f>E50/$E$31</f>
        <v>8.9261246229938515E-2</v>
      </c>
      <c r="L50" s="368">
        <f>F50/$F$31</f>
        <v>7.8356386146552645E-2</v>
      </c>
      <c r="M50" s="177"/>
      <c r="N50" s="400" t="s">
        <v>308</v>
      </c>
      <c r="O50" s="394">
        <f>C50/$C50</f>
        <v>1</v>
      </c>
      <c r="P50" s="394">
        <f t="shared" ref="P50:R50" si="12">D50/$C50</f>
        <v>0.93013438049258013</v>
      </c>
      <c r="Q50" s="394">
        <f t="shared" si="12"/>
        <v>0.87722206153914606</v>
      </c>
      <c r="R50" s="395">
        <f t="shared" si="12"/>
        <v>2.2312668253721051</v>
      </c>
    </row>
    <row r="51" spans="1:18" x14ac:dyDescent="0.2">
      <c r="A51" s="413" t="s">
        <v>336</v>
      </c>
      <c r="B51" s="373">
        <v>3849</v>
      </c>
      <c r="C51" s="373">
        <v>16407</v>
      </c>
      <c r="D51" s="373">
        <v>4028</v>
      </c>
      <c r="E51" s="373">
        <v>19215</v>
      </c>
      <c r="F51" s="373">
        <v>28372</v>
      </c>
      <c r="G51" s="413"/>
      <c r="H51" s="177">
        <f>B51/$B$31</f>
        <v>1.2257259138011197E-2</v>
      </c>
      <c r="I51" s="177">
        <f>C51/$C$31</f>
        <v>1.3425592171964103E-2</v>
      </c>
      <c r="J51" s="177">
        <f>D51/$D$31</f>
        <v>2.6217199211661579E-3</v>
      </c>
      <c r="K51" s="177">
        <f>E51/$E$31</f>
        <v>1.0875095719519312E-2</v>
      </c>
      <c r="L51" s="368">
        <f>F51/$F$31</f>
        <v>5.541816474305422E-3</v>
      </c>
      <c r="M51" s="177"/>
      <c r="N51" s="400">
        <f t="shared" si="1"/>
        <v>1</v>
      </c>
      <c r="O51" s="394">
        <f t="shared" si="5"/>
        <v>4.2626656274356973</v>
      </c>
      <c r="P51" s="394">
        <f t="shared" si="6"/>
        <v>1.0465055858664589</v>
      </c>
      <c r="Q51" s="394">
        <f t="shared" si="7"/>
        <v>4.9922057677318783</v>
      </c>
      <c r="R51" s="395">
        <f t="shared" si="8"/>
        <v>7.3712652637048581</v>
      </c>
    </row>
    <row r="52" spans="1:18" x14ac:dyDescent="0.2">
      <c r="A52" s="413"/>
      <c r="B52" s="373"/>
      <c r="C52" s="373"/>
      <c r="D52" s="373"/>
      <c r="E52" s="373"/>
      <c r="F52" s="373"/>
      <c r="G52" s="413"/>
      <c r="H52" s="177"/>
      <c r="I52" s="177"/>
      <c r="J52" s="177"/>
      <c r="K52" s="177"/>
      <c r="L52" s="368"/>
      <c r="M52" s="177"/>
      <c r="N52" s="400"/>
      <c r="O52" s="394"/>
      <c r="P52" s="394"/>
      <c r="Q52" s="394"/>
      <c r="R52" s="395"/>
    </row>
    <row r="53" spans="1:18" x14ac:dyDescent="0.2">
      <c r="A53" s="414" t="s">
        <v>337</v>
      </c>
      <c r="B53" s="415">
        <v>96973</v>
      </c>
      <c r="C53" s="415">
        <v>357490</v>
      </c>
      <c r="D53" s="415">
        <v>447868</v>
      </c>
      <c r="E53" s="415">
        <v>542464</v>
      </c>
      <c r="F53" s="415">
        <v>2178179</v>
      </c>
      <c r="G53" s="413"/>
      <c r="H53" s="383">
        <f>B53/$B$31</f>
        <v>0.30881350750593917</v>
      </c>
      <c r="I53" s="383">
        <f>C53/$C$31</f>
        <v>0.29252849061714192</v>
      </c>
      <c r="J53" s="383">
        <f>D53/$D$31</f>
        <v>0.29150557538551258</v>
      </c>
      <c r="K53" s="383">
        <f>E53/$E$31</f>
        <v>0.30701784670274906</v>
      </c>
      <c r="L53" s="384">
        <f>F53/$F$31</f>
        <v>0.42545707973305052</v>
      </c>
      <c r="M53" s="177"/>
      <c r="N53" s="416">
        <f t="shared" si="1"/>
        <v>1</v>
      </c>
      <c r="O53" s="385">
        <f t="shared" si="5"/>
        <v>3.686490053932538</v>
      </c>
      <c r="P53" s="385">
        <f t="shared" si="6"/>
        <v>4.6184814329761892</v>
      </c>
      <c r="Q53" s="385">
        <f t="shared" si="7"/>
        <v>5.5939694554154249</v>
      </c>
      <c r="R53" s="417">
        <f t="shared" si="8"/>
        <v>22.461705835644974</v>
      </c>
    </row>
    <row r="54" spans="1:18" x14ac:dyDescent="0.2">
      <c r="A54" s="412"/>
      <c r="B54" s="373"/>
      <c r="C54" s="373"/>
      <c r="D54" s="373"/>
      <c r="E54" s="373"/>
      <c r="F54" s="373"/>
      <c r="G54" s="413"/>
      <c r="H54" s="177"/>
      <c r="I54" s="177"/>
      <c r="J54" s="177"/>
      <c r="K54" s="177"/>
      <c r="L54" s="368"/>
      <c r="M54" s="177"/>
      <c r="N54" s="400"/>
      <c r="O54" s="394"/>
      <c r="P54" s="394"/>
      <c r="Q54" s="394"/>
      <c r="R54" s="395"/>
    </row>
    <row r="55" spans="1:18" x14ac:dyDescent="0.2">
      <c r="A55" s="412" t="s">
        <v>338</v>
      </c>
      <c r="B55" s="373" t="s">
        <v>182</v>
      </c>
      <c r="C55" s="373" t="s">
        <v>182</v>
      </c>
      <c r="D55" s="373" t="s">
        <v>182</v>
      </c>
      <c r="E55" s="373" t="s">
        <v>182</v>
      </c>
      <c r="F55" s="373" t="s">
        <v>182</v>
      </c>
      <c r="G55" s="413"/>
      <c r="H55" s="177"/>
      <c r="I55" s="177"/>
      <c r="J55" s="177"/>
      <c r="K55" s="177"/>
      <c r="L55" s="368"/>
      <c r="M55" s="177"/>
      <c r="N55" s="400"/>
      <c r="O55" s="394"/>
      <c r="P55" s="394"/>
      <c r="Q55" s="394"/>
      <c r="R55" s="395"/>
    </row>
    <row r="56" spans="1:18" x14ac:dyDescent="0.2">
      <c r="A56" s="413" t="s">
        <v>339</v>
      </c>
      <c r="B56" s="373">
        <v>0</v>
      </c>
      <c r="C56" s="373">
        <v>824488</v>
      </c>
      <c r="D56" s="373">
        <v>824488</v>
      </c>
      <c r="E56" s="373">
        <v>824488</v>
      </c>
      <c r="F56" s="373">
        <v>852355</v>
      </c>
      <c r="G56" s="413"/>
      <c r="H56" s="177">
        <v>0</v>
      </c>
      <c r="I56" s="177">
        <f>C56/$C$31</f>
        <v>0.67466566945074291</v>
      </c>
      <c r="J56" s="177">
        <f>D56/$D$31</f>
        <v>0.53663768976227488</v>
      </c>
      <c r="K56" s="177">
        <f>E56/$E$31</f>
        <v>0.46663470827973136</v>
      </c>
      <c r="L56" s="368">
        <f>F56/$F$31</f>
        <v>0.16648790994489632</v>
      </c>
      <c r="M56" s="177"/>
      <c r="N56" s="400" t="s">
        <v>308</v>
      </c>
      <c r="O56" s="394">
        <f>C56/$C56</f>
        <v>1</v>
      </c>
      <c r="P56" s="394">
        <f t="shared" ref="P56:R56" si="13">D56/$C56</f>
        <v>1</v>
      </c>
      <c r="Q56" s="394">
        <f t="shared" si="13"/>
        <v>1</v>
      </c>
      <c r="R56" s="395">
        <f t="shared" si="13"/>
        <v>1.0337991577803436</v>
      </c>
    </row>
    <row r="57" spans="1:18" x14ac:dyDescent="0.2">
      <c r="A57" s="413" t="s">
        <v>340</v>
      </c>
      <c r="B57" s="373">
        <v>0</v>
      </c>
      <c r="C57" s="373">
        <v>0</v>
      </c>
      <c r="D57" s="373">
        <v>0</v>
      </c>
      <c r="E57" s="373">
        <v>0</v>
      </c>
      <c r="F57" s="373">
        <v>907620</v>
      </c>
      <c r="G57" s="413"/>
      <c r="H57" s="177"/>
      <c r="I57" s="177"/>
      <c r="J57" s="177"/>
      <c r="K57" s="177"/>
      <c r="L57" s="368">
        <f>F57/$F$31</f>
        <v>0.17728265432148199</v>
      </c>
      <c r="M57" s="177"/>
      <c r="N57" s="400" t="s">
        <v>308</v>
      </c>
      <c r="O57" s="394" t="s">
        <v>308</v>
      </c>
      <c r="P57" s="394" t="s">
        <v>308</v>
      </c>
      <c r="Q57" s="394" t="s">
        <v>308</v>
      </c>
      <c r="R57" s="395">
        <f>F57/$F57</f>
        <v>1</v>
      </c>
    </row>
    <row r="58" spans="1:18" x14ac:dyDescent="0.2">
      <c r="A58" s="413" t="s">
        <v>341</v>
      </c>
      <c r="B58" s="373">
        <v>0</v>
      </c>
      <c r="C58" s="373">
        <v>824488</v>
      </c>
      <c r="D58" s="373">
        <v>824488</v>
      </c>
      <c r="E58" s="373">
        <v>824488</v>
      </c>
      <c r="F58" s="373">
        <v>1759975</v>
      </c>
      <c r="G58" s="413"/>
      <c r="H58" s="177">
        <v>0</v>
      </c>
      <c r="I58" s="177">
        <f>C58/$C$31</f>
        <v>0.67466566945074291</v>
      </c>
      <c r="J58" s="177">
        <f>D58/$D$31</f>
        <v>0.53663768976227488</v>
      </c>
      <c r="K58" s="177">
        <f>E58/$E$31</f>
        <v>0.46663470827973136</v>
      </c>
      <c r="L58" s="368">
        <f>F58/$F$31</f>
        <v>0.34377056426637831</v>
      </c>
      <c r="M58" s="177"/>
      <c r="N58" s="400" t="s">
        <v>308</v>
      </c>
      <c r="O58" s="394">
        <f>C58/$C58</f>
        <v>1</v>
      </c>
      <c r="P58" s="394">
        <f t="shared" ref="P58:R58" si="14">D58/$C58</f>
        <v>1</v>
      </c>
      <c r="Q58" s="394">
        <f t="shared" si="14"/>
        <v>1</v>
      </c>
      <c r="R58" s="395">
        <f t="shared" si="14"/>
        <v>2.1346277932486584</v>
      </c>
    </row>
    <row r="59" spans="1:18" x14ac:dyDescent="0.2">
      <c r="A59" s="413" t="s">
        <v>342</v>
      </c>
      <c r="B59" s="373" t="s">
        <v>182</v>
      </c>
      <c r="C59" s="373" t="s">
        <v>182</v>
      </c>
      <c r="D59" s="373" t="s">
        <v>182</v>
      </c>
      <c r="E59" s="373" t="s">
        <v>182</v>
      </c>
      <c r="F59" s="373" t="s">
        <v>182</v>
      </c>
      <c r="G59" s="413"/>
      <c r="H59" s="177"/>
      <c r="I59" s="177"/>
      <c r="J59" s="177"/>
      <c r="K59" s="177"/>
      <c r="L59" s="368"/>
      <c r="M59" s="177"/>
      <c r="N59" s="400"/>
      <c r="O59" s="394"/>
      <c r="P59" s="394"/>
      <c r="Q59" s="394"/>
      <c r="R59" s="395"/>
    </row>
    <row r="60" spans="1:18" x14ac:dyDescent="0.2">
      <c r="A60" s="413" t="s">
        <v>343</v>
      </c>
      <c r="B60" s="373">
        <v>75</v>
      </c>
      <c r="C60" s="373">
        <v>76</v>
      </c>
      <c r="D60" s="373">
        <v>77</v>
      </c>
      <c r="E60" s="373">
        <v>79</v>
      </c>
      <c r="F60" s="373">
        <v>101</v>
      </c>
      <c r="G60" s="413"/>
      <c r="H60" s="177">
        <f>B60/$B$31</f>
        <v>2.3883981173053773E-4</v>
      </c>
      <c r="I60" s="177">
        <f>C60/$C$31</f>
        <v>6.2189614498035705E-5</v>
      </c>
      <c r="J60" s="177">
        <f>D60/$D$31</f>
        <v>5.0117287470157435E-5</v>
      </c>
      <c r="K60" s="177">
        <f>E60/$E$31</f>
        <v>4.4711556692272994E-5</v>
      </c>
      <c r="L60" s="368">
        <f>F60/$F$31</f>
        <v>1.9728022836065404E-5</v>
      </c>
      <c r="M60" s="177"/>
      <c r="N60" s="400">
        <f t="shared" si="1"/>
        <v>1</v>
      </c>
      <c r="O60" s="394">
        <f t="shared" si="5"/>
        <v>1.0133333333333334</v>
      </c>
      <c r="P60" s="394">
        <f t="shared" si="6"/>
        <v>1.0266666666666666</v>
      </c>
      <c r="Q60" s="394">
        <f t="shared" si="7"/>
        <v>1.0533333333333332</v>
      </c>
      <c r="R60" s="395">
        <f t="shared" si="8"/>
        <v>1.3466666666666667</v>
      </c>
    </row>
    <row r="61" spans="1:18" x14ac:dyDescent="0.2">
      <c r="A61" s="413" t="s">
        <v>344</v>
      </c>
      <c r="B61" s="373">
        <v>267846</v>
      </c>
      <c r="C61" s="373">
        <v>280668</v>
      </c>
      <c r="D61" s="373">
        <v>276717</v>
      </c>
      <c r="E61" s="373">
        <v>297579</v>
      </c>
      <c r="F61" s="373">
        <v>1050518</v>
      </c>
      <c r="G61" s="413"/>
      <c r="H61" s="177">
        <f>B61/$B$31</f>
        <v>0.85296384283703486</v>
      </c>
      <c r="I61" s="177">
        <f>C61/$C$31</f>
        <v>0.22966624634124588</v>
      </c>
      <c r="J61" s="177">
        <f>D61/$D$31</f>
        <v>0.18010786281661759</v>
      </c>
      <c r="K61" s="177">
        <f>E61/$E$31</f>
        <v>0.16842051049278361</v>
      </c>
      <c r="L61" s="368">
        <f>F61/$F$31</f>
        <v>0.2051944860762154</v>
      </c>
      <c r="M61" s="177"/>
      <c r="N61" s="400">
        <f t="shared" si="1"/>
        <v>1</v>
      </c>
      <c r="O61" s="394">
        <f t="shared" si="5"/>
        <v>1.0478707914249232</v>
      </c>
      <c r="P61" s="394">
        <f t="shared" si="6"/>
        <v>1.0331197777827557</v>
      </c>
      <c r="Q61" s="394">
        <f t="shared" si="7"/>
        <v>1.1110078179252256</v>
      </c>
      <c r="R61" s="395">
        <f t="shared" si="8"/>
        <v>3.9220970259029442</v>
      </c>
    </row>
    <row r="62" spans="1:18" x14ac:dyDescent="0.2">
      <c r="A62" s="413" t="s">
        <v>345</v>
      </c>
      <c r="B62" s="373" t="s">
        <v>182</v>
      </c>
      <c r="C62" s="373" t="s">
        <v>182</v>
      </c>
      <c r="D62" s="373" t="s">
        <v>182</v>
      </c>
      <c r="E62" s="373" t="s">
        <v>182</v>
      </c>
      <c r="F62" s="373">
        <v>-48226</v>
      </c>
      <c r="G62" s="413"/>
      <c r="H62" s="177">
        <v>0</v>
      </c>
      <c r="I62" s="177">
        <v>0</v>
      </c>
      <c r="J62" s="177">
        <v>0</v>
      </c>
      <c r="K62" s="177">
        <v>0</v>
      </c>
      <c r="L62" s="368">
        <f>F62/$F$31</f>
        <v>-9.4198379137830704E-3</v>
      </c>
      <c r="M62" s="177"/>
      <c r="N62" s="400" t="s">
        <v>308</v>
      </c>
      <c r="O62" s="394" t="s">
        <v>308</v>
      </c>
      <c r="P62" s="394" t="s">
        <v>308</v>
      </c>
      <c r="Q62" s="394" t="s">
        <v>308</v>
      </c>
      <c r="R62" s="395">
        <f>F62/$F62</f>
        <v>1</v>
      </c>
    </row>
    <row r="63" spans="1:18" x14ac:dyDescent="0.2">
      <c r="A63" s="413" t="s">
        <v>346</v>
      </c>
      <c r="B63" s="373">
        <v>614</v>
      </c>
      <c r="C63" s="373">
        <v>-1881</v>
      </c>
      <c r="D63" s="373">
        <v>-701</v>
      </c>
      <c r="E63" s="373">
        <v>-3250</v>
      </c>
      <c r="F63" s="373">
        <v>3162</v>
      </c>
      <c r="G63" s="413"/>
      <c r="H63" s="177">
        <f>B63/$B$31</f>
        <v>1.9553019253673357E-3</v>
      </c>
      <c r="I63" s="177">
        <f>C63/$C$31</f>
        <v>-1.5391929588263837E-3</v>
      </c>
      <c r="J63" s="177">
        <f>D63/$D$31</f>
        <v>-4.5626257813740728E-4</v>
      </c>
      <c r="K63" s="177">
        <f>E63/$E$31</f>
        <v>-1.8393994841757878E-3</v>
      </c>
      <c r="L63" s="368">
        <f>F63/$F$31</f>
        <v>6.1762384363998814E-4</v>
      </c>
      <c r="M63" s="177"/>
      <c r="N63" s="400">
        <f t="shared" si="1"/>
        <v>1</v>
      </c>
      <c r="O63" s="394">
        <f t="shared" si="5"/>
        <v>-3.0635179153094461</v>
      </c>
      <c r="P63" s="394">
        <f t="shared" si="6"/>
        <v>-1.1416938110749186</v>
      </c>
      <c r="Q63" s="394">
        <f t="shared" si="7"/>
        <v>-5.2931596091205213</v>
      </c>
      <c r="R63" s="395">
        <f t="shared" si="8"/>
        <v>5.1498371335504887</v>
      </c>
    </row>
    <row r="64" spans="1:18" x14ac:dyDescent="0.2">
      <c r="A64" s="413" t="s">
        <v>347</v>
      </c>
      <c r="B64" s="373">
        <v>-51490</v>
      </c>
      <c r="C64" s="373">
        <v>-238772</v>
      </c>
      <c r="D64" s="373">
        <v>-12053</v>
      </c>
      <c r="E64" s="373">
        <v>105521</v>
      </c>
      <c r="F64" s="373">
        <v>175912</v>
      </c>
      <c r="G64" s="413"/>
      <c r="H64" s="177">
        <f>B64/$B$31</f>
        <v>-0.16397149208007183</v>
      </c>
      <c r="I64" s="177">
        <f>C64/$C$31</f>
        <v>-0.1953834030648024</v>
      </c>
      <c r="J64" s="177">
        <f>D64/$D$31</f>
        <v>-7.8449826737377604E-3</v>
      </c>
      <c r="K64" s="177">
        <f>E64/$E$31</f>
        <v>5.9721622452219479E-2</v>
      </c>
      <c r="L64" s="368">
        <f>F64/$F$31</f>
        <v>3.4360355971662745E-2</v>
      </c>
      <c r="M64" s="177"/>
      <c r="N64" s="400">
        <f t="shared" si="1"/>
        <v>1</v>
      </c>
      <c r="O64" s="394">
        <f t="shared" si="5"/>
        <v>4.6372499514468828</v>
      </c>
      <c r="P64" s="394">
        <f t="shared" si="6"/>
        <v>0.23408428821130317</v>
      </c>
      <c r="Q64" s="394">
        <f t="shared" si="7"/>
        <v>-2.0493493882307243</v>
      </c>
      <c r="R64" s="395">
        <f t="shared" si="8"/>
        <v>-3.416430374830064</v>
      </c>
    </row>
    <row r="65" spans="1:23" x14ac:dyDescent="0.2">
      <c r="A65" s="413"/>
      <c r="B65" s="373"/>
      <c r="C65" s="373"/>
      <c r="D65" s="373"/>
      <c r="E65" s="373"/>
      <c r="F65" s="373"/>
      <c r="G65" s="413"/>
      <c r="H65" s="177"/>
      <c r="I65" s="177"/>
      <c r="J65" s="177"/>
      <c r="K65" s="177"/>
      <c r="L65" s="368"/>
      <c r="M65" s="177"/>
      <c r="N65" s="400"/>
      <c r="O65" s="394"/>
      <c r="P65" s="394"/>
      <c r="Q65" s="394"/>
      <c r="R65" s="395"/>
    </row>
    <row r="66" spans="1:23" x14ac:dyDescent="0.2">
      <c r="A66" s="414" t="s">
        <v>348</v>
      </c>
      <c r="B66" s="415">
        <v>217045</v>
      </c>
      <c r="C66" s="415">
        <v>40091</v>
      </c>
      <c r="D66" s="415">
        <v>264040</v>
      </c>
      <c r="E66" s="415">
        <v>399929</v>
      </c>
      <c r="F66" s="415">
        <v>1181467</v>
      </c>
      <c r="G66" s="413"/>
      <c r="H66" s="383">
        <f>B66/$B$31</f>
        <v>0.69118649249406083</v>
      </c>
      <c r="I66" s="383">
        <f>C66/$C$31</f>
        <v>3.2805839932115125E-2</v>
      </c>
      <c r="J66" s="383">
        <f>D66/$D$31</f>
        <v>0.17185673485221259</v>
      </c>
      <c r="K66" s="383">
        <f>E66/$E$31</f>
        <v>0.22634744501751958</v>
      </c>
      <c r="L66" s="384">
        <f>F66/$F$31</f>
        <v>0.23077235600057114</v>
      </c>
      <c r="M66" s="177"/>
      <c r="N66" s="416">
        <f t="shared" si="1"/>
        <v>1</v>
      </c>
      <c r="O66" s="385">
        <f t="shared" si="5"/>
        <v>0.1847128475661729</v>
      </c>
      <c r="P66" s="385">
        <f t="shared" si="6"/>
        <v>1.2165219194176322</v>
      </c>
      <c r="Q66" s="385">
        <f t="shared" si="7"/>
        <v>1.8426086756202631</v>
      </c>
      <c r="R66" s="417">
        <f t="shared" si="8"/>
        <v>5.4434195673708219</v>
      </c>
    </row>
    <row r="67" spans="1:23" x14ac:dyDescent="0.2">
      <c r="A67" s="418"/>
      <c r="B67" s="453"/>
      <c r="C67" s="453"/>
      <c r="D67" s="453"/>
      <c r="E67" s="453"/>
      <c r="F67" s="453"/>
      <c r="G67" s="413"/>
      <c r="H67" s="454"/>
      <c r="I67" s="454"/>
      <c r="J67" s="454"/>
      <c r="K67" s="454"/>
      <c r="L67" s="468"/>
      <c r="M67" s="177"/>
      <c r="N67" s="455"/>
      <c r="O67" s="456"/>
      <c r="P67" s="456"/>
      <c r="Q67" s="456"/>
      <c r="R67" s="457"/>
    </row>
    <row r="68" spans="1:23" x14ac:dyDescent="0.2">
      <c r="A68" s="418" t="s">
        <v>349</v>
      </c>
      <c r="B68" s="419">
        <v>314018</v>
      </c>
      <c r="C68" s="419">
        <v>1222069</v>
      </c>
      <c r="D68" s="419">
        <v>1536396</v>
      </c>
      <c r="E68" s="419">
        <v>1766881</v>
      </c>
      <c r="F68" s="419">
        <v>5119621</v>
      </c>
      <c r="G68" s="412"/>
      <c r="H68" s="469">
        <f>B68/$B$31</f>
        <v>1</v>
      </c>
      <c r="I68" s="469">
        <f>C68/$C$31</f>
        <v>1</v>
      </c>
      <c r="J68" s="469">
        <f>D68/$D$31</f>
        <v>1</v>
      </c>
      <c r="K68" s="469">
        <f>E68/$E$31</f>
        <v>1</v>
      </c>
      <c r="L68" s="470">
        <f>F68/$F$31</f>
        <v>1</v>
      </c>
      <c r="M68" s="389"/>
      <c r="N68" s="465">
        <f t="shared" si="1"/>
        <v>1</v>
      </c>
      <c r="O68" s="466">
        <f t="shared" si="5"/>
        <v>3.8917163984230205</v>
      </c>
      <c r="P68" s="466">
        <f t="shared" si="6"/>
        <v>4.8927004184473502</v>
      </c>
      <c r="Q68" s="466">
        <f t="shared" si="7"/>
        <v>5.6266870052035234</v>
      </c>
      <c r="R68" s="467">
        <f t="shared" si="8"/>
        <v>16.303590876956097</v>
      </c>
    </row>
    <row r="77" spans="1:23" ht="18" x14ac:dyDescent="0.2">
      <c r="A77" s="649" t="s">
        <v>297</v>
      </c>
      <c r="B77" s="649"/>
      <c r="C77" s="649"/>
      <c r="D77" s="649"/>
      <c r="E77" s="649"/>
      <c r="F77" s="649"/>
      <c r="G77" s="649"/>
      <c r="H77" s="649"/>
      <c r="I77" s="649"/>
      <c r="J77" s="649"/>
      <c r="K77" s="649"/>
      <c r="L77" s="649"/>
      <c r="M77" s="649"/>
      <c r="N77" s="649"/>
      <c r="O77" s="649"/>
      <c r="P77" s="649"/>
      <c r="Q77" s="649"/>
      <c r="R77" s="649"/>
      <c r="V77" s="442"/>
    </row>
    <row r="78" spans="1:23" ht="18" x14ac:dyDescent="0.2">
      <c r="A78" s="628" t="s">
        <v>1</v>
      </c>
      <c r="B78" s="628"/>
      <c r="C78" s="628"/>
      <c r="D78" s="628"/>
      <c r="E78" s="628"/>
      <c r="F78" s="628"/>
      <c r="G78" s="628"/>
      <c r="H78" s="628"/>
      <c r="I78" s="628"/>
      <c r="J78" s="628"/>
      <c r="K78" s="628"/>
      <c r="L78" s="628"/>
      <c r="M78" s="628"/>
      <c r="N78" s="628"/>
      <c r="O78" s="628"/>
      <c r="P78" s="628"/>
      <c r="Q78" s="628"/>
      <c r="R78" s="628"/>
      <c r="S78" s="442"/>
      <c r="T78" s="442"/>
      <c r="U78" s="442"/>
      <c r="V78" s="443"/>
      <c r="W78" s="442"/>
    </row>
    <row r="79" spans="1:23" ht="16" x14ac:dyDescent="0.2">
      <c r="A79" s="629" t="s">
        <v>2</v>
      </c>
      <c r="B79" s="629"/>
      <c r="C79" s="629"/>
      <c r="D79" s="629"/>
      <c r="E79" s="629"/>
      <c r="F79" s="629"/>
      <c r="G79" s="629"/>
      <c r="H79" s="629"/>
      <c r="I79" s="629"/>
      <c r="J79" s="629"/>
      <c r="K79" s="629"/>
      <c r="L79" s="629"/>
      <c r="M79" s="629"/>
      <c r="N79" s="629"/>
      <c r="O79" s="629"/>
      <c r="P79" s="629"/>
      <c r="Q79" s="629"/>
      <c r="R79" s="629"/>
      <c r="S79" s="443"/>
      <c r="T79" s="443"/>
      <c r="U79" s="443"/>
      <c r="V79" s="106"/>
      <c r="W79" s="443"/>
    </row>
    <row r="80" spans="1:23" ht="16" x14ac:dyDescent="0.2">
      <c r="A80" s="444"/>
      <c r="B80" s="444"/>
      <c r="C80" s="444"/>
      <c r="D80" s="444"/>
      <c r="E80" s="444"/>
      <c r="F80" s="444"/>
      <c r="G80" s="444"/>
      <c r="H80" s="444"/>
      <c r="I80" s="444"/>
      <c r="J80" s="444"/>
      <c r="K80" s="444"/>
      <c r="L80" s="444"/>
      <c r="M80" s="444"/>
      <c r="N80" s="444"/>
      <c r="O80" s="444"/>
      <c r="P80" s="444"/>
      <c r="Q80" s="444"/>
      <c r="R80" s="444"/>
      <c r="S80" s="106"/>
      <c r="T80" s="106"/>
      <c r="U80" s="106"/>
      <c r="V80" s="106"/>
      <c r="W80" s="106"/>
    </row>
    <row r="81" spans="1:18" ht="16" x14ac:dyDescent="0.2">
      <c r="A81" s="647" t="s">
        <v>350</v>
      </c>
      <c r="B81" s="647"/>
      <c r="C81" s="647"/>
      <c r="D81" s="647"/>
      <c r="E81" s="647"/>
      <c r="F81" s="647"/>
      <c r="G81" s="447"/>
      <c r="H81" s="648" t="s">
        <v>351</v>
      </c>
      <c r="I81" s="648"/>
      <c r="J81" s="648"/>
      <c r="K81" s="648"/>
      <c r="L81" s="648"/>
      <c r="M81" s="446"/>
      <c r="N81" s="648" t="s">
        <v>352</v>
      </c>
      <c r="O81" s="648"/>
      <c r="P81" s="648"/>
      <c r="Q81" s="648"/>
      <c r="R81" s="648"/>
    </row>
    <row r="82" spans="1:18" x14ac:dyDescent="0.2">
      <c r="A82" s="402" t="s">
        <v>301</v>
      </c>
      <c r="B82" s="402">
        <v>2021</v>
      </c>
      <c r="C82" s="381">
        <v>2022</v>
      </c>
      <c r="D82" s="381">
        <v>2023</v>
      </c>
      <c r="E82" s="381">
        <v>2024</v>
      </c>
      <c r="F82" s="381">
        <v>2025</v>
      </c>
      <c r="G82" s="460"/>
      <c r="H82" s="381">
        <v>2021</v>
      </c>
      <c r="I82" s="381">
        <v>2022</v>
      </c>
      <c r="J82" s="381">
        <v>2023</v>
      </c>
      <c r="K82" s="381">
        <v>2024</v>
      </c>
      <c r="L82" s="382">
        <v>2025</v>
      </c>
      <c r="M82" s="372"/>
      <c r="N82" s="391">
        <v>2021</v>
      </c>
      <c r="O82" s="391">
        <v>2022</v>
      </c>
      <c r="P82" s="391">
        <v>2023</v>
      </c>
      <c r="Q82" s="391">
        <v>2024</v>
      </c>
      <c r="R82" s="392">
        <v>2025</v>
      </c>
    </row>
    <row r="83" spans="1:18" x14ac:dyDescent="0.2">
      <c r="A83" s="377" t="s">
        <v>12</v>
      </c>
      <c r="B83" s="420">
        <v>314272</v>
      </c>
      <c r="C83" s="375">
        <v>653604</v>
      </c>
      <c r="D83" s="375">
        <v>1318014</v>
      </c>
      <c r="E83" s="375">
        <v>1355630</v>
      </c>
      <c r="F83" s="375">
        <v>2515269</v>
      </c>
      <c r="G83" s="463"/>
      <c r="H83" s="177">
        <f>B83/$B$83</f>
        <v>1</v>
      </c>
      <c r="I83" s="367">
        <f>C83/$C$83</f>
        <v>1</v>
      </c>
      <c r="J83" s="367">
        <f>D83/$D$83</f>
        <v>1</v>
      </c>
      <c r="K83" s="367">
        <f>E83/$E$83</f>
        <v>1</v>
      </c>
      <c r="L83" s="461">
        <f>F83/$F$83</f>
        <v>1</v>
      </c>
      <c r="M83" s="368"/>
      <c r="N83" s="405">
        <f>B83/$B83</f>
        <v>1</v>
      </c>
      <c r="O83" s="404">
        <f t="shared" ref="O83:R85" si="15">C83/$B83</f>
        <v>2.0797398431931575</v>
      </c>
      <c r="P83" s="404">
        <f t="shared" si="15"/>
        <v>4.1938639140617049</v>
      </c>
      <c r="Q83" s="404">
        <f t="shared" si="15"/>
        <v>4.3135564097342431</v>
      </c>
      <c r="R83" s="425">
        <f t="shared" si="15"/>
        <v>8.0034778790347207</v>
      </c>
    </row>
    <row r="84" spans="1:18" x14ac:dyDescent="0.2">
      <c r="A84" s="378" t="s">
        <v>353</v>
      </c>
      <c r="B84" s="393">
        <v>186103</v>
      </c>
      <c r="C84" s="374">
        <v>382735</v>
      </c>
      <c r="D84" s="374">
        <v>684875</v>
      </c>
      <c r="E84" s="374">
        <v>675423</v>
      </c>
      <c r="F84" s="374">
        <v>1247936</v>
      </c>
      <c r="G84" s="464"/>
      <c r="H84" s="177">
        <f t="shared" ref="H84:H101" si="16">B84/$B$83</f>
        <v>0.59217174931269723</v>
      </c>
      <c r="I84" s="367">
        <f t="shared" ref="I84:I101" si="17">C84/$C$83</f>
        <v>0.58557628166290288</v>
      </c>
      <c r="J84" s="367">
        <f t="shared" ref="J84:J101" si="18">D84/$D$83</f>
        <v>0.51962649865631172</v>
      </c>
      <c r="K84" s="367">
        <f t="shared" ref="K84:K101" si="19">E84/$E$83</f>
        <v>0.49823550673856437</v>
      </c>
      <c r="L84" s="461">
        <f t="shared" ref="L84:L101" si="20">F84/$F$83</f>
        <v>0.496144149989524</v>
      </c>
      <c r="M84" s="368"/>
      <c r="N84" s="394">
        <f t="shared" ref="N84:N101" si="21">B84/$B84</f>
        <v>1</v>
      </c>
      <c r="O84" s="400">
        <f t="shared" si="15"/>
        <v>2.0565761970521699</v>
      </c>
      <c r="P84" s="400">
        <f t="shared" si="15"/>
        <v>3.6800857589614355</v>
      </c>
      <c r="Q84" s="400">
        <f t="shared" si="15"/>
        <v>3.6292966797955972</v>
      </c>
      <c r="R84" s="426">
        <f t="shared" si="15"/>
        <v>6.7056200061256401</v>
      </c>
    </row>
    <row r="85" spans="1:18" x14ac:dyDescent="0.2">
      <c r="A85" s="410" t="s">
        <v>190</v>
      </c>
      <c r="B85" s="396">
        <v>128169</v>
      </c>
      <c r="C85" s="380">
        <v>270869</v>
      </c>
      <c r="D85" s="380">
        <v>633139</v>
      </c>
      <c r="E85" s="380">
        <v>680207</v>
      </c>
      <c r="F85" s="380">
        <v>1267333</v>
      </c>
      <c r="G85" s="463"/>
      <c r="H85" s="409">
        <f t="shared" si="16"/>
        <v>0.40782825068730272</v>
      </c>
      <c r="I85" s="408">
        <f t="shared" si="17"/>
        <v>0.41442371833709707</v>
      </c>
      <c r="J85" s="408">
        <f t="shared" si="18"/>
        <v>0.48037350134368828</v>
      </c>
      <c r="K85" s="408">
        <f t="shared" si="19"/>
        <v>0.50176449326143568</v>
      </c>
      <c r="L85" s="471">
        <f t="shared" si="20"/>
        <v>0.50385585001047606</v>
      </c>
      <c r="M85" s="390"/>
      <c r="N85" s="388">
        <f t="shared" si="21"/>
        <v>1</v>
      </c>
      <c r="O85" s="401">
        <f t="shared" si="15"/>
        <v>2.11337374872239</v>
      </c>
      <c r="P85" s="401">
        <f t="shared" si="15"/>
        <v>4.9398762571292592</v>
      </c>
      <c r="Q85" s="401">
        <f t="shared" si="15"/>
        <v>5.3071101436384769</v>
      </c>
      <c r="R85" s="428">
        <f t="shared" si="15"/>
        <v>9.8879838338443768</v>
      </c>
    </row>
    <row r="86" spans="1:18" x14ac:dyDescent="0.2">
      <c r="A86" s="377"/>
      <c r="B86" s="420"/>
      <c r="C86" s="375"/>
      <c r="D86" s="375"/>
      <c r="E86" s="375"/>
      <c r="F86" s="375"/>
      <c r="G86" s="463"/>
      <c r="H86" s="409"/>
      <c r="I86" s="409"/>
      <c r="J86" s="409"/>
      <c r="K86" s="409"/>
      <c r="L86" s="427"/>
      <c r="M86" s="390"/>
      <c r="N86" s="451"/>
      <c r="O86" s="451"/>
      <c r="P86" s="451"/>
      <c r="Q86" s="451"/>
      <c r="R86" s="452"/>
    </row>
    <row r="87" spans="1:18" x14ac:dyDescent="0.2">
      <c r="A87" s="377" t="s">
        <v>15</v>
      </c>
      <c r="B87" s="377" t="s">
        <v>182</v>
      </c>
      <c r="C87" s="371" t="s">
        <v>182</v>
      </c>
      <c r="D87" s="371" t="s">
        <v>182</v>
      </c>
      <c r="E87" s="371" t="s">
        <v>182</v>
      </c>
      <c r="F87" s="371" t="s">
        <v>182</v>
      </c>
      <c r="G87" s="460"/>
      <c r="H87" s="403"/>
      <c r="I87" s="403"/>
      <c r="J87" s="403"/>
      <c r="K87" s="403"/>
      <c r="L87" s="407"/>
      <c r="M87" s="368"/>
      <c r="N87" s="394"/>
      <c r="R87" s="361"/>
    </row>
    <row r="88" spans="1:18" x14ac:dyDescent="0.2">
      <c r="A88" s="378" t="s">
        <v>354</v>
      </c>
      <c r="B88" s="393">
        <v>132259</v>
      </c>
      <c r="C88" s="374">
        <v>428670</v>
      </c>
      <c r="D88" s="374">
        <v>366773</v>
      </c>
      <c r="E88" s="374">
        <v>524479</v>
      </c>
      <c r="F88" s="374">
        <v>798810</v>
      </c>
      <c r="G88" s="464"/>
      <c r="H88" s="177">
        <f t="shared" si="16"/>
        <v>0.42084245494348843</v>
      </c>
      <c r="I88" s="177">
        <f t="shared" si="17"/>
        <v>0.65585583931554892</v>
      </c>
      <c r="J88" s="177">
        <f t="shared" si="18"/>
        <v>0.27827701374947461</v>
      </c>
      <c r="K88" s="177">
        <f t="shared" si="19"/>
        <v>0.38688949049519411</v>
      </c>
      <c r="L88" s="368">
        <f t="shared" si="20"/>
        <v>0.31758432199498343</v>
      </c>
      <c r="M88" s="368"/>
      <c r="N88" s="394">
        <f t="shared" si="21"/>
        <v>1</v>
      </c>
      <c r="O88" s="394">
        <f t="shared" ref="O88" si="22">C88/$B88</f>
        <v>3.2411404894940987</v>
      </c>
      <c r="P88" s="394">
        <f t="shared" ref="P88" si="23">D88/$B88</f>
        <v>2.7731420924095902</v>
      </c>
      <c r="Q88" s="394">
        <f t="shared" ref="Q88" si="24">E88/$B88</f>
        <v>3.9655448778533029</v>
      </c>
      <c r="R88" s="395">
        <f t="shared" ref="R88" si="25">F88/$B88</f>
        <v>6.039740206715611</v>
      </c>
    </row>
    <row r="89" spans="1:18" x14ac:dyDescent="0.2">
      <c r="A89" s="378" t="s">
        <v>355</v>
      </c>
      <c r="B89" s="378" t="s">
        <v>182</v>
      </c>
      <c r="C89" s="376" t="s">
        <v>356</v>
      </c>
      <c r="D89" s="376" t="s">
        <v>356</v>
      </c>
      <c r="E89" s="376" t="s">
        <v>356</v>
      </c>
      <c r="F89" s="374">
        <v>327461</v>
      </c>
      <c r="G89" s="464"/>
      <c r="H89" s="177"/>
      <c r="I89" s="177"/>
      <c r="J89" s="177"/>
      <c r="K89" s="177"/>
      <c r="L89" s="368">
        <f t="shared" si="20"/>
        <v>0.13018925609944701</v>
      </c>
      <c r="M89" s="368"/>
      <c r="N89" s="394"/>
      <c r="R89" s="368">
        <f>L89/L89</f>
        <v>1</v>
      </c>
    </row>
    <row r="90" spans="1:18" x14ac:dyDescent="0.2">
      <c r="A90" s="410" t="s">
        <v>357</v>
      </c>
      <c r="B90" s="380">
        <v>132259</v>
      </c>
      <c r="C90" s="380">
        <v>428670</v>
      </c>
      <c r="D90" s="380">
        <v>366773</v>
      </c>
      <c r="E90" s="380">
        <v>524479</v>
      </c>
      <c r="F90" s="380">
        <v>1126271</v>
      </c>
      <c r="G90" s="463"/>
      <c r="H90" s="386">
        <f t="shared" si="16"/>
        <v>0.42084245494348843</v>
      </c>
      <c r="I90" s="386">
        <f t="shared" si="17"/>
        <v>0.65585583931554892</v>
      </c>
      <c r="J90" s="386">
        <f t="shared" si="18"/>
        <v>0.27827701374947461</v>
      </c>
      <c r="K90" s="386">
        <f t="shared" si="19"/>
        <v>0.38688949049519411</v>
      </c>
      <c r="L90" s="387">
        <f t="shared" si="20"/>
        <v>0.44777357809443047</v>
      </c>
      <c r="M90" s="390"/>
      <c r="N90" s="388">
        <f t="shared" si="21"/>
        <v>1</v>
      </c>
      <c r="O90" s="388">
        <f t="shared" ref="O90:O96" si="26">C90/$B90</f>
        <v>3.2411404894940987</v>
      </c>
      <c r="P90" s="388">
        <f t="shared" ref="P90:P95" si="27">D90/$B90</f>
        <v>2.7731420924095902</v>
      </c>
      <c r="Q90" s="388">
        <f t="shared" ref="Q90:Q95" si="28">E90/$B90</f>
        <v>3.9655448778533029</v>
      </c>
      <c r="R90" s="388">
        <f t="shared" ref="R90:R96" si="29">F90/$B90</f>
        <v>8.515647328348166</v>
      </c>
    </row>
    <row r="91" spans="1:18" x14ac:dyDescent="0.2">
      <c r="A91" s="377"/>
      <c r="B91" s="375"/>
      <c r="C91" s="375"/>
      <c r="D91" s="375"/>
      <c r="E91" s="375"/>
      <c r="F91" s="375"/>
      <c r="G91" s="463"/>
      <c r="H91" s="389"/>
      <c r="I91" s="389"/>
      <c r="J91" s="389"/>
      <c r="K91" s="389"/>
      <c r="L91" s="390"/>
      <c r="M91" s="390"/>
      <c r="N91" s="451"/>
      <c r="O91" s="451"/>
      <c r="P91" s="451"/>
      <c r="Q91" s="451"/>
      <c r="R91" s="451"/>
    </row>
    <row r="92" spans="1:18" x14ac:dyDescent="0.2">
      <c r="A92" s="377" t="s">
        <v>358</v>
      </c>
      <c r="B92" s="420">
        <v>-4090</v>
      </c>
      <c r="C92" s="375">
        <v>-157801</v>
      </c>
      <c r="D92" s="375">
        <v>266366</v>
      </c>
      <c r="E92" s="375">
        <v>155728</v>
      </c>
      <c r="F92" s="375">
        <v>141062</v>
      </c>
      <c r="G92" s="463"/>
      <c r="H92" s="389">
        <f t="shared" si="16"/>
        <v>-1.3014204256185725E-2</v>
      </c>
      <c r="I92" s="424">
        <f t="shared" si="17"/>
        <v>-0.24143212097845179</v>
      </c>
      <c r="J92" s="424">
        <f t="shared" si="18"/>
        <v>0.20209648759421373</v>
      </c>
      <c r="K92" s="424">
        <f t="shared" si="19"/>
        <v>0.11487500276624153</v>
      </c>
      <c r="L92" s="462">
        <f t="shared" si="20"/>
        <v>5.6082271916045562E-2</v>
      </c>
      <c r="M92" s="390"/>
      <c r="N92" s="394">
        <f t="shared" si="21"/>
        <v>1</v>
      </c>
      <c r="O92" s="400">
        <f t="shared" si="26"/>
        <v>38.582151589242052</v>
      </c>
      <c r="P92" s="400">
        <f t="shared" si="27"/>
        <v>-65.126161369193156</v>
      </c>
      <c r="Q92" s="400">
        <f t="shared" si="28"/>
        <v>-38.075305623471884</v>
      </c>
      <c r="R92" s="426">
        <f t="shared" si="29"/>
        <v>-34.489486552567236</v>
      </c>
    </row>
    <row r="93" spans="1:18" x14ac:dyDescent="0.2">
      <c r="A93" s="377"/>
      <c r="B93" s="420"/>
      <c r="C93" s="375"/>
      <c r="D93" s="375"/>
      <c r="E93" s="375"/>
      <c r="F93" s="375"/>
      <c r="G93" s="463"/>
      <c r="H93" s="389"/>
      <c r="I93" s="424"/>
      <c r="J93" s="424"/>
      <c r="K93" s="424"/>
      <c r="L93" s="462"/>
      <c r="M93" s="390"/>
      <c r="N93" s="394"/>
      <c r="O93" s="400"/>
      <c r="P93" s="400"/>
      <c r="Q93" s="400"/>
      <c r="R93" s="426"/>
    </row>
    <row r="94" spans="1:18" x14ac:dyDescent="0.2">
      <c r="A94" s="410" t="s">
        <v>359</v>
      </c>
      <c r="B94" s="410">
        <v>31</v>
      </c>
      <c r="C94" s="380">
        <v>5137</v>
      </c>
      <c r="D94" s="380">
        <v>25383</v>
      </c>
      <c r="E94" s="380">
        <v>39322</v>
      </c>
      <c r="F94" s="380">
        <v>-16029</v>
      </c>
      <c r="G94" s="463"/>
      <c r="H94" s="386">
        <f t="shared" si="16"/>
        <v>9.8640667956419916E-5</v>
      </c>
      <c r="I94" s="399">
        <f t="shared" si="17"/>
        <v>7.8594990238737821E-3</v>
      </c>
      <c r="J94" s="399">
        <f t="shared" si="18"/>
        <v>1.9258520774437904E-2</v>
      </c>
      <c r="K94" s="399">
        <f t="shared" si="19"/>
        <v>2.9006439810272715E-2</v>
      </c>
      <c r="L94" s="472">
        <f t="shared" si="20"/>
        <v>-6.3726782304397659E-3</v>
      </c>
      <c r="M94" s="390"/>
      <c r="N94" s="388">
        <f t="shared" si="21"/>
        <v>1</v>
      </c>
      <c r="O94" s="401">
        <f t="shared" si="26"/>
        <v>165.70967741935485</v>
      </c>
      <c r="P94" s="401">
        <f t="shared" si="27"/>
        <v>818.80645161290317</v>
      </c>
      <c r="Q94" s="401">
        <f t="shared" si="28"/>
        <v>1268.4516129032259</v>
      </c>
      <c r="R94" s="428">
        <f t="shared" si="29"/>
        <v>-517.06451612903231</v>
      </c>
    </row>
    <row r="95" spans="1:18" x14ac:dyDescent="0.2">
      <c r="A95" s="378" t="s">
        <v>360</v>
      </c>
      <c r="B95" s="378">
        <v>315</v>
      </c>
      <c r="C95" s="373">
        <v>237</v>
      </c>
      <c r="D95" s="374">
        <v>26629</v>
      </c>
      <c r="E95" s="374">
        <v>39263</v>
      </c>
      <c r="F95" s="374">
        <v>21085</v>
      </c>
      <c r="G95" s="464"/>
      <c r="H95" s="177">
        <f t="shared" si="16"/>
        <v>1.0023164647184604E-3</v>
      </c>
      <c r="I95" s="367">
        <f t="shared" si="17"/>
        <v>3.6260488001909415E-4</v>
      </c>
      <c r="J95" s="367">
        <f t="shared" si="18"/>
        <v>2.0203882508076546E-2</v>
      </c>
      <c r="K95" s="367">
        <f t="shared" si="19"/>
        <v>2.8962917610262387E-2</v>
      </c>
      <c r="L95" s="461">
        <f t="shared" si="20"/>
        <v>8.3828012033702951E-3</v>
      </c>
      <c r="M95" s="368"/>
      <c r="N95" s="394">
        <f t="shared" si="21"/>
        <v>1</v>
      </c>
      <c r="O95" s="400">
        <f t="shared" si="26"/>
        <v>0.75238095238095237</v>
      </c>
      <c r="P95" s="400">
        <f t="shared" si="27"/>
        <v>84.536507936507931</v>
      </c>
      <c r="Q95" s="400">
        <f t="shared" si="28"/>
        <v>124.64444444444445</v>
      </c>
      <c r="R95" s="426">
        <f t="shared" si="29"/>
        <v>66.936507936507937</v>
      </c>
    </row>
    <row r="96" spans="1:18" x14ac:dyDescent="0.2">
      <c r="A96" s="378" t="s">
        <v>361</v>
      </c>
      <c r="B96" s="378">
        <v>-8</v>
      </c>
      <c r="C96" s="374">
        <v>5292</v>
      </c>
      <c r="D96" s="376" t="s">
        <v>356</v>
      </c>
      <c r="E96" s="376" t="s">
        <v>356</v>
      </c>
      <c r="F96" s="374">
        <v>-48977</v>
      </c>
      <c r="G96" s="464"/>
      <c r="H96" s="177">
        <f t="shared" si="16"/>
        <v>-2.5455656246818042E-5</v>
      </c>
      <c r="I96" s="367">
        <f t="shared" si="17"/>
        <v>8.0966456753630636E-3</v>
      </c>
      <c r="J96" s="367"/>
      <c r="K96" s="367"/>
      <c r="L96" s="461">
        <f t="shared" si="20"/>
        <v>-1.9471873584892909E-2</v>
      </c>
      <c r="M96" s="368"/>
      <c r="N96" s="394">
        <f t="shared" si="21"/>
        <v>1</v>
      </c>
      <c r="O96" s="400">
        <f t="shared" si="26"/>
        <v>-661.5</v>
      </c>
      <c r="P96" s="400"/>
      <c r="Q96" s="400"/>
      <c r="R96" s="426">
        <f t="shared" si="29"/>
        <v>6122.125</v>
      </c>
    </row>
    <row r="97" spans="1:18" x14ac:dyDescent="0.2">
      <c r="A97" s="378" t="s">
        <v>362</v>
      </c>
      <c r="B97" s="378" t="s">
        <v>182</v>
      </c>
      <c r="C97" s="373">
        <v>-392</v>
      </c>
      <c r="D97" s="374">
        <v>-1246</v>
      </c>
      <c r="E97" s="373">
        <v>59</v>
      </c>
      <c r="F97" s="374">
        <v>11863</v>
      </c>
      <c r="G97" s="464"/>
      <c r="H97" s="177"/>
      <c r="I97" s="367">
        <f t="shared" si="17"/>
        <v>-5.9975153150837511E-4</v>
      </c>
      <c r="J97" s="367">
        <f t="shared" si="18"/>
        <v>-9.4536173363864119E-4</v>
      </c>
      <c r="K97" s="367">
        <f t="shared" si="19"/>
        <v>4.3522200010327305E-5</v>
      </c>
      <c r="L97" s="461">
        <f t="shared" si="20"/>
        <v>4.7163941510828464E-3</v>
      </c>
      <c r="M97" s="368"/>
      <c r="N97" s="394"/>
      <c r="R97" s="361"/>
    </row>
    <row r="98" spans="1:18" x14ac:dyDescent="0.2">
      <c r="A98" s="410" t="s">
        <v>363</v>
      </c>
      <c r="B98" s="396">
        <v>-4059</v>
      </c>
      <c r="C98" s="380">
        <v>-152664</v>
      </c>
      <c r="D98" s="380">
        <v>291749</v>
      </c>
      <c r="E98" s="380">
        <v>195050</v>
      </c>
      <c r="F98" s="380">
        <v>125033</v>
      </c>
      <c r="G98" s="463"/>
      <c r="H98" s="386">
        <f t="shared" si="16"/>
        <v>-1.2915563588229305E-2</v>
      </c>
      <c r="I98" s="399">
        <f t="shared" si="17"/>
        <v>-0.23357262195457801</v>
      </c>
      <c r="J98" s="399">
        <f t="shared" si="18"/>
        <v>0.22135500836865163</v>
      </c>
      <c r="K98" s="399">
        <f t="shared" si="19"/>
        <v>0.14388144257651425</v>
      </c>
      <c r="L98" s="472">
        <f t="shared" si="20"/>
        <v>4.9709593685605791E-2</v>
      </c>
      <c r="M98" s="390"/>
      <c r="N98" s="388">
        <f t="shared" si="21"/>
        <v>1</v>
      </c>
      <c r="O98" s="401">
        <f t="shared" ref="O98:O101" si="30">C98/$B98</f>
        <v>37.611234294161122</v>
      </c>
      <c r="P98" s="401">
        <f t="shared" ref="P98:P101" si="31">D98/$B98</f>
        <v>-71.8770633160877</v>
      </c>
      <c r="Q98" s="401">
        <f t="shared" ref="Q98:Q101" si="32">E98/$B98</f>
        <v>-48.053707809805374</v>
      </c>
      <c r="R98" s="428">
        <f t="shared" ref="R98:R101" si="33">F98/$B98</f>
        <v>-30.803892584380389</v>
      </c>
    </row>
    <row r="99" spans="1:18" x14ac:dyDescent="0.2">
      <c r="A99" s="377"/>
      <c r="B99" s="420"/>
      <c r="C99" s="375"/>
      <c r="D99" s="375"/>
      <c r="E99" s="375"/>
      <c r="F99" s="375"/>
      <c r="G99" s="463"/>
      <c r="H99" s="389"/>
      <c r="I99" s="424"/>
      <c r="J99" s="424"/>
      <c r="K99" s="424"/>
      <c r="L99" s="462"/>
      <c r="M99" s="390"/>
      <c r="N99" s="451"/>
      <c r="O99" s="450"/>
      <c r="P99" s="450"/>
      <c r="Q99" s="450"/>
      <c r="R99" s="459"/>
    </row>
    <row r="100" spans="1:18" x14ac:dyDescent="0.2">
      <c r="A100" s="378" t="s">
        <v>25</v>
      </c>
      <c r="B100" s="393">
        <v>7996</v>
      </c>
      <c r="C100" s="374">
        <v>-34618</v>
      </c>
      <c r="D100" s="374">
        <v>-64948</v>
      </c>
      <c r="E100" s="374">
        <v>-49976</v>
      </c>
      <c r="F100" s="374">
        <v>-17034</v>
      </c>
      <c r="G100" s="464"/>
      <c r="H100" s="177">
        <f t="shared" si="16"/>
        <v>2.5442928418694635E-2</v>
      </c>
      <c r="I100" s="367">
        <f t="shared" si="17"/>
        <v>-5.2964792137135022E-2</v>
      </c>
      <c r="J100" s="367">
        <f t="shared" si="18"/>
        <v>-4.9277170045234728E-2</v>
      </c>
      <c r="K100" s="367">
        <f t="shared" si="19"/>
        <v>-3.6865516401968092E-2</v>
      </c>
      <c r="L100" s="461">
        <f t="shared" si="20"/>
        <v>-6.7722378799245728E-3</v>
      </c>
      <c r="M100" s="368"/>
      <c r="N100" s="394">
        <f t="shared" si="21"/>
        <v>1</v>
      </c>
      <c r="O100" s="400">
        <f t="shared" si="30"/>
        <v>-4.3294147073536768</v>
      </c>
      <c r="P100" s="400">
        <f t="shared" si="31"/>
        <v>-8.1225612806403209</v>
      </c>
      <c r="Q100" s="400">
        <f t="shared" si="32"/>
        <v>-6.2501250625312652</v>
      </c>
      <c r="R100" s="426">
        <f t="shared" si="33"/>
        <v>-2.1303151575787895</v>
      </c>
    </row>
    <row r="101" spans="1:18" x14ac:dyDescent="0.2">
      <c r="A101" s="410" t="s">
        <v>27</v>
      </c>
      <c r="B101" s="396">
        <v>3937</v>
      </c>
      <c r="C101" s="380">
        <v>-187282</v>
      </c>
      <c r="D101" s="380">
        <v>226801</v>
      </c>
      <c r="E101" s="380">
        <v>145074</v>
      </c>
      <c r="F101" s="380">
        <v>107999</v>
      </c>
      <c r="G101" s="463"/>
      <c r="H101" s="386">
        <f t="shared" si="16"/>
        <v>1.2527364830465329E-2</v>
      </c>
      <c r="I101" s="399">
        <f t="shared" si="17"/>
        <v>-0.28653741409171302</v>
      </c>
      <c r="J101" s="399">
        <f t="shared" si="18"/>
        <v>0.17207783832341689</v>
      </c>
      <c r="K101" s="399">
        <f t="shared" si="19"/>
        <v>0.10701592617454615</v>
      </c>
      <c r="L101" s="472">
        <f t="shared" si="20"/>
        <v>4.293735580568122E-2</v>
      </c>
      <c r="M101" s="390"/>
      <c r="N101" s="388">
        <f t="shared" si="21"/>
        <v>1</v>
      </c>
      <c r="O101" s="401">
        <f t="shared" si="30"/>
        <v>-47.569723139446282</v>
      </c>
      <c r="P101" s="401">
        <f t="shared" si="31"/>
        <v>57.607569215138433</v>
      </c>
      <c r="Q101" s="401">
        <f t="shared" si="32"/>
        <v>36.848869697739396</v>
      </c>
      <c r="R101" s="428">
        <f t="shared" si="33"/>
        <v>27.431800863601726</v>
      </c>
    </row>
    <row r="104" spans="1:18" x14ac:dyDescent="0.2">
      <c r="A104" s="473" t="s">
        <v>31</v>
      </c>
      <c r="B104" s="474">
        <v>1264</v>
      </c>
      <c r="C104" s="474">
        <v>1917</v>
      </c>
      <c r="D104" s="474">
        <v>3226</v>
      </c>
      <c r="E104" s="474">
        <v>7274</v>
      </c>
      <c r="F104" s="475">
        <v>29451</v>
      </c>
    </row>
    <row r="105" spans="1:18" x14ac:dyDescent="0.2">
      <c r="A105" s="421"/>
      <c r="B105" s="422"/>
      <c r="C105" s="422"/>
      <c r="D105" s="422"/>
      <c r="E105" s="422"/>
      <c r="F105" s="423"/>
    </row>
    <row r="110" spans="1:18" ht="16" x14ac:dyDescent="0.2">
      <c r="A110" s="439" t="s">
        <v>364</v>
      </c>
      <c r="B110" s="439">
        <v>2021</v>
      </c>
      <c r="C110" s="440">
        <v>2022</v>
      </c>
      <c r="D110" s="440">
        <v>2023</v>
      </c>
      <c r="E110" s="440">
        <v>2024</v>
      </c>
      <c r="F110" s="441">
        <v>2025</v>
      </c>
      <c r="G110" s="458"/>
    </row>
    <row r="111" spans="1:18" ht="16" x14ac:dyDescent="0.2">
      <c r="A111" s="429" t="s">
        <v>365</v>
      </c>
      <c r="B111" s="437">
        <f>74909000/1000</f>
        <v>74909</v>
      </c>
      <c r="C111" s="430">
        <f>76382000/1000</f>
        <v>76382</v>
      </c>
      <c r="D111" s="430">
        <f>231787482/1000</f>
        <v>231787.48199999999</v>
      </c>
      <c r="E111" s="430">
        <f>235014000/1000</f>
        <v>235014</v>
      </c>
      <c r="F111" s="431">
        <f>256906000/1000</f>
        <v>256906</v>
      </c>
      <c r="G111" s="430"/>
    </row>
    <row r="112" spans="1:18" ht="16" x14ac:dyDescent="0.2">
      <c r="A112" s="429" t="s">
        <v>366</v>
      </c>
      <c r="B112" s="438">
        <v>1E-3</v>
      </c>
      <c r="C112" s="432">
        <v>1E-3</v>
      </c>
      <c r="D112" s="432">
        <v>1E-3</v>
      </c>
      <c r="E112" s="432">
        <v>1E-3</v>
      </c>
      <c r="F112" s="433">
        <v>1E-3</v>
      </c>
      <c r="G112" s="432"/>
    </row>
    <row r="113" spans="1:7" ht="16" x14ac:dyDescent="0.2">
      <c r="A113" s="434" t="s">
        <v>367</v>
      </c>
      <c r="B113" s="434">
        <v>24.86</v>
      </c>
      <c r="C113" s="435">
        <v>34.68</v>
      </c>
      <c r="D113" s="435">
        <v>54.52</v>
      </c>
      <c r="E113" s="435">
        <v>26.34</v>
      </c>
      <c r="F113" s="436">
        <v>45.74</v>
      </c>
      <c r="G113" s="458"/>
    </row>
  </sheetData>
  <mergeCells count="11">
    <mergeCell ref="A1:R1"/>
    <mergeCell ref="A2:R2"/>
    <mergeCell ref="A3:R3"/>
    <mergeCell ref="H5:L5"/>
    <mergeCell ref="N5:R5"/>
    <mergeCell ref="A81:F81"/>
    <mergeCell ref="H81:L81"/>
    <mergeCell ref="N81:R81"/>
    <mergeCell ref="A77:R77"/>
    <mergeCell ref="A78:R78"/>
    <mergeCell ref="A79:R7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AB745-989B-49CC-9025-D63DCA05C3B4}">
  <dimension ref="A1:V148"/>
  <sheetViews>
    <sheetView workbookViewId="0"/>
  </sheetViews>
  <sheetFormatPr baseColWidth="10" defaultColWidth="8.83203125" defaultRowHeight="23" x14ac:dyDescent="0.25"/>
  <cols>
    <col min="1" max="1" width="36.1640625" style="47" customWidth="1"/>
    <col min="2" max="2" width="9.33203125" customWidth="1"/>
    <col min="3" max="6" width="7.6640625" customWidth="1"/>
    <col min="7" max="8" width="1.6640625" customWidth="1"/>
    <col min="9" max="13" width="7.6640625" customWidth="1"/>
    <col min="14" max="15" width="1.6640625" customWidth="1"/>
    <col min="16" max="20" width="7" customWidth="1"/>
    <col min="21" max="21" width="9.33203125" customWidth="1"/>
  </cols>
  <sheetData>
    <row r="1" spans="1:22" ht="20.25" customHeight="1" x14ac:dyDescent="0.2">
      <c r="A1" s="627" t="s">
        <v>0</v>
      </c>
      <c r="B1" s="627"/>
      <c r="C1" s="627"/>
      <c r="D1" s="627"/>
      <c r="E1" s="627"/>
      <c r="F1" s="627"/>
      <c r="G1" s="627"/>
      <c r="H1" s="627"/>
      <c r="I1" s="627"/>
      <c r="J1" s="627"/>
      <c r="K1" s="627"/>
      <c r="L1" s="627"/>
      <c r="M1" s="627"/>
      <c r="N1" s="627"/>
      <c r="O1" s="627"/>
      <c r="P1" s="627"/>
      <c r="Q1" s="627"/>
      <c r="R1" s="627"/>
      <c r="S1" s="627"/>
      <c r="T1" s="627"/>
      <c r="U1" s="627"/>
      <c r="V1" s="106"/>
    </row>
    <row r="2" spans="1:22" ht="15.75" customHeight="1" x14ac:dyDescent="0.2">
      <c r="A2" s="628" t="s">
        <v>1</v>
      </c>
      <c r="B2" s="628"/>
      <c r="C2" s="628"/>
      <c r="D2" s="628"/>
      <c r="E2" s="628"/>
      <c r="F2" s="628"/>
      <c r="G2" s="628"/>
      <c r="H2" s="628"/>
      <c r="I2" s="628"/>
      <c r="J2" s="628"/>
      <c r="K2" s="628"/>
      <c r="L2" s="628"/>
      <c r="M2" s="628"/>
      <c r="N2" s="628"/>
      <c r="O2" s="628"/>
      <c r="P2" s="628"/>
      <c r="Q2" s="628"/>
      <c r="R2" s="628"/>
      <c r="S2" s="628"/>
      <c r="T2" s="628"/>
      <c r="U2" s="628"/>
      <c r="V2" s="107"/>
    </row>
    <row r="3" spans="1:22" ht="15.75" customHeight="1" x14ac:dyDescent="0.2">
      <c r="A3" s="629" t="s">
        <v>2</v>
      </c>
      <c r="B3" s="629"/>
      <c r="C3" s="629"/>
      <c r="D3" s="629"/>
      <c r="E3" s="629"/>
      <c r="F3" s="629"/>
      <c r="G3" s="629"/>
      <c r="H3" s="629"/>
      <c r="I3" s="629"/>
      <c r="J3" s="629"/>
      <c r="K3" s="629"/>
      <c r="L3" s="629"/>
      <c r="M3" s="629"/>
      <c r="N3" s="629"/>
      <c r="O3" s="629"/>
      <c r="P3" s="629"/>
      <c r="Q3" s="629"/>
      <c r="R3" s="629"/>
      <c r="S3" s="629"/>
      <c r="T3" s="629"/>
      <c r="U3" s="629"/>
      <c r="V3" s="5"/>
    </row>
    <row r="4" spans="1:22" s="109" customFormat="1" ht="16" x14ac:dyDescent="0.2">
      <c r="A4" s="106" t="s">
        <v>3</v>
      </c>
      <c r="T4" s="616" t="s">
        <v>4</v>
      </c>
      <c r="U4" s="616"/>
    </row>
    <row r="5" spans="1:22" s="109" customFormat="1" ht="16" x14ac:dyDescent="0.2">
      <c r="A5" s="106" t="s">
        <v>5</v>
      </c>
    </row>
    <row r="6" spans="1:22" ht="15" x14ac:dyDescent="0.2">
      <c r="A6" s="2"/>
      <c r="I6" s="620" t="s">
        <v>7</v>
      </c>
      <c r="J6" s="620"/>
      <c r="K6" s="620"/>
      <c r="L6" s="620"/>
      <c r="M6" s="620"/>
      <c r="N6" s="3"/>
      <c r="O6" s="3"/>
      <c r="P6" s="620" t="s">
        <v>8</v>
      </c>
      <c r="Q6" s="620"/>
      <c r="R6" s="620"/>
      <c r="S6" s="620"/>
      <c r="T6" s="620"/>
      <c r="U6" s="4"/>
    </row>
    <row r="7" spans="1:22" ht="15" x14ac:dyDescent="0.2">
      <c r="A7" s="5"/>
      <c r="I7" s="621" t="s">
        <v>9</v>
      </c>
      <c r="J7" s="621"/>
      <c r="K7" s="621"/>
      <c r="L7" s="621"/>
      <c r="M7" s="621"/>
      <c r="N7" s="6"/>
      <c r="O7" s="6"/>
      <c r="P7" s="622" t="s">
        <v>10</v>
      </c>
      <c r="Q7" s="622"/>
      <c r="R7" s="622"/>
      <c r="S7" s="622"/>
      <c r="T7" s="622"/>
    </row>
    <row r="8" spans="1:22" ht="15" x14ac:dyDescent="0.2">
      <c r="A8" s="7" t="s">
        <v>11</v>
      </c>
      <c r="B8" s="8">
        <v>2020</v>
      </c>
      <c r="C8" s="8">
        <v>2021</v>
      </c>
      <c r="D8" s="8">
        <v>2022</v>
      </c>
      <c r="E8" s="8">
        <v>2023</v>
      </c>
      <c r="F8" s="134">
        <v>2024</v>
      </c>
      <c r="G8" s="9"/>
      <c r="H8" s="8"/>
      <c r="I8" s="8">
        <v>2020</v>
      </c>
      <c r="J8" s="8">
        <v>2021</v>
      </c>
      <c r="K8" s="8">
        <v>2022</v>
      </c>
      <c r="L8" s="8">
        <v>2023</v>
      </c>
      <c r="M8" s="134">
        <v>2024</v>
      </c>
      <c r="N8" s="9"/>
      <c r="O8" s="8"/>
      <c r="P8" s="8">
        <v>2020</v>
      </c>
      <c r="Q8" s="8">
        <v>2021</v>
      </c>
      <c r="R8" s="8">
        <v>2022</v>
      </c>
      <c r="S8" s="8">
        <v>2023</v>
      </c>
      <c r="T8" s="134">
        <v>2024</v>
      </c>
    </row>
    <row r="9" spans="1:22" ht="15" x14ac:dyDescent="0.2">
      <c r="A9" s="10" t="s">
        <v>12</v>
      </c>
      <c r="B9" s="110"/>
      <c r="C9" s="11"/>
      <c r="D9" s="11"/>
      <c r="E9" s="11"/>
      <c r="F9" s="11"/>
      <c r="G9" s="12"/>
      <c r="H9" s="11"/>
      <c r="I9" s="13"/>
      <c r="J9" s="13"/>
      <c r="K9" s="13"/>
      <c r="L9" s="13"/>
      <c r="M9" s="13"/>
      <c r="N9" s="14"/>
      <c r="O9" s="13"/>
      <c r="P9" s="15"/>
      <c r="Q9" s="15"/>
      <c r="R9" s="15"/>
      <c r="S9" s="15"/>
      <c r="T9" s="15"/>
    </row>
    <row r="10" spans="1:22" ht="14.25" customHeight="1" x14ac:dyDescent="0.2">
      <c r="A10" s="5" t="s">
        <v>13</v>
      </c>
      <c r="B10" s="23"/>
      <c r="C10" s="21"/>
      <c r="D10" s="21"/>
      <c r="E10" s="21"/>
      <c r="F10" s="21"/>
      <c r="G10" s="22"/>
      <c r="H10" s="23"/>
      <c r="I10" s="18"/>
      <c r="J10" s="18"/>
      <c r="K10" s="18"/>
      <c r="L10" s="18"/>
      <c r="M10" s="18"/>
      <c r="N10" s="19"/>
      <c r="O10" s="18"/>
      <c r="P10" s="20"/>
      <c r="Q10" s="20"/>
      <c r="R10" s="20"/>
      <c r="S10" s="20"/>
      <c r="T10" s="20"/>
    </row>
    <row r="11" spans="1:22" ht="15" x14ac:dyDescent="0.2">
      <c r="A11" s="53" t="s">
        <v>14</v>
      </c>
      <c r="B11" s="24"/>
      <c r="C11" s="24"/>
      <c r="D11" s="24"/>
      <c r="E11" s="24"/>
      <c r="F11" s="24"/>
      <c r="G11" s="25"/>
      <c r="H11" s="24"/>
      <c r="I11" s="16"/>
      <c r="J11" s="16"/>
      <c r="K11" s="16"/>
      <c r="L11" s="16"/>
      <c r="M11" s="16"/>
      <c r="N11" s="17"/>
      <c r="O11" s="16"/>
      <c r="P11" s="26"/>
      <c r="Q11" s="26"/>
      <c r="R11" s="26"/>
      <c r="S11" s="26"/>
      <c r="T11" s="26"/>
    </row>
    <row r="12" spans="1:22" ht="6" customHeight="1" x14ac:dyDescent="0.2">
      <c r="A12" s="5"/>
      <c r="B12" s="27"/>
      <c r="C12" s="27"/>
      <c r="D12" s="27"/>
      <c r="E12" s="27"/>
      <c r="F12" s="27"/>
      <c r="G12" s="28"/>
      <c r="H12" s="27"/>
      <c r="I12" s="18"/>
      <c r="J12" s="18"/>
      <c r="K12" s="18"/>
      <c r="L12" s="18"/>
      <c r="M12" s="18"/>
      <c r="N12" s="19"/>
      <c r="O12" s="18"/>
      <c r="P12" s="20"/>
      <c r="Q12" s="20"/>
      <c r="R12" s="20"/>
      <c r="S12" s="20"/>
      <c r="T12" s="20"/>
    </row>
    <row r="13" spans="1:22" ht="15" x14ac:dyDescent="0.2">
      <c r="A13" s="5" t="s">
        <v>15</v>
      </c>
      <c r="B13" s="27"/>
      <c r="C13" s="27"/>
      <c r="D13" s="27"/>
      <c r="E13" s="27"/>
      <c r="F13" s="27"/>
      <c r="G13" s="28"/>
      <c r="H13" s="27"/>
      <c r="I13" s="18"/>
      <c r="J13" s="18"/>
      <c r="K13" s="18"/>
      <c r="L13" s="18"/>
      <c r="M13" s="18"/>
      <c r="N13" s="19"/>
      <c r="O13" s="18"/>
      <c r="P13" s="29"/>
      <c r="Q13" s="20"/>
      <c r="R13" s="20"/>
      <c r="S13" s="20"/>
      <c r="T13" s="20"/>
    </row>
    <row r="14" spans="1:22" ht="15" x14ac:dyDescent="0.2">
      <c r="A14" s="52" t="s">
        <v>16</v>
      </c>
      <c r="B14" s="31"/>
      <c r="C14" s="31"/>
      <c r="D14" s="31"/>
      <c r="E14" s="31"/>
      <c r="F14" s="31"/>
      <c r="G14" s="32"/>
      <c r="H14" s="31"/>
      <c r="I14" s="18"/>
      <c r="J14" s="18"/>
      <c r="K14" s="18"/>
      <c r="L14" s="18"/>
      <c r="M14" s="18"/>
      <c r="N14" s="19"/>
      <c r="O14" s="18"/>
      <c r="P14" s="20"/>
      <c r="Q14" s="20"/>
      <c r="R14" s="20"/>
      <c r="S14" s="20"/>
      <c r="T14" s="20"/>
    </row>
    <row r="15" spans="1:22" ht="15" x14ac:dyDescent="0.2">
      <c r="A15" s="52" t="s">
        <v>17</v>
      </c>
      <c r="B15" s="33"/>
      <c r="C15" s="33"/>
      <c r="D15" s="33"/>
      <c r="E15" s="33"/>
      <c r="F15" s="33"/>
      <c r="G15" s="34"/>
      <c r="H15" s="33"/>
      <c r="I15" s="18"/>
      <c r="J15" s="18"/>
      <c r="K15" s="18"/>
      <c r="L15" s="18"/>
      <c r="M15" s="18"/>
      <c r="N15" s="19"/>
      <c r="O15" s="18"/>
      <c r="P15" s="20"/>
      <c r="Q15" s="20"/>
      <c r="R15" s="20"/>
      <c r="S15" s="20"/>
      <c r="T15" s="20"/>
    </row>
    <row r="16" spans="1:22" ht="15" x14ac:dyDescent="0.2">
      <c r="A16" s="52" t="s">
        <v>18</v>
      </c>
      <c r="B16" s="33"/>
      <c r="C16" s="33"/>
      <c r="D16" s="33"/>
      <c r="E16" s="33"/>
      <c r="F16" s="33"/>
      <c r="G16" s="34"/>
      <c r="H16" s="33"/>
      <c r="I16" s="18"/>
      <c r="J16" s="18"/>
      <c r="K16" s="18"/>
      <c r="L16" s="18"/>
      <c r="M16" s="18"/>
      <c r="N16" s="19"/>
      <c r="O16" s="18"/>
      <c r="P16" s="20"/>
      <c r="Q16" s="20"/>
      <c r="R16" s="20"/>
      <c r="S16" s="20"/>
      <c r="T16" s="20"/>
    </row>
    <row r="17" spans="1:20" ht="15" x14ac:dyDescent="0.2">
      <c r="A17" s="52" t="s">
        <v>19</v>
      </c>
      <c r="B17" s="33"/>
      <c r="C17" s="33"/>
      <c r="D17" s="33"/>
      <c r="E17" s="33"/>
      <c r="F17" s="33"/>
      <c r="G17" s="34"/>
      <c r="H17" s="33"/>
      <c r="I17" s="18"/>
      <c r="J17" s="18"/>
      <c r="K17" s="18"/>
      <c r="L17" s="18"/>
      <c r="M17" s="18"/>
      <c r="N17" s="19"/>
      <c r="O17" s="18"/>
      <c r="P17" s="20"/>
      <c r="Q17" s="20"/>
      <c r="R17" s="20"/>
      <c r="S17" s="20"/>
      <c r="T17" s="20"/>
    </row>
    <row r="18" spans="1:20" ht="15" x14ac:dyDescent="0.2">
      <c r="A18" s="52" t="s">
        <v>20</v>
      </c>
      <c r="B18" s="33"/>
      <c r="C18" s="33"/>
      <c r="D18" s="33"/>
      <c r="E18" s="33"/>
      <c r="F18" s="33"/>
      <c r="G18" s="34"/>
      <c r="H18" s="33"/>
      <c r="I18" s="18"/>
      <c r="J18" s="18"/>
      <c r="K18" s="18"/>
      <c r="L18" s="18"/>
      <c r="M18" s="18"/>
      <c r="N18" s="19"/>
      <c r="O18" s="18"/>
      <c r="P18" s="20"/>
      <c r="Q18" s="20"/>
      <c r="R18" s="20"/>
      <c r="S18" s="20"/>
      <c r="T18" s="20"/>
    </row>
    <row r="19" spans="1:20" ht="6.75" customHeight="1" x14ac:dyDescent="0.2">
      <c r="A19" s="5"/>
      <c r="B19" s="35"/>
      <c r="C19" s="35"/>
      <c r="D19" s="35"/>
      <c r="E19" s="35"/>
      <c r="F19" s="35"/>
      <c r="G19" s="36"/>
      <c r="H19" s="35"/>
      <c r="I19" s="18"/>
      <c r="J19" s="18"/>
      <c r="K19" s="18"/>
      <c r="L19" s="18"/>
      <c r="M19" s="18"/>
      <c r="N19" s="19"/>
      <c r="O19" s="18"/>
      <c r="P19" s="20"/>
      <c r="Q19" s="20"/>
      <c r="R19" s="20"/>
      <c r="S19" s="20"/>
      <c r="T19" s="20"/>
    </row>
    <row r="20" spans="1:20" ht="15" x14ac:dyDescent="0.2">
      <c r="A20" s="10" t="s">
        <v>21</v>
      </c>
      <c r="B20" s="37"/>
      <c r="C20" s="37"/>
      <c r="D20" s="37"/>
      <c r="E20" s="37"/>
      <c r="F20" s="37"/>
      <c r="G20" s="38"/>
      <c r="H20" s="37"/>
      <c r="I20" s="16"/>
      <c r="J20" s="16"/>
      <c r="K20" s="16"/>
      <c r="L20" s="16"/>
      <c r="M20" s="16"/>
      <c r="N20" s="17"/>
      <c r="O20" s="16"/>
      <c r="P20" s="26"/>
      <c r="Q20" s="26"/>
      <c r="R20" s="26"/>
      <c r="S20" s="26"/>
      <c r="T20" s="26"/>
    </row>
    <row r="21" spans="1:20" ht="15" x14ac:dyDescent="0.2">
      <c r="A21" s="5" t="s">
        <v>22</v>
      </c>
      <c r="B21" s="16"/>
      <c r="C21" s="108"/>
      <c r="D21" s="108"/>
      <c r="E21" s="108"/>
      <c r="F21" s="108"/>
      <c r="G21" s="17"/>
      <c r="H21" s="16"/>
      <c r="I21" s="18"/>
      <c r="J21" s="18"/>
      <c r="K21" s="18"/>
      <c r="L21" s="18"/>
      <c r="M21" s="18"/>
      <c r="N21" s="19"/>
      <c r="O21" s="18"/>
      <c r="P21" s="20"/>
      <c r="Q21" s="20"/>
      <c r="R21" s="20"/>
      <c r="S21" s="20"/>
      <c r="T21" s="20"/>
    </row>
    <row r="22" spans="1:20" ht="15" x14ac:dyDescent="0.2">
      <c r="A22" s="5" t="s">
        <v>23</v>
      </c>
      <c r="B22" s="33"/>
      <c r="C22" s="33"/>
      <c r="D22" s="33"/>
      <c r="E22" s="33"/>
      <c r="F22" s="33"/>
      <c r="G22" s="34"/>
      <c r="H22" s="33"/>
      <c r="I22" s="18"/>
      <c r="J22" s="18"/>
      <c r="K22" s="18"/>
      <c r="L22" s="18"/>
      <c r="M22" s="18"/>
      <c r="N22" s="19"/>
      <c r="O22" s="18"/>
      <c r="P22" s="20"/>
      <c r="Q22" s="20"/>
      <c r="R22" s="20"/>
      <c r="S22" s="20"/>
      <c r="T22" s="20"/>
    </row>
    <row r="23" spans="1:20" ht="6.75" customHeight="1" x14ac:dyDescent="0.2">
      <c r="A23" s="5"/>
      <c r="B23" s="31"/>
      <c r="C23" s="31"/>
      <c r="D23" s="31"/>
      <c r="E23" s="31"/>
      <c r="F23" s="31"/>
      <c r="G23" s="32"/>
      <c r="H23" s="31"/>
      <c r="I23" s="18"/>
      <c r="J23" s="18"/>
      <c r="K23" s="18"/>
      <c r="L23" s="18"/>
      <c r="M23" s="18"/>
      <c r="N23" s="19"/>
      <c r="O23" s="18"/>
      <c r="P23" s="20"/>
      <c r="Q23" s="20"/>
      <c r="R23" s="20"/>
      <c r="S23" s="20"/>
      <c r="T23" s="20"/>
    </row>
    <row r="24" spans="1:20" ht="15" x14ac:dyDescent="0.2">
      <c r="A24" s="5" t="s">
        <v>24</v>
      </c>
      <c r="B24" s="31"/>
      <c r="C24" s="31"/>
      <c r="D24" s="31"/>
      <c r="E24" s="31"/>
      <c r="F24" s="31"/>
      <c r="G24" s="32"/>
      <c r="H24" s="31"/>
      <c r="I24" s="18"/>
      <c r="J24" s="18"/>
      <c r="K24" s="18"/>
      <c r="L24" s="18"/>
      <c r="M24" s="18"/>
      <c r="N24" s="19"/>
      <c r="O24" s="18"/>
      <c r="P24" s="20"/>
      <c r="Q24" s="20"/>
      <c r="R24" s="20"/>
      <c r="S24" s="20"/>
      <c r="T24" s="20"/>
    </row>
    <row r="25" spans="1:20" ht="15" x14ac:dyDescent="0.2">
      <c r="A25" s="5" t="s">
        <v>25</v>
      </c>
      <c r="B25" s="33"/>
      <c r="C25" s="33"/>
      <c r="D25" s="33"/>
      <c r="E25" s="33"/>
      <c r="F25" s="33"/>
      <c r="G25" s="34"/>
      <c r="H25" s="33"/>
      <c r="I25" s="18"/>
      <c r="J25" s="18"/>
      <c r="K25" s="18"/>
      <c r="L25" s="18"/>
      <c r="M25" s="18"/>
      <c r="N25" s="19"/>
      <c r="O25" s="18"/>
      <c r="P25" s="20"/>
      <c r="Q25" s="20"/>
      <c r="R25" s="20"/>
      <c r="S25" s="20"/>
      <c r="T25" s="20"/>
    </row>
    <row r="26" spans="1:20" ht="15" x14ac:dyDescent="0.2">
      <c r="A26" s="5" t="s">
        <v>26</v>
      </c>
      <c r="B26" s="18"/>
      <c r="C26" s="18"/>
      <c r="D26" s="18"/>
      <c r="E26" s="18"/>
      <c r="F26" s="18"/>
      <c r="G26" s="19"/>
      <c r="H26" s="18"/>
      <c r="I26" s="18"/>
      <c r="J26" s="18"/>
      <c r="K26" s="18"/>
      <c r="L26" s="18"/>
      <c r="M26" s="18"/>
      <c r="N26" s="19"/>
      <c r="O26" s="18"/>
      <c r="P26" s="20"/>
      <c r="Q26" s="20"/>
      <c r="R26" s="20"/>
      <c r="S26" s="20"/>
      <c r="T26" s="20"/>
    </row>
    <row r="27" spans="1:20" ht="9" customHeight="1" x14ac:dyDescent="0.2">
      <c r="A27" s="5"/>
      <c r="B27" s="31"/>
      <c r="C27" s="31"/>
      <c r="D27" s="31"/>
      <c r="E27" s="31"/>
      <c r="F27" s="31"/>
      <c r="G27" s="32"/>
      <c r="H27" s="31"/>
      <c r="I27" s="18"/>
      <c r="J27" s="18"/>
      <c r="K27" s="18"/>
      <c r="L27" s="18"/>
      <c r="M27" s="18"/>
      <c r="N27" s="19"/>
      <c r="O27" s="18"/>
      <c r="P27" s="20"/>
      <c r="Q27" s="20"/>
      <c r="R27" s="20"/>
      <c r="S27" s="20"/>
      <c r="T27" s="20"/>
    </row>
    <row r="28" spans="1:20" ht="15" x14ac:dyDescent="0.2">
      <c r="A28" s="10" t="s">
        <v>27</v>
      </c>
      <c r="B28" s="37"/>
      <c r="C28" s="37"/>
      <c r="D28" s="37"/>
      <c r="E28" s="37"/>
      <c r="F28" s="37"/>
      <c r="G28" s="38"/>
      <c r="H28" s="37"/>
      <c r="I28" s="16"/>
      <c r="J28" s="16"/>
      <c r="K28" s="16"/>
      <c r="L28" s="16"/>
      <c r="M28" s="16"/>
      <c r="N28" s="17"/>
      <c r="O28" s="16"/>
      <c r="P28" s="26"/>
      <c r="Q28" s="26"/>
      <c r="R28" s="26"/>
      <c r="S28" s="26"/>
      <c r="T28" s="26"/>
    </row>
    <row r="29" spans="1:20" ht="9.75" customHeight="1" x14ac:dyDescent="0.2">
      <c r="A29" s="5"/>
      <c r="B29" s="31"/>
      <c r="C29" s="31"/>
      <c r="D29" s="31"/>
      <c r="E29" s="31"/>
      <c r="F29" s="31"/>
      <c r="G29" s="32"/>
      <c r="H29" s="31"/>
      <c r="I29" s="18"/>
      <c r="J29" s="18"/>
      <c r="K29" s="18"/>
      <c r="L29" s="18"/>
      <c r="M29" s="18"/>
      <c r="N29" s="19"/>
      <c r="O29" s="18"/>
      <c r="P29" s="20"/>
      <c r="Q29" s="20"/>
      <c r="R29" s="20"/>
      <c r="S29" s="20"/>
      <c r="T29" s="20"/>
    </row>
    <row r="30" spans="1:20" ht="15" x14ac:dyDescent="0.2">
      <c r="A30" s="10" t="s">
        <v>118</v>
      </c>
      <c r="B30" s="39"/>
      <c r="C30" s="39"/>
      <c r="D30" s="39"/>
      <c r="E30" s="39"/>
      <c r="F30" s="39"/>
      <c r="G30" s="40"/>
      <c r="H30" s="39"/>
      <c r="I30" s="18"/>
      <c r="J30" s="18"/>
      <c r="K30" s="18"/>
      <c r="L30" s="18"/>
      <c r="M30" s="18"/>
      <c r="N30" s="19"/>
      <c r="O30" s="18"/>
      <c r="P30" s="20"/>
      <c r="Q30" s="20"/>
      <c r="R30" s="20"/>
      <c r="S30" s="20"/>
      <c r="T30" s="20"/>
    </row>
    <row r="31" spans="1:20" ht="15" x14ac:dyDescent="0.2">
      <c r="A31" s="53" t="s">
        <v>30</v>
      </c>
      <c r="B31" s="41"/>
      <c r="C31" s="41"/>
      <c r="D31" s="41"/>
      <c r="E31" s="41"/>
      <c r="F31" s="41"/>
      <c r="G31" s="42"/>
      <c r="H31" s="41"/>
      <c r="I31" s="18"/>
      <c r="J31" s="18"/>
      <c r="K31" s="18"/>
      <c r="L31" s="18"/>
      <c r="M31" s="18"/>
      <c r="N31" s="19"/>
      <c r="O31" s="18"/>
      <c r="P31" s="20"/>
      <c r="Q31" s="20"/>
      <c r="R31" s="20"/>
      <c r="S31" s="20"/>
      <c r="T31" s="20"/>
    </row>
    <row r="32" spans="1:20" ht="15" x14ac:dyDescent="0.2">
      <c r="A32" s="52"/>
      <c r="B32" s="41"/>
      <c r="C32" s="41"/>
      <c r="D32" s="41"/>
      <c r="E32" s="41"/>
      <c r="F32" s="41"/>
      <c r="G32" s="42"/>
      <c r="H32" s="41"/>
      <c r="I32" s="18"/>
      <c r="J32" s="18"/>
      <c r="K32" s="18"/>
      <c r="L32" s="18"/>
      <c r="M32" s="18"/>
      <c r="N32" s="19"/>
      <c r="O32" s="18"/>
      <c r="P32" s="20"/>
      <c r="Q32" s="20"/>
      <c r="R32" s="20"/>
      <c r="S32" s="20"/>
      <c r="T32" s="20"/>
    </row>
    <row r="33" spans="1:20" ht="8.25" customHeight="1" x14ac:dyDescent="0.2">
      <c r="A33" s="43"/>
      <c r="B33" s="44"/>
      <c r="C33" s="44"/>
      <c r="D33" s="44"/>
      <c r="E33" s="44"/>
      <c r="F33" s="44"/>
      <c r="G33" s="44"/>
      <c r="H33" s="44"/>
      <c r="I33" s="45"/>
      <c r="J33" s="45"/>
      <c r="K33" s="45"/>
      <c r="L33" s="45"/>
      <c r="M33" s="45"/>
      <c r="N33" s="44"/>
      <c r="O33" s="44"/>
      <c r="P33" s="46"/>
      <c r="Q33" s="46"/>
      <c r="R33" s="46"/>
      <c r="S33" s="46"/>
      <c r="T33" s="46"/>
    </row>
    <row r="34" spans="1:20" ht="15" x14ac:dyDescent="0.2">
      <c r="A34" s="1"/>
      <c r="B34" s="54"/>
      <c r="C34" s="54"/>
      <c r="D34" s="54"/>
      <c r="E34" s="54"/>
      <c r="F34" s="54"/>
      <c r="G34" s="54"/>
      <c r="H34" s="54"/>
      <c r="I34" s="69"/>
      <c r="J34" s="69"/>
      <c r="K34" s="69"/>
      <c r="L34" s="69"/>
      <c r="M34" s="69"/>
      <c r="N34" s="69"/>
      <c r="O34" s="69"/>
      <c r="P34" s="70"/>
      <c r="Q34" s="70"/>
      <c r="R34" s="70"/>
      <c r="S34" s="70"/>
      <c r="T34" s="70"/>
    </row>
    <row r="35" spans="1:20" ht="15" x14ac:dyDescent="0.2">
      <c r="A35"/>
    </row>
    <row r="36" spans="1:20" ht="15" x14ac:dyDescent="0.2">
      <c r="A36"/>
    </row>
    <row r="37" spans="1:20" ht="15" x14ac:dyDescent="0.2">
      <c r="A37"/>
    </row>
    <row r="38" spans="1:20" ht="15" x14ac:dyDescent="0.2">
      <c r="A38"/>
    </row>
    <row r="39" spans="1:20" ht="15" x14ac:dyDescent="0.2">
      <c r="A39"/>
    </row>
    <row r="40" spans="1:20" ht="15" x14ac:dyDescent="0.2">
      <c r="A40"/>
    </row>
    <row r="41" spans="1:20" ht="15" x14ac:dyDescent="0.2">
      <c r="A41"/>
    </row>
    <row r="42" spans="1:20" ht="15" x14ac:dyDescent="0.2">
      <c r="A42"/>
    </row>
    <row r="43" spans="1:20" ht="15" x14ac:dyDescent="0.2">
      <c r="A43"/>
    </row>
    <row r="44" spans="1:20" ht="15" x14ac:dyDescent="0.2">
      <c r="A44"/>
    </row>
    <row r="45" spans="1:20" ht="15" x14ac:dyDescent="0.2">
      <c r="A45"/>
    </row>
    <row r="46" spans="1:20" ht="15" x14ac:dyDescent="0.2">
      <c r="A46"/>
    </row>
    <row r="47" spans="1:20" ht="15" x14ac:dyDescent="0.2">
      <c r="A47"/>
    </row>
    <row r="48" spans="1:20" ht="15" x14ac:dyDescent="0.2">
      <c r="A48"/>
    </row>
    <row r="49" spans="1:21" ht="17.25" customHeight="1" x14ac:dyDescent="0.25"/>
    <row r="50" spans="1:21" ht="17.25" customHeight="1" x14ac:dyDescent="0.25"/>
    <row r="51" spans="1:21" ht="16" customHeight="1" x14ac:dyDescent="0.25"/>
    <row r="52" spans="1:21" ht="17.25" customHeight="1" x14ac:dyDescent="0.25"/>
    <row r="53" spans="1:21" ht="18" x14ac:dyDescent="0.2">
      <c r="A53" s="627" t="s">
        <v>0</v>
      </c>
      <c r="B53" s="627"/>
      <c r="C53" s="627"/>
      <c r="D53" s="627"/>
      <c r="E53" s="627"/>
      <c r="F53" s="627"/>
      <c r="G53" s="627"/>
      <c r="H53" s="627"/>
      <c r="I53" s="627"/>
      <c r="J53" s="627"/>
      <c r="K53" s="627"/>
      <c r="L53" s="627"/>
      <c r="M53" s="627"/>
      <c r="N53" s="627"/>
      <c r="O53" s="627"/>
      <c r="P53" s="627"/>
      <c r="Q53" s="627"/>
      <c r="R53" s="627"/>
      <c r="S53" s="627"/>
      <c r="T53" s="627"/>
      <c r="U53" s="627"/>
    </row>
    <row r="54" spans="1:21" ht="14.25" customHeight="1" x14ac:dyDescent="0.2">
      <c r="A54" s="630" t="s">
        <v>32</v>
      </c>
      <c r="B54" s="631"/>
      <c r="C54" s="631"/>
      <c r="D54" s="631"/>
      <c r="E54" s="631"/>
      <c r="F54" s="631"/>
      <c r="G54" s="631"/>
      <c r="H54" s="631"/>
      <c r="I54" s="631"/>
      <c r="J54" s="631"/>
      <c r="K54" s="631"/>
      <c r="L54" s="631"/>
      <c r="M54" s="631"/>
      <c r="N54" s="631"/>
      <c r="O54" s="631"/>
      <c r="P54" s="631"/>
      <c r="Q54" s="631"/>
      <c r="R54" s="631"/>
      <c r="S54" s="631"/>
      <c r="T54" s="631"/>
      <c r="U54" s="631"/>
    </row>
    <row r="55" spans="1:21" ht="16" x14ac:dyDescent="0.2">
      <c r="A55" s="632" t="s">
        <v>33</v>
      </c>
      <c r="B55" s="633"/>
      <c r="C55" s="633"/>
      <c r="D55" s="633"/>
      <c r="E55" s="633"/>
      <c r="F55" s="633"/>
      <c r="G55" s="633"/>
      <c r="H55" s="633"/>
      <c r="I55" s="633"/>
      <c r="J55" s="633"/>
      <c r="K55" s="633"/>
      <c r="L55" s="633"/>
      <c r="M55" s="633"/>
      <c r="N55" s="633"/>
      <c r="O55" s="633"/>
      <c r="P55" s="633"/>
      <c r="Q55" s="633"/>
      <c r="R55" s="633"/>
      <c r="S55" s="633"/>
      <c r="T55" s="633"/>
      <c r="U55" s="633"/>
    </row>
    <row r="56" spans="1:21" s="109" customFormat="1" ht="16" x14ac:dyDescent="0.2">
      <c r="A56" s="106" t="s">
        <v>34</v>
      </c>
      <c r="T56" s="616" t="s">
        <v>35</v>
      </c>
      <c r="U56" s="616"/>
    </row>
    <row r="57" spans="1:21" s="109" customFormat="1" ht="16" x14ac:dyDescent="0.2">
      <c r="A57" s="106" t="str">
        <f>A5</f>
        <v>FIN320 Section B</v>
      </c>
    </row>
    <row r="58" spans="1:21" ht="6" customHeight="1" x14ac:dyDescent="0.2">
      <c r="A58" s="1"/>
      <c r="T58" s="613"/>
      <c r="U58" s="613"/>
    </row>
    <row r="59" spans="1:21" ht="15" x14ac:dyDescent="0.2">
      <c r="A59" s="48"/>
      <c r="B59" s="55"/>
      <c r="C59" s="55"/>
      <c r="D59" s="55"/>
      <c r="E59" s="55"/>
      <c r="F59" s="55"/>
      <c r="G59" s="55"/>
      <c r="H59" s="55"/>
      <c r="I59" s="614" t="s">
        <v>7</v>
      </c>
      <c r="J59" s="614"/>
      <c r="K59" s="614"/>
      <c r="L59" s="614"/>
      <c r="M59" s="614"/>
      <c r="N59" s="71"/>
      <c r="O59" s="71"/>
      <c r="P59" s="614" t="s">
        <v>8</v>
      </c>
      <c r="Q59" s="614"/>
      <c r="R59" s="614"/>
      <c r="S59" s="614"/>
      <c r="T59" s="614"/>
      <c r="U59" s="71"/>
    </row>
    <row r="60" spans="1:21" ht="15" x14ac:dyDescent="0.2">
      <c r="A60" s="49"/>
      <c r="B60" s="55"/>
      <c r="C60" s="55"/>
      <c r="D60" s="55"/>
      <c r="E60" s="55"/>
      <c r="F60" s="72"/>
      <c r="G60" s="72"/>
      <c r="H60" s="72"/>
      <c r="I60" s="615" t="s">
        <v>36</v>
      </c>
      <c r="J60" s="615"/>
      <c r="K60" s="615"/>
      <c r="L60" s="615"/>
      <c r="M60" s="615"/>
      <c r="N60" s="73"/>
      <c r="O60" s="73"/>
      <c r="P60" s="615" t="s">
        <v>37</v>
      </c>
      <c r="Q60" s="615"/>
      <c r="R60" s="615"/>
      <c r="S60" s="615"/>
      <c r="T60" s="615"/>
    </row>
    <row r="61" spans="1:21" ht="15" x14ac:dyDescent="0.2">
      <c r="A61" s="131" t="s">
        <v>38</v>
      </c>
      <c r="B61" s="8">
        <v>2020</v>
      </c>
      <c r="C61" s="8">
        <v>2021</v>
      </c>
      <c r="D61" s="8">
        <v>2022</v>
      </c>
      <c r="E61" s="8">
        <v>2023</v>
      </c>
      <c r="F61" s="134">
        <v>2024</v>
      </c>
      <c r="G61" s="9"/>
      <c r="H61" s="8"/>
      <c r="I61" s="8">
        <v>2020</v>
      </c>
      <c r="J61" s="8">
        <v>2021</v>
      </c>
      <c r="K61" s="8">
        <v>2022</v>
      </c>
      <c r="L61" s="8">
        <v>2023</v>
      </c>
      <c r="M61" s="134">
        <v>2024</v>
      </c>
      <c r="N61" s="9"/>
      <c r="O61" s="8"/>
      <c r="P61" s="8">
        <v>2020</v>
      </c>
      <c r="Q61" s="8">
        <v>2021</v>
      </c>
      <c r="R61" s="8">
        <v>2022</v>
      </c>
      <c r="S61" s="8">
        <v>2023</v>
      </c>
      <c r="T61" s="134">
        <v>2024</v>
      </c>
    </row>
    <row r="62" spans="1:21" ht="15" x14ac:dyDescent="0.2">
      <c r="A62" s="50" t="s">
        <v>39</v>
      </c>
      <c r="B62" s="56"/>
      <c r="C62" s="56"/>
      <c r="D62" s="56"/>
      <c r="E62" s="56"/>
      <c r="F62" s="56"/>
      <c r="G62" s="74"/>
      <c r="H62" s="56"/>
      <c r="I62" s="75"/>
      <c r="J62" s="76"/>
      <c r="K62" s="76"/>
      <c r="L62" s="76"/>
      <c r="M62" s="76"/>
      <c r="N62" s="77"/>
      <c r="O62" s="76"/>
      <c r="P62" s="78"/>
      <c r="Q62" s="56"/>
      <c r="R62" s="56"/>
      <c r="S62" s="56"/>
      <c r="T62" s="56"/>
    </row>
    <row r="63" spans="1:21" ht="15" x14ac:dyDescent="0.2">
      <c r="A63" s="51" t="s">
        <v>40</v>
      </c>
      <c r="B63" s="56"/>
      <c r="C63" s="56"/>
      <c r="D63" s="56"/>
      <c r="E63" s="56"/>
      <c r="F63" s="56"/>
      <c r="G63" s="74"/>
      <c r="H63" s="56"/>
      <c r="I63" s="76"/>
      <c r="J63" s="76"/>
      <c r="K63" s="76"/>
      <c r="L63" s="76"/>
      <c r="M63" s="76"/>
      <c r="N63" s="77"/>
      <c r="O63" s="76"/>
      <c r="P63" s="56"/>
      <c r="Q63" s="56"/>
      <c r="R63" s="56"/>
      <c r="S63" s="56"/>
      <c r="T63" s="56"/>
    </row>
    <row r="64" spans="1:21" ht="15" x14ac:dyDescent="0.2">
      <c r="A64" s="51" t="s">
        <v>41</v>
      </c>
      <c r="B64" s="57"/>
      <c r="C64" s="57"/>
      <c r="D64" s="79"/>
      <c r="E64" s="79"/>
      <c r="F64" s="79"/>
      <c r="G64" s="80"/>
      <c r="H64" s="79"/>
      <c r="I64" s="81"/>
      <c r="J64" s="81"/>
      <c r="K64" s="81"/>
      <c r="L64" s="81"/>
      <c r="M64" s="81"/>
      <c r="N64" s="82"/>
      <c r="O64" s="81"/>
      <c r="P64" s="83"/>
      <c r="Q64" s="83"/>
      <c r="R64" s="83"/>
      <c r="S64" s="83"/>
      <c r="T64" s="83"/>
    </row>
    <row r="65" spans="1:20" ht="15" x14ac:dyDescent="0.2">
      <c r="A65" s="51" t="s">
        <v>42</v>
      </c>
      <c r="B65" s="58"/>
      <c r="C65" s="58"/>
      <c r="D65" s="84"/>
      <c r="E65" s="84"/>
      <c r="F65" s="84"/>
      <c r="G65" s="85"/>
      <c r="H65" s="84"/>
      <c r="I65" s="81"/>
      <c r="J65" s="81"/>
      <c r="K65" s="81"/>
      <c r="L65" s="81"/>
      <c r="M65" s="81"/>
      <c r="N65" s="82"/>
      <c r="O65" s="81"/>
      <c r="P65" s="83"/>
      <c r="Q65" s="83"/>
      <c r="R65" s="83"/>
      <c r="S65" s="83"/>
      <c r="T65" s="83"/>
    </row>
    <row r="66" spans="1:20" ht="15" x14ac:dyDescent="0.2">
      <c r="A66" s="51" t="s">
        <v>43</v>
      </c>
      <c r="B66" s="59"/>
      <c r="C66" s="61"/>
      <c r="D66" s="61"/>
      <c r="E66" s="61"/>
      <c r="F66" s="61"/>
      <c r="G66" s="86"/>
      <c r="H66" s="61"/>
      <c r="I66" s="81"/>
      <c r="J66" s="81"/>
      <c r="K66" s="81"/>
      <c r="L66" s="81"/>
      <c r="M66" s="81"/>
      <c r="N66" s="82"/>
      <c r="O66" s="81"/>
      <c r="P66" s="83"/>
      <c r="Q66" s="83"/>
      <c r="R66" s="83"/>
      <c r="S66" s="83"/>
      <c r="T66" s="83"/>
    </row>
    <row r="67" spans="1:20" ht="15" x14ac:dyDescent="0.2">
      <c r="A67" s="51" t="s">
        <v>44</v>
      </c>
      <c r="B67" s="59"/>
      <c r="C67" s="59"/>
      <c r="D67" s="61"/>
      <c r="E67" s="61"/>
      <c r="F67" s="61"/>
      <c r="G67" s="86"/>
      <c r="H67" s="61"/>
      <c r="I67" s="81"/>
      <c r="J67" s="81"/>
      <c r="K67" s="81"/>
      <c r="L67" s="81"/>
      <c r="M67" s="81"/>
      <c r="N67" s="82"/>
      <c r="O67" s="81"/>
      <c r="P67" s="83"/>
      <c r="Q67" s="83"/>
      <c r="R67" s="83"/>
      <c r="S67" s="83"/>
      <c r="T67" s="83"/>
    </row>
    <row r="68" spans="1:20" ht="15" x14ac:dyDescent="0.2">
      <c r="A68" s="51" t="s">
        <v>459</v>
      </c>
      <c r="B68" s="59"/>
      <c r="C68" s="59"/>
      <c r="D68" s="61"/>
      <c r="E68" s="61"/>
      <c r="F68" s="61"/>
      <c r="G68" s="86"/>
      <c r="H68" s="61"/>
      <c r="I68" s="81"/>
      <c r="J68" s="81"/>
      <c r="K68" s="81"/>
      <c r="L68" s="81"/>
      <c r="M68" s="81"/>
      <c r="N68" s="82"/>
      <c r="O68" s="81"/>
      <c r="P68" s="83"/>
      <c r="Q68" s="83"/>
      <c r="R68" s="83"/>
      <c r="S68" s="83"/>
      <c r="T68" s="83"/>
    </row>
    <row r="69" spans="1:20" ht="15" x14ac:dyDescent="0.2">
      <c r="A69" s="121" t="s">
        <v>47</v>
      </c>
      <c r="B69" s="60"/>
      <c r="C69" s="60"/>
      <c r="D69" s="87"/>
      <c r="E69" s="87"/>
      <c r="F69" s="87"/>
      <c r="G69" s="88"/>
      <c r="H69" s="87"/>
      <c r="I69" s="89"/>
      <c r="J69" s="89"/>
      <c r="K69" s="89"/>
      <c r="L69" s="89"/>
      <c r="M69" s="89"/>
      <c r="N69" s="90"/>
      <c r="O69" s="89"/>
      <c r="P69" s="91"/>
      <c r="Q69" s="91"/>
      <c r="R69" s="91"/>
      <c r="S69" s="91"/>
      <c r="T69" s="91"/>
    </row>
    <row r="70" spans="1:20" ht="15" x14ac:dyDescent="0.2">
      <c r="A70" s="51" t="s">
        <v>126</v>
      </c>
      <c r="B70" s="59"/>
      <c r="C70" s="59"/>
      <c r="D70" s="61"/>
      <c r="E70" s="61"/>
      <c r="F70" s="61"/>
      <c r="G70" s="86"/>
      <c r="H70" s="61"/>
      <c r="I70" s="81"/>
      <c r="J70" s="81"/>
      <c r="K70" s="81"/>
      <c r="L70" s="81"/>
      <c r="M70" s="81"/>
      <c r="N70" s="82"/>
      <c r="O70" s="81"/>
      <c r="P70" s="83"/>
      <c r="Q70" s="83"/>
      <c r="R70" s="83"/>
      <c r="S70" s="83"/>
      <c r="T70" s="83"/>
    </row>
    <row r="71" spans="1:20" ht="15" x14ac:dyDescent="0.2">
      <c r="A71" s="51" t="s">
        <v>132</v>
      </c>
      <c r="B71" s="59"/>
      <c r="C71" s="59"/>
      <c r="D71" s="61"/>
      <c r="E71" s="61"/>
      <c r="F71" s="61"/>
      <c r="G71" s="86"/>
      <c r="H71" s="61"/>
      <c r="I71" s="81"/>
      <c r="J71" s="81"/>
      <c r="K71" s="81"/>
      <c r="L71" s="81"/>
      <c r="M71" s="81"/>
      <c r="N71" s="82"/>
      <c r="O71" s="81"/>
      <c r="P71" s="83"/>
      <c r="Q71" s="83"/>
      <c r="R71" s="83"/>
      <c r="S71" s="83"/>
      <c r="T71" s="83"/>
    </row>
    <row r="72" spans="1:20" ht="15" x14ac:dyDescent="0.2">
      <c r="A72" s="121" t="s">
        <v>54</v>
      </c>
      <c r="B72" s="60"/>
      <c r="C72" s="60"/>
      <c r="D72" s="87"/>
      <c r="E72" s="87"/>
      <c r="F72" s="87"/>
      <c r="G72" s="88"/>
      <c r="H72" s="87"/>
      <c r="I72" s="89"/>
      <c r="J72" s="89"/>
      <c r="K72" s="89"/>
      <c r="L72" s="89"/>
      <c r="M72" s="89"/>
      <c r="N72" s="90"/>
      <c r="O72" s="89"/>
      <c r="P72" s="91"/>
      <c r="Q72" s="91"/>
      <c r="R72" s="91"/>
      <c r="S72" s="91"/>
      <c r="T72" s="91"/>
    </row>
    <row r="73" spans="1:20" ht="8.25" customHeight="1" x14ac:dyDescent="0.2">
      <c r="A73" s="111"/>
      <c r="B73" s="112"/>
      <c r="C73" s="112"/>
      <c r="D73" s="113"/>
      <c r="E73" s="113"/>
      <c r="F73" s="113"/>
      <c r="G73" s="118"/>
      <c r="H73" s="113"/>
      <c r="I73" s="114"/>
      <c r="J73" s="114"/>
      <c r="K73" s="114"/>
      <c r="L73" s="114"/>
      <c r="M73" s="114"/>
      <c r="N73" s="119"/>
      <c r="O73" s="114"/>
      <c r="P73" s="120"/>
      <c r="Q73" s="120"/>
      <c r="R73" s="120"/>
      <c r="S73" s="120"/>
      <c r="T73" s="120"/>
    </row>
    <row r="74" spans="1:20" ht="15" x14ac:dyDescent="0.2">
      <c r="A74" s="50" t="s">
        <v>55</v>
      </c>
      <c r="B74" s="61"/>
      <c r="C74" s="61"/>
      <c r="D74" s="61"/>
      <c r="E74" s="61"/>
      <c r="F74" s="61"/>
      <c r="G74" s="86"/>
      <c r="H74" s="61"/>
      <c r="I74" s="81"/>
      <c r="J74" s="81"/>
      <c r="K74" s="81"/>
      <c r="L74" s="81"/>
      <c r="M74" s="81"/>
      <c r="N74" s="82"/>
      <c r="O74" s="81"/>
      <c r="P74" s="83"/>
      <c r="Q74" s="83"/>
      <c r="R74" s="83"/>
      <c r="S74" s="83"/>
      <c r="T74" s="83"/>
    </row>
    <row r="75" spans="1:20" ht="15" x14ac:dyDescent="0.2">
      <c r="A75" s="51" t="s">
        <v>56</v>
      </c>
      <c r="B75" s="61"/>
      <c r="C75" s="61"/>
      <c r="D75" s="61"/>
      <c r="E75" s="61"/>
      <c r="F75" s="61"/>
      <c r="G75" s="86"/>
      <c r="H75" s="61"/>
      <c r="I75" s="81"/>
      <c r="J75" s="81"/>
      <c r="K75" s="81"/>
      <c r="L75" s="81"/>
      <c r="M75" s="81"/>
      <c r="N75" s="82"/>
      <c r="O75" s="81"/>
      <c r="P75" s="83"/>
      <c r="Q75" s="83"/>
      <c r="R75" s="83"/>
      <c r="S75" s="83"/>
      <c r="T75" s="83"/>
    </row>
    <row r="76" spans="1:20" ht="15" x14ac:dyDescent="0.2">
      <c r="A76" s="51" t="s">
        <v>134</v>
      </c>
      <c r="B76" s="59"/>
      <c r="C76" s="59"/>
      <c r="D76" s="61"/>
      <c r="E76" s="61"/>
      <c r="F76" s="61"/>
      <c r="G76" s="86"/>
      <c r="H76" s="61"/>
      <c r="I76" s="81"/>
      <c r="J76" s="81"/>
      <c r="K76" s="81"/>
      <c r="L76" s="81"/>
      <c r="M76" s="81"/>
      <c r="N76" s="82"/>
      <c r="O76" s="81"/>
      <c r="P76" s="83"/>
      <c r="Q76" s="83"/>
      <c r="R76" s="83"/>
      <c r="S76" s="83"/>
      <c r="T76" s="83"/>
    </row>
    <row r="77" spans="1:20" ht="15" x14ac:dyDescent="0.2">
      <c r="A77" s="51" t="s">
        <v>460</v>
      </c>
      <c r="B77" s="59"/>
      <c r="C77" s="59"/>
      <c r="D77" s="61"/>
      <c r="E77" s="61"/>
      <c r="F77" s="61"/>
      <c r="G77" s="86"/>
      <c r="H77" s="61"/>
      <c r="I77" s="81"/>
      <c r="J77" s="81"/>
      <c r="K77" s="81"/>
      <c r="L77" s="81"/>
      <c r="M77" s="81"/>
      <c r="N77" s="82"/>
      <c r="O77" s="81"/>
      <c r="P77" s="83"/>
      <c r="Q77" s="83"/>
      <c r="R77" s="83"/>
      <c r="S77" s="83"/>
      <c r="T77" s="83"/>
    </row>
    <row r="78" spans="1:20" ht="15" x14ac:dyDescent="0.2">
      <c r="A78" s="51" t="s">
        <v>136</v>
      </c>
      <c r="B78" s="61"/>
      <c r="C78" s="59"/>
      <c r="D78" s="61"/>
      <c r="E78" s="61"/>
      <c r="F78" s="61"/>
      <c r="G78" s="86"/>
      <c r="H78" s="61"/>
      <c r="I78" s="81"/>
      <c r="J78" s="81"/>
      <c r="K78" s="81"/>
      <c r="L78" s="81"/>
      <c r="M78" s="81"/>
      <c r="N78" s="82"/>
      <c r="O78" s="81"/>
      <c r="P78" s="83"/>
      <c r="Q78" s="83"/>
      <c r="R78" s="83"/>
      <c r="S78" s="83"/>
      <c r="T78" s="83"/>
    </row>
    <row r="79" spans="1:20" ht="15" x14ac:dyDescent="0.2">
      <c r="A79" s="51" t="s">
        <v>137</v>
      </c>
      <c r="B79" s="59"/>
      <c r="C79" s="61"/>
      <c r="D79" s="61"/>
      <c r="E79" s="61"/>
      <c r="F79" s="61"/>
      <c r="G79" s="86"/>
      <c r="H79" s="61"/>
      <c r="I79" s="81"/>
      <c r="J79" s="81"/>
      <c r="K79" s="81"/>
      <c r="L79" s="81"/>
      <c r="M79" s="81"/>
      <c r="N79" s="82"/>
      <c r="O79" s="81"/>
      <c r="P79" s="83"/>
      <c r="Q79" s="83"/>
      <c r="R79" s="83"/>
      <c r="S79" s="83"/>
      <c r="T79" s="83"/>
    </row>
    <row r="80" spans="1:20" ht="15" x14ac:dyDescent="0.2">
      <c r="A80" s="121" t="s">
        <v>63</v>
      </c>
      <c r="B80" s="60"/>
      <c r="C80" s="87"/>
      <c r="D80" s="87"/>
      <c r="E80" s="87"/>
      <c r="F80" s="87"/>
      <c r="G80" s="88"/>
      <c r="H80" s="87"/>
      <c r="I80" s="89"/>
      <c r="J80" s="89"/>
      <c r="K80" s="89"/>
      <c r="L80" s="89"/>
      <c r="M80" s="89"/>
      <c r="N80" s="90"/>
      <c r="O80" s="89"/>
      <c r="P80" s="91"/>
      <c r="Q80" s="91"/>
      <c r="R80" s="91"/>
      <c r="S80" s="91"/>
      <c r="T80" s="91"/>
    </row>
    <row r="81" spans="1:21" ht="15" x14ac:dyDescent="0.2">
      <c r="A81" s="51" t="s">
        <v>138</v>
      </c>
      <c r="B81" s="59"/>
      <c r="C81" s="59"/>
      <c r="D81" s="61"/>
      <c r="E81" s="61"/>
      <c r="F81" s="61"/>
      <c r="G81" s="86"/>
      <c r="H81" s="61"/>
      <c r="I81" s="92"/>
      <c r="J81" s="92"/>
      <c r="K81" s="92"/>
      <c r="L81" s="92"/>
      <c r="M81" s="92"/>
      <c r="N81" s="93"/>
      <c r="O81" s="92"/>
      <c r="P81" s="94"/>
      <c r="Q81" s="83"/>
      <c r="R81" s="83"/>
      <c r="S81" s="83"/>
      <c r="T81" s="83"/>
    </row>
    <row r="82" spans="1:21" ht="15" x14ac:dyDescent="0.2">
      <c r="A82" s="51" t="s">
        <v>140</v>
      </c>
      <c r="B82" s="59"/>
      <c r="C82" s="59"/>
      <c r="D82" s="61"/>
      <c r="E82" s="61"/>
      <c r="F82" s="61"/>
      <c r="G82" s="86"/>
      <c r="H82" s="61"/>
      <c r="I82" s="95"/>
      <c r="J82" s="95"/>
      <c r="K82" s="95"/>
      <c r="L82" s="95"/>
      <c r="M82" s="95"/>
      <c r="N82" s="82"/>
      <c r="O82" s="81"/>
      <c r="P82" s="83"/>
      <c r="Q82" s="83"/>
      <c r="R82" s="83"/>
      <c r="S82" s="83"/>
      <c r="T82" s="83"/>
    </row>
    <row r="83" spans="1:21" ht="15" x14ac:dyDescent="0.2">
      <c r="A83" s="121" t="s">
        <v>67</v>
      </c>
      <c r="B83" s="60"/>
      <c r="C83" s="60"/>
      <c r="D83" s="87"/>
      <c r="E83" s="87"/>
      <c r="F83" s="87"/>
      <c r="G83" s="88"/>
      <c r="H83" s="87"/>
      <c r="I83" s="89"/>
      <c r="J83" s="89"/>
      <c r="K83" s="89"/>
      <c r="L83" s="89"/>
      <c r="M83" s="89"/>
      <c r="N83" s="90"/>
      <c r="O83" s="89"/>
      <c r="P83" s="91"/>
      <c r="Q83" s="91"/>
      <c r="R83" s="91"/>
      <c r="S83" s="91"/>
      <c r="T83" s="91"/>
    </row>
    <row r="84" spans="1:21" ht="15" x14ac:dyDescent="0.2">
      <c r="A84" s="51" t="s">
        <v>68</v>
      </c>
      <c r="B84" s="61"/>
      <c r="C84" s="61"/>
      <c r="D84" s="61"/>
      <c r="E84" s="61"/>
      <c r="F84" s="61"/>
      <c r="G84" s="86"/>
      <c r="H84" s="61"/>
      <c r="I84" s="81"/>
      <c r="J84" s="81"/>
      <c r="K84" s="81"/>
      <c r="L84" s="81"/>
      <c r="M84" s="81"/>
      <c r="N84" s="82"/>
      <c r="O84" s="81"/>
      <c r="P84" s="83"/>
      <c r="Q84" s="83"/>
      <c r="R84" s="83"/>
      <c r="S84" s="83"/>
      <c r="T84" s="83"/>
    </row>
    <row r="85" spans="1:21" ht="15" x14ac:dyDescent="0.2">
      <c r="A85" s="51" t="s">
        <v>461</v>
      </c>
      <c r="B85" s="59"/>
      <c r="C85" s="59"/>
      <c r="D85" s="61"/>
      <c r="E85" s="61"/>
      <c r="F85" s="61"/>
      <c r="G85" s="86"/>
      <c r="H85" s="61"/>
      <c r="I85" s="81"/>
      <c r="J85" s="81"/>
      <c r="K85" s="81"/>
      <c r="L85" s="81"/>
      <c r="M85" s="81"/>
      <c r="N85" s="82"/>
      <c r="O85" s="81"/>
      <c r="P85" s="83"/>
      <c r="Q85" s="83"/>
      <c r="R85" s="83"/>
      <c r="S85" s="83"/>
      <c r="T85" s="83"/>
    </row>
    <row r="86" spans="1:21" ht="15" x14ac:dyDescent="0.2">
      <c r="A86" s="51" t="s">
        <v>462</v>
      </c>
      <c r="B86" s="59"/>
      <c r="C86" s="59"/>
      <c r="D86" s="61"/>
      <c r="E86" s="61"/>
      <c r="F86" s="61"/>
      <c r="G86" s="86"/>
      <c r="H86" s="61"/>
      <c r="I86" s="81"/>
      <c r="J86" s="81"/>
      <c r="K86" s="81"/>
      <c r="L86" s="81"/>
      <c r="M86" s="81"/>
      <c r="N86" s="82"/>
      <c r="O86" s="81"/>
      <c r="P86" s="83"/>
      <c r="Q86" s="83"/>
      <c r="R86" s="83"/>
      <c r="S86" s="83"/>
      <c r="T86" s="83"/>
    </row>
    <row r="87" spans="1:21" ht="15" x14ac:dyDescent="0.2">
      <c r="A87" s="51" t="s">
        <v>463</v>
      </c>
      <c r="B87" s="59"/>
      <c r="C87" s="59"/>
      <c r="D87" s="61"/>
      <c r="E87" s="61"/>
      <c r="F87" s="61"/>
      <c r="G87" s="86"/>
      <c r="H87" s="61"/>
      <c r="I87" s="81"/>
      <c r="J87" s="81"/>
      <c r="K87" s="81"/>
      <c r="L87" s="81"/>
      <c r="M87" s="81"/>
      <c r="N87" s="82"/>
      <c r="O87" s="81"/>
      <c r="P87" s="83"/>
      <c r="Q87" s="83"/>
      <c r="R87" s="83"/>
      <c r="S87" s="83"/>
      <c r="T87" s="83"/>
    </row>
    <row r="88" spans="1:21" ht="15" x14ac:dyDescent="0.2">
      <c r="A88" s="51" t="s">
        <v>464</v>
      </c>
      <c r="B88" s="59"/>
      <c r="C88" s="61"/>
      <c r="D88" s="61"/>
      <c r="E88" s="61"/>
      <c r="F88" s="61"/>
      <c r="G88" s="86"/>
      <c r="H88" s="61"/>
      <c r="I88" s="81"/>
      <c r="J88" s="95"/>
      <c r="K88" s="95"/>
      <c r="L88" s="95"/>
      <c r="M88" s="81"/>
      <c r="N88" s="82"/>
      <c r="O88" s="81"/>
      <c r="P88" s="83"/>
      <c r="Q88" s="83"/>
      <c r="R88" s="83"/>
      <c r="S88" s="83"/>
      <c r="T88" s="83"/>
    </row>
    <row r="89" spans="1:21" ht="15" x14ac:dyDescent="0.2">
      <c r="A89" s="121" t="s">
        <v>74</v>
      </c>
      <c r="B89" s="60"/>
      <c r="C89" s="60"/>
      <c r="D89" s="87"/>
      <c r="E89" s="87"/>
      <c r="F89" s="87"/>
      <c r="G89" s="88"/>
      <c r="H89" s="87"/>
      <c r="I89" s="89"/>
      <c r="J89" s="89"/>
      <c r="K89" s="89"/>
      <c r="L89" s="89"/>
      <c r="M89" s="89"/>
      <c r="N89" s="90"/>
      <c r="O89" s="89"/>
      <c r="P89" s="91"/>
      <c r="Q89" s="91"/>
      <c r="R89" s="91"/>
      <c r="S89" s="91"/>
      <c r="T89" s="91"/>
    </row>
    <row r="90" spans="1:21" ht="15" x14ac:dyDescent="0.2">
      <c r="A90" s="122" t="s">
        <v>75</v>
      </c>
      <c r="B90" s="62"/>
      <c r="C90" s="62"/>
      <c r="D90" s="96"/>
      <c r="E90" s="96"/>
      <c r="F90" s="96"/>
      <c r="G90" s="97"/>
      <c r="H90" s="96"/>
      <c r="I90" s="98"/>
      <c r="J90" s="89"/>
      <c r="K90" s="89"/>
      <c r="L90" s="89"/>
      <c r="M90" s="98"/>
      <c r="N90" s="99"/>
      <c r="O90" s="89"/>
      <c r="P90" s="91"/>
      <c r="Q90" s="91"/>
      <c r="R90" s="91"/>
      <c r="S90" s="91"/>
      <c r="T90" s="91"/>
    </row>
    <row r="91" spans="1:21" ht="15" x14ac:dyDescent="0.2">
      <c r="A91" s="51"/>
      <c r="B91" s="115"/>
      <c r="C91" s="115"/>
      <c r="D91" s="56"/>
      <c r="E91" s="56"/>
      <c r="F91" s="56"/>
      <c r="G91" s="56"/>
      <c r="H91" s="56"/>
      <c r="I91" s="76"/>
      <c r="J91" s="76"/>
      <c r="K91" s="76"/>
      <c r="L91" s="76"/>
      <c r="M91" s="76"/>
      <c r="N91" s="76"/>
      <c r="O91" s="76"/>
      <c r="P91" s="116"/>
      <c r="Q91" s="116"/>
      <c r="R91" s="116"/>
      <c r="S91" s="116"/>
      <c r="T91" s="116"/>
      <c r="U91" s="117"/>
    </row>
    <row r="92" spans="1:21" ht="15" x14ac:dyDescent="0.2">
      <c r="A92" s="51"/>
      <c r="B92" s="115"/>
      <c r="C92" s="115"/>
      <c r="D92" s="56"/>
      <c r="E92" s="56"/>
      <c r="F92" s="56"/>
      <c r="G92" s="56"/>
      <c r="H92" s="56"/>
      <c r="I92" s="76"/>
      <c r="J92" s="76"/>
      <c r="K92" s="76"/>
      <c r="L92" s="76"/>
      <c r="M92" s="76"/>
      <c r="N92" s="76"/>
      <c r="O92" s="76"/>
      <c r="P92" s="116"/>
      <c r="Q92" s="116"/>
      <c r="R92" s="116"/>
      <c r="S92" s="116"/>
      <c r="T92" s="116"/>
      <c r="U92" s="117"/>
    </row>
    <row r="93" spans="1:21" ht="17.25" customHeight="1" x14ac:dyDescent="0.2">
      <c r="A93" s="51"/>
      <c r="B93" s="115"/>
      <c r="C93" s="115"/>
      <c r="D93" s="56"/>
      <c r="E93" s="56"/>
      <c r="F93" s="56"/>
      <c r="G93" s="56"/>
      <c r="H93" s="56"/>
      <c r="I93" s="76"/>
      <c r="J93" s="76"/>
      <c r="K93" s="76"/>
      <c r="L93" s="76"/>
      <c r="M93" s="76"/>
      <c r="N93" s="76"/>
      <c r="O93" s="76"/>
      <c r="P93" s="116"/>
      <c r="Q93" s="116"/>
      <c r="R93" s="116"/>
      <c r="S93" s="116"/>
      <c r="T93" s="116"/>
      <c r="U93" s="117"/>
    </row>
    <row r="94" spans="1:21" ht="21" customHeight="1" x14ac:dyDescent="0.2">
      <c r="A94" s="51"/>
      <c r="B94" s="115"/>
      <c r="C94" s="115"/>
      <c r="D94" s="56"/>
      <c r="E94" s="56"/>
      <c r="F94" s="56"/>
      <c r="G94" s="56"/>
      <c r="H94" s="56"/>
      <c r="I94" s="76"/>
      <c r="J94" s="76"/>
      <c r="K94" s="76"/>
      <c r="L94" s="76"/>
      <c r="M94" s="76"/>
      <c r="N94" s="76"/>
      <c r="O94" s="76"/>
      <c r="P94" s="116"/>
      <c r="Q94" s="116"/>
      <c r="R94" s="116"/>
      <c r="S94" s="116"/>
      <c r="T94" s="116"/>
      <c r="U94" s="117"/>
    </row>
    <row r="95" spans="1:21" ht="18" x14ac:dyDescent="0.2">
      <c r="A95" s="627"/>
      <c r="B95" s="627"/>
      <c r="C95" s="627"/>
      <c r="D95" s="627"/>
      <c r="E95" s="627"/>
      <c r="F95" s="627"/>
      <c r="G95" s="627"/>
      <c r="H95" s="627"/>
      <c r="I95" s="627"/>
      <c r="J95" s="627"/>
      <c r="K95" s="627"/>
      <c r="L95" s="627"/>
      <c r="M95" s="627"/>
      <c r="N95" s="627"/>
      <c r="O95" s="627"/>
      <c r="P95" s="627"/>
      <c r="Q95" s="627"/>
      <c r="R95" s="627"/>
      <c r="S95" s="627"/>
      <c r="T95" s="627"/>
      <c r="U95" s="627"/>
    </row>
    <row r="96" spans="1:21" ht="14.25" customHeight="1" x14ac:dyDescent="0.2">
      <c r="A96" s="630"/>
      <c r="B96" s="631"/>
      <c r="C96" s="631"/>
      <c r="D96" s="631"/>
      <c r="E96" s="631"/>
      <c r="F96" s="631"/>
      <c r="G96" s="631"/>
      <c r="H96" s="631"/>
      <c r="I96" s="631"/>
      <c r="J96" s="631"/>
      <c r="K96" s="631"/>
      <c r="L96" s="631"/>
      <c r="M96" s="631"/>
      <c r="N96" s="631"/>
      <c r="O96" s="631"/>
      <c r="P96" s="631"/>
      <c r="Q96" s="631"/>
      <c r="R96" s="631"/>
      <c r="S96" s="631"/>
      <c r="T96" s="631"/>
      <c r="U96" s="631"/>
    </row>
    <row r="97" spans="1:21" ht="16" x14ac:dyDescent="0.2">
      <c r="A97" s="632"/>
      <c r="B97" s="633"/>
      <c r="C97" s="633"/>
      <c r="D97" s="633"/>
      <c r="E97" s="633"/>
      <c r="F97" s="633"/>
      <c r="G97" s="633"/>
      <c r="H97" s="633"/>
      <c r="I97" s="633"/>
      <c r="J97" s="633"/>
      <c r="K97" s="633"/>
      <c r="L97" s="633"/>
      <c r="M97" s="633"/>
      <c r="N97" s="633"/>
      <c r="O97" s="633"/>
      <c r="P97" s="633"/>
      <c r="Q97" s="633"/>
      <c r="R97" s="633"/>
      <c r="S97" s="633"/>
      <c r="T97" s="633"/>
      <c r="U97" s="633"/>
    </row>
    <row r="98" spans="1:21" s="109" customFormat="1" ht="16" x14ac:dyDescent="0.2">
      <c r="A98" s="106"/>
      <c r="T98" s="616"/>
      <c r="U98" s="616"/>
    </row>
    <row r="99" spans="1:21" s="109" customFormat="1" ht="16" x14ac:dyDescent="0.2">
      <c r="A99" s="106"/>
    </row>
    <row r="100" spans="1:21" x14ac:dyDescent="0.25">
      <c r="D100" s="123"/>
      <c r="E100" s="123"/>
      <c r="K100" s="1"/>
    </row>
    <row r="101" spans="1:21" x14ac:dyDescent="0.25">
      <c r="B101" s="5"/>
      <c r="C101" s="5"/>
      <c r="D101" s="5"/>
      <c r="E101" s="5"/>
    </row>
    <row r="102" spans="1:21" ht="15" x14ac:dyDescent="0.2">
      <c r="A102" s="5"/>
      <c r="B102" s="63"/>
      <c r="C102" s="5"/>
      <c r="D102" s="5"/>
      <c r="E102" s="5"/>
    </row>
    <row r="103" spans="1:21" ht="15" x14ac:dyDescent="0.2">
      <c r="A103" s="5"/>
      <c r="B103" s="5"/>
      <c r="C103" s="63"/>
      <c r="D103" s="5"/>
      <c r="E103" s="5"/>
    </row>
    <row r="104" spans="1:21" ht="15" x14ac:dyDescent="0.2">
      <c r="A104" s="5"/>
      <c r="B104" s="5"/>
      <c r="C104" s="5"/>
      <c r="D104" s="124"/>
      <c r="E104" s="5"/>
    </row>
    <row r="105" spans="1:21" ht="15" x14ac:dyDescent="0.2">
      <c r="A105" s="5"/>
      <c r="B105" s="5"/>
      <c r="C105" s="5"/>
      <c r="D105" s="5"/>
      <c r="E105" s="5"/>
    </row>
    <row r="106" spans="1:21" ht="15" x14ac:dyDescent="0.2">
      <c r="A106" s="5"/>
      <c r="B106" s="125"/>
      <c r="C106" s="5"/>
      <c r="D106" s="5"/>
      <c r="E106" s="5"/>
    </row>
    <row r="107" spans="1:21" ht="15" x14ac:dyDescent="0.2">
      <c r="A107" s="5"/>
      <c r="B107" s="5"/>
      <c r="C107" s="125"/>
      <c r="D107" s="5"/>
      <c r="E107" s="5"/>
    </row>
    <row r="108" spans="1:21" ht="15" x14ac:dyDescent="0.2">
      <c r="A108" s="5"/>
      <c r="B108" s="5"/>
      <c r="C108" s="5"/>
      <c r="D108" s="5"/>
      <c r="E108" s="124"/>
    </row>
    <row r="109" spans="1:21" ht="15" x14ac:dyDescent="0.2">
      <c r="A109" s="5"/>
      <c r="B109" s="5"/>
      <c r="C109" s="5"/>
      <c r="D109" s="5"/>
      <c r="E109" s="124"/>
    </row>
    <row r="110" spans="1:21" ht="15" x14ac:dyDescent="0.2">
      <c r="A110" s="132"/>
      <c r="B110" s="8"/>
      <c r="C110" s="8"/>
      <c r="D110" s="8"/>
      <c r="E110" s="8"/>
      <c r="F110" s="8"/>
      <c r="G110" s="101"/>
      <c r="H110" s="101"/>
      <c r="I110" s="127"/>
      <c r="J110" s="127"/>
      <c r="K110" s="127"/>
      <c r="L110" s="127"/>
      <c r="M110" s="127"/>
      <c r="N110" s="127"/>
      <c r="O110" s="127"/>
      <c r="P110" s="127"/>
      <c r="Q110" s="127"/>
      <c r="R110" s="127"/>
      <c r="S110" s="127"/>
      <c r="T110" s="127"/>
      <c r="U110" s="127"/>
    </row>
    <row r="111" spans="1:21" ht="15" x14ac:dyDescent="0.2">
      <c r="A111" s="10"/>
      <c r="B111" s="102"/>
      <c r="C111" s="102"/>
      <c r="D111" s="102"/>
      <c r="E111" s="102"/>
      <c r="F111" s="102"/>
      <c r="G111" s="102"/>
      <c r="H111" s="102"/>
    </row>
    <row r="112" spans="1:21" ht="15" x14ac:dyDescent="0.2">
      <c r="A112" s="5"/>
      <c r="B112" s="100"/>
      <c r="C112" s="100"/>
      <c r="D112" s="100"/>
      <c r="E112" s="100"/>
      <c r="F112" s="100"/>
      <c r="G112" s="100"/>
      <c r="H112" s="65"/>
    </row>
    <row r="113" spans="1:8" ht="15" x14ac:dyDescent="0.2">
      <c r="A113" s="5"/>
      <c r="B113" s="100"/>
      <c r="C113" s="100"/>
      <c r="D113" s="100"/>
      <c r="E113" s="100"/>
      <c r="F113" s="100"/>
      <c r="G113" s="100"/>
      <c r="H113" s="65"/>
    </row>
    <row r="114" spans="1:8" ht="15" x14ac:dyDescent="0.2">
      <c r="A114" s="52"/>
      <c r="B114" s="100"/>
      <c r="C114" s="100"/>
      <c r="D114" s="100"/>
      <c r="E114" s="100"/>
      <c r="F114" s="100"/>
      <c r="G114" s="100"/>
      <c r="H114" s="65"/>
    </row>
    <row r="115" spans="1:8" ht="15" x14ac:dyDescent="0.2">
      <c r="A115" s="5"/>
      <c r="B115" s="100"/>
      <c r="C115" s="100"/>
      <c r="D115" s="100"/>
      <c r="E115" s="100"/>
      <c r="F115" s="100"/>
      <c r="G115" s="100"/>
      <c r="H115" s="65"/>
    </row>
    <row r="116" spans="1:8" ht="15" x14ac:dyDescent="0.2">
      <c r="A116" s="5"/>
      <c r="B116" s="64"/>
      <c r="C116" s="64"/>
      <c r="D116" s="64"/>
      <c r="E116" s="64"/>
      <c r="F116" s="64"/>
      <c r="G116" s="64"/>
      <c r="H116" s="66"/>
    </row>
    <row r="117" spans="1:8" ht="6.75" customHeight="1" x14ac:dyDescent="0.2">
      <c r="A117" s="5"/>
      <c r="B117" s="64"/>
      <c r="C117" s="64"/>
      <c r="D117" s="64"/>
      <c r="E117" s="64"/>
      <c r="F117" s="64"/>
      <c r="G117" s="64"/>
      <c r="H117" s="66"/>
    </row>
    <row r="118" spans="1:8" ht="15" x14ac:dyDescent="0.2">
      <c r="A118" s="53"/>
      <c r="B118" s="64"/>
      <c r="C118" s="64"/>
      <c r="D118" s="64"/>
      <c r="E118" s="64"/>
      <c r="F118" s="64"/>
      <c r="G118" s="64"/>
      <c r="H118" s="66"/>
    </row>
    <row r="119" spans="1:8" ht="15" x14ac:dyDescent="0.2">
      <c r="A119" s="52"/>
      <c r="B119" s="100"/>
      <c r="C119" s="100"/>
      <c r="D119" s="100"/>
      <c r="E119" s="100"/>
      <c r="F119" s="100"/>
      <c r="G119" s="100"/>
      <c r="H119" s="65"/>
    </row>
    <row r="120" spans="1:8" ht="15" x14ac:dyDescent="0.2">
      <c r="A120" s="52"/>
      <c r="B120" s="100"/>
      <c r="C120" s="100"/>
      <c r="D120" s="100"/>
      <c r="E120" s="100"/>
      <c r="F120" s="100"/>
      <c r="G120" s="100"/>
      <c r="H120" s="65"/>
    </row>
    <row r="121" spans="1:8" ht="15" x14ac:dyDescent="0.2">
      <c r="A121" s="5"/>
      <c r="B121" s="100"/>
      <c r="C121" s="100"/>
      <c r="D121" s="100"/>
      <c r="E121" s="100"/>
      <c r="F121" s="100"/>
      <c r="G121" s="100"/>
      <c r="H121" s="65"/>
    </row>
    <row r="122" spans="1:8" ht="15" x14ac:dyDescent="0.2">
      <c r="A122" s="5"/>
      <c r="B122" s="103"/>
      <c r="C122" s="103"/>
      <c r="D122" s="100"/>
      <c r="E122" s="100"/>
      <c r="F122" s="100"/>
      <c r="G122" s="100"/>
      <c r="H122" s="65"/>
    </row>
    <row r="123" spans="1:8" ht="15" x14ac:dyDescent="0.2">
      <c r="A123" s="5"/>
      <c r="B123" s="103"/>
      <c r="C123" s="103"/>
      <c r="D123" s="103"/>
      <c r="E123" s="103"/>
      <c r="F123" s="103"/>
      <c r="G123" s="103"/>
      <c r="H123" s="67"/>
    </row>
    <row r="124" spans="1:8" ht="15" x14ac:dyDescent="0.2">
      <c r="A124" s="5"/>
      <c r="B124" s="103"/>
      <c r="C124" s="103"/>
      <c r="D124" s="103"/>
      <c r="E124" s="103"/>
      <c r="F124" s="103"/>
      <c r="G124" s="103"/>
      <c r="H124" s="67"/>
    </row>
    <row r="125" spans="1:8" ht="6" customHeight="1" x14ac:dyDescent="0.2">
      <c r="A125" s="5"/>
      <c r="B125" s="64"/>
      <c r="C125" s="64"/>
      <c r="D125" s="103"/>
      <c r="E125" s="103"/>
      <c r="F125" s="103"/>
      <c r="G125" s="103"/>
      <c r="H125" s="67"/>
    </row>
    <row r="126" spans="1:8" ht="15" x14ac:dyDescent="0.2">
      <c r="A126" s="10"/>
      <c r="B126" s="64"/>
      <c r="C126" s="64"/>
      <c r="D126" s="64"/>
      <c r="E126" s="64"/>
      <c r="F126" s="64"/>
      <c r="G126" s="64"/>
      <c r="H126" s="66"/>
    </row>
    <row r="127" spans="1:8" ht="15" x14ac:dyDescent="0.2">
      <c r="A127" s="5"/>
      <c r="B127" s="100"/>
      <c r="C127" s="100"/>
      <c r="D127" s="100"/>
      <c r="E127" s="100"/>
      <c r="F127" s="100"/>
      <c r="G127" s="100"/>
      <c r="H127" s="65"/>
    </row>
    <row r="128" spans="1:8" ht="15" x14ac:dyDescent="0.2">
      <c r="A128" s="5"/>
      <c r="B128" s="64"/>
      <c r="C128" s="64"/>
      <c r="D128" s="64"/>
      <c r="E128" s="64"/>
      <c r="F128" s="64"/>
      <c r="G128" s="64"/>
      <c r="H128" s="66"/>
    </row>
    <row r="129" spans="1:8" ht="15" x14ac:dyDescent="0.2">
      <c r="A129" s="5"/>
      <c r="B129" s="100"/>
      <c r="C129" s="100"/>
      <c r="D129" s="100"/>
      <c r="E129" s="100"/>
      <c r="F129" s="100"/>
      <c r="G129" s="100"/>
      <c r="H129" s="65"/>
    </row>
    <row r="130" spans="1:8" ht="15" x14ac:dyDescent="0.2">
      <c r="A130" s="5"/>
      <c r="B130" s="64"/>
      <c r="C130" s="64"/>
      <c r="D130" s="64"/>
      <c r="E130" s="64"/>
      <c r="F130" s="64"/>
      <c r="G130" s="64"/>
      <c r="H130" s="66"/>
    </row>
    <row r="131" spans="1:8" ht="15" x14ac:dyDescent="0.2">
      <c r="A131" s="5"/>
      <c r="B131" s="100"/>
      <c r="C131" s="100"/>
      <c r="D131" s="100"/>
      <c r="E131" s="100"/>
      <c r="F131" s="100"/>
      <c r="G131" s="100"/>
      <c r="H131" s="65"/>
    </row>
    <row r="132" spans="1:8" ht="15" x14ac:dyDescent="0.2">
      <c r="A132" s="5"/>
      <c r="B132" s="100"/>
      <c r="C132" s="100"/>
      <c r="D132" s="100"/>
      <c r="E132" s="100"/>
      <c r="F132" s="100"/>
      <c r="G132" s="100"/>
      <c r="H132" s="65"/>
    </row>
    <row r="133" spans="1:8" ht="15" x14ac:dyDescent="0.2">
      <c r="A133" s="5"/>
      <c r="B133" s="100"/>
      <c r="C133" s="100"/>
      <c r="D133" s="100"/>
      <c r="E133" s="100"/>
      <c r="F133" s="100"/>
      <c r="G133" s="100"/>
      <c r="H133" s="65"/>
    </row>
    <row r="134" spans="1:8" ht="6.75" customHeight="1" x14ac:dyDescent="0.2">
      <c r="A134" s="5"/>
      <c r="B134" s="100"/>
      <c r="C134" s="100"/>
      <c r="D134" s="100"/>
      <c r="E134" s="100"/>
      <c r="F134" s="100"/>
      <c r="G134" s="100"/>
      <c r="H134" s="65"/>
    </row>
    <row r="135" spans="1:8" ht="15" x14ac:dyDescent="0.2">
      <c r="A135" s="10"/>
      <c r="B135" s="100"/>
      <c r="C135" s="100"/>
      <c r="D135" s="100"/>
      <c r="E135" s="100"/>
      <c r="F135" s="100"/>
      <c r="G135" s="100"/>
      <c r="H135" s="65"/>
    </row>
    <row r="136" spans="1:8" ht="15" x14ac:dyDescent="0.2">
      <c r="A136" s="5"/>
      <c r="B136" s="128"/>
      <c r="C136" s="128"/>
      <c r="D136" s="128"/>
      <c r="E136" s="128"/>
      <c r="F136" s="128"/>
      <c r="G136" s="100"/>
      <c r="H136" s="65"/>
    </row>
    <row r="137" spans="1:8" ht="15" x14ac:dyDescent="0.2">
      <c r="A137" s="5"/>
      <c r="B137" s="128"/>
      <c r="C137" s="128"/>
      <c r="D137" s="128"/>
      <c r="E137" s="128"/>
      <c r="F137" s="128"/>
      <c r="G137" s="100"/>
      <c r="H137" s="65"/>
    </row>
    <row r="138" spans="1:8" ht="15" x14ac:dyDescent="0.2">
      <c r="A138" s="5"/>
      <c r="B138" s="128"/>
      <c r="C138" s="128"/>
      <c r="D138" s="128"/>
      <c r="E138" s="128"/>
      <c r="F138" s="128"/>
      <c r="G138" s="100"/>
      <c r="H138" s="65"/>
    </row>
    <row r="139" spans="1:8" ht="15" x14ac:dyDescent="0.2">
      <c r="A139" s="5"/>
      <c r="B139" s="128"/>
      <c r="C139" s="128"/>
      <c r="D139" s="128"/>
      <c r="E139" s="128"/>
      <c r="F139" s="128"/>
      <c r="G139" s="100"/>
      <c r="H139" s="65"/>
    </row>
    <row r="140" spans="1:8" ht="8.25" customHeight="1" x14ac:dyDescent="0.2">
      <c r="A140" s="30"/>
      <c r="B140" s="128"/>
      <c r="C140" s="64"/>
      <c r="D140" s="64"/>
      <c r="E140" s="64"/>
      <c r="F140" s="64"/>
      <c r="G140" s="64"/>
      <c r="H140" s="66"/>
    </row>
    <row r="141" spans="1:8" ht="15" x14ac:dyDescent="0.2">
      <c r="A141" s="53"/>
      <c r="B141" s="64"/>
      <c r="C141" s="64"/>
      <c r="D141" s="64"/>
      <c r="E141" s="64"/>
      <c r="F141" s="64"/>
      <c r="G141" s="64"/>
      <c r="H141" s="66"/>
    </row>
    <row r="142" spans="1:8" ht="15" x14ac:dyDescent="0.2">
      <c r="A142" s="5"/>
      <c r="B142" s="128"/>
      <c r="C142" s="128"/>
      <c r="D142" s="128"/>
      <c r="E142" s="128"/>
      <c r="F142" s="128"/>
      <c r="G142" s="104"/>
      <c r="H142" s="133"/>
    </row>
    <row r="143" spans="1:8" ht="15" x14ac:dyDescent="0.2">
      <c r="A143" s="5"/>
      <c r="B143" s="100"/>
      <c r="C143" s="100"/>
      <c r="D143" s="100"/>
      <c r="E143" s="100"/>
      <c r="F143" s="100"/>
      <c r="G143" s="104"/>
      <c r="H143" s="133"/>
    </row>
    <row r="144" spans="1:8" ht="15" x14ac:dyDescent="0.2">
      <c r="A144" s="126"/>
      <c r="B144" s="128"/>
      <c r="C144" s="128"/>
      <c r="D144" s="128"/>
      <c r="E144" s="128"/>
      <c r="F144" s="128"/>
      <c r="G144" s="104"/>
      <c r="H144" s="68"/>
    </row>
    <row r="145" spans="1:21" ht="15" x14ac:dyDescent="0.2">
      <c r="A145" s="52"/>
      <c r="B145" s="100"/>
      <c r="C145" s="100"/>
      <c r="D145" s="100"/>
      <c r="E145" s="100"/>
      <c r="F145" s="100"/>
      <c r="G145" s="104"/>
      <c r="H145" s="68"/>
    </row>
    <row r="146" spans="1:21" ht="15" x14ac:dyDescent="0.2">
      <c r="A146" s="126"/>
      <c r="B146" s="128"/>
      <c r="C146" s="128"/>
      <c r="D146" s="128"/>
      <c r="E146" s="128"/>
      <c r="F146" s="128"/>
      <c r="G146" s="104"/>
      <c r="H146" s="68"/>
    </row>
    <row r="147" spans="1:21" ht="11.25" customHeight="1" x14ac:dyDescent="0.25">
      <c r="A147" s="129"/>
      <c r="B147" s="130"/>
      <c r="C147" s="130"/>
      <c r="D147" s="130"/>
      <c r="E147" s="130"/>
      <c r="F147" s="130"/>
      <c r="G147" s="130"/>
      <c r="H147" s="130"/>
      <c r="I147" s="105"/>
      <c r="J147" s="105"/>
      <c r="K147" s="105"/>
      <c r="L147" s="105"/>
      <c r="M147" s="105"/>
      <c r="N147" s="105"/>
      <c r="O147" s="105"/>
      <c r="P147" s="105"/>
      <c r="Q147" s="105"/>
      <c r="R147" s="105"/>
      <c r="S147" s="105"/>
      <c r="T147" s="105"/>
      <c r="U147" s="105"/>
    </row>
    <row r="148" spans="1:21" x14ac:dyDescent="0.25">
      <c r="B148" s="128"/>
    </row>
  </sheetData>
  <mergeCells count="21">
    <mergeCell ref="T56:U56"/>
    <mergeCell ref="A1:U1"/>
    <mergeCell ref="A2:U2"/>
    <mergeCell ref="A3:U3"/>
    <mergeCell ref="T4:U4"/>
    <mergeCell ref="I6:M6"/>
    <mergeCell ref="P6:T6"/>
    <mergeCell ref="I7:M7"/>
    <mergeCell ref="P7:T7"/>
    <mergeCell ref="A53:U53"/>
    <mergeCell ref="A54:U54"/>
    <mergeCell ref="A55:U55"/>
    <mergeCell ref="A96:U96"/>
    <mergeCell ref="A97:U97"/>
    <mergeCell ref="T98:U98"/>
    <mergeCell ref="T58:U58"/>
    <mergeCell ref="I59:M59"/>
    <mergeCell ref="P59:T59"/>
    <mergeCell ref="I60:M60"/>
    <mergeCell ref="P60:T60"/>
    <mergeCell ref="A95:U95"/>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5271D-F74A-457D-B011-E11217992093}">
  <dimension ref="B2:O230"/>
  <sheetViews>
    <sheetView showGridLines="0" tabSelected="1" workbookViewId="0">
      <selection activeCell="B13" sqref="B13:G13"/>
    </sheetView>
  </sheetViews>
  <sheetFormatPr baseColWidth="10" defaultColWidth="8.83203125" defaultRowHeight="15" x14ac:dyDescent="0.2"/>
  <cols>
    <col min="2" max="2" width="75.83203125" customWidth="1"/>
    <col min="3" max="4" width="11.83203125" bestFit="1" customWidth="1"/>
    <col min="5" max="5" width="13" bestFit="1" customWidth="1"/>
    <col min="6" max="6" width="11.83203125" bestFit="1" customWidth="1"/>
    <col min="7" max="7" width="13" bestFit="1" customWidth="1"/>
    <col min="10" max="10" width="12.33203125" bestFit="1" customWidth="1"/>
    <col min="11" max="11" width="11.83203125" bestFit="1" customWidth="1"/>
    <col min="12" max="12" width="12.6640625" bestFit="1" customWidth="1"/>
    <col min="13" max="15" width="12" bestFit="1" customWidth="1"/>
  </cols>
  <sheetData>
    <row r="2" spans="2:15" x14ac:dyDescent="0.2">
      <c r="B2" s="651" t="s">
        <v>465</v>
      </c>
      <c r="C2" s="651"/>
      <c r="D2" s="651"/>
      <c r="E2" s="651"/>
      <c r="F2" s="651"/>
      <c r="G2" s="657"/>
      <c r="J2" s="651" t="s">
        <v>466</v>
      </c>
      <c r="K2" s="651"/>
      <c r="L2" s="651"/>
      <c r="M2" s="651"/>
      <c r="N2" s="651"/>
      <c r="O2" s="651"/>
    </row>
    <row r="4" spans="2:15" x14ac:dyDescent="0.2">
      <c r="B4" s="658" t="s">
        <v>467</v>
      </c>
      <c r="C4" s="658"/>
      <c r="D4" s="658"/>
      <c r="E4" s="658"/>
      <c r="F4" s="658"/>
      <c r="G4" s="659"/>
      <c r="J4" s="135" t="s">
        <v>468</v>
      </c>
    </row>
    <row r="5" spans="2:15" x14ac:dyDescent="0.2">
      <c r="B5" s="212"/>
      <c r="C5" s="213">
        <v>2021</v>
      </c>
      <c r="D5" s="214">
        <v>2022</v>
      </c>
      <c r="E5" s="214">
        <v>2023</v>
      </c>
      <c r="F5" s="214">
        <v>2024</v>
      </c>
      <c r="G5" s="215">
        <v>2025</v>
      </c>
      <c r="J5" s="290"/>
      <c r="K5" s="293">
        <v>2021</v>
      </c>
      <c r="L5" s="294">
        <v>2022</v>
      </c>
      <c r="M5" s="294">
        <v>2023</v>
      </c>
      <c r="N5" s="294">
        <v>2024</v>
      </c>
      <c r="O5" s="295">
        <v>2025</v>
      </c>
    </row>
    <row r="6" spans="2:15" x14ac:dyDescent="0.2">
      <c r="B6" s="216" t="s">
        <v>469</v>
      </c>
      <c r="C6" s="609">
        <f>'MONSTER (MNST)'!C30*'MONSTER (MNST)'!C31</f>
        <v>22208.046000000002</v>
      </c>
      <c r="D6" s="609">
        <f>'MONSTER (MNST)'!D30*'MONSTER (MNST)'!D31</f>
        <v>23178.275999999998</v>
      </c>
      <c r="E6" s="609">
        <f>'MONSTER (MNST)'!E30*'MONSTER (MNST)'!E31</f>
        <v>45975.027999999998</v>
      </c>
      <c r="F6" s="609">
        <f>'MONSTER (MNST)'!F30*'MONSTER (MNST)'!F31</f>
        <v>55251.130000000005</v>
      </c>
      <c r="G6" s="610">
        <f>'MONSTER (MNST)'!G30*'MONSTER (MNST)'!G31</f>
        <v>77095.072999999989</v>
      </c>
      <c r="J6" s="290" t="s">
        <v>469</v>
      </c>
      <c r="K6" s="291">
        <f>'MONSTER (MNST)'!C67</f>
        <v>7804.7839999999997</v>
      </c>
      <c r="L6" s="291">
        <f>'MONSTER (MNST)'!D67</f>
        <v>8293.1049999999996</v>
      </c>
      <c r="M6" s="291">
        <f>'MONSTER (MNST)'!E67</f>
        <v>9686.5220000000008</v>
      </c>
      <c r="N6" s="291">
        <f>'MONSTER (MNST)'!F67</f>
        <v>7719.0890000000009</v>
      </c>
      <c r="O6" s="292">
        <f>'MONSTER (MNST)'!G67</f>
        <v>9988.9449999999997</v>
      </c>
    </row>
    <row r="7" spans="2:15" x14ac:dyDescent="0.2">
      <c r="B7" s="216" t="s">
        <v>470</v>
      </c>
      <c r="C7" s="609">
        <f>'PepsiCo (PEP)'!B27*'PepsiCo (PEP)'!B28</f>
        <v>209898.16</v>
      </c>
      <c r="D7" s="609">
        <f>'PepsiCo (PEP)'!C27*'PepsiCo (PEP)'!C28</f>
        <v>223808.40000000002</v>
      </c>
      <c r="E7" s="609">
        <f>'PepsiCo (PEP)'!D27*'PepsiCo (PEP)'!D28</f>
        <v>215825.6</v>
      </c>
      <c r="F7" s="609">
        <f>'PepsiCo (PEP)'!E27*'PepsiCo (PEP)'!E28</f>
        <v>198975.15999999997</v>
      </c>
      <c r="G7" s="610">
        <f>'PepsiCo (PEP)'!F27*'PepsiCo (PEP)'!F28</f>
        <v>194740.25</v>
      </c>
      <c r="J7" s="216" t="s">
        <v>470</v>
      </c>
      <c r="K7" s="153">
        <f>'PepsiCo (PEP)'!B68</f>
        <v>92377</v>
      </c>
      <c r="L7" s="153">
        <f>'PepsiCo (PEP)'!C68</f>
        <v>92197</v>
      </c>
      <c r="M7" s="153">
        <f>'PepsiCo (PEP)'!D68</f>
        <v>100495</v>
      </c>
      <c r="N7" s="153">
        <f>'PepsiCo (PEP)'!E68</f>
        <v>99467</v>
      </c>
      <c r="O7" s="217">
        <f>'PepsiCo (PEP)'!F68</f>
        <v>107399</v>
      </c>
    </row>
    <row r="8" spans="2:15" x14ac:dyDescent="0.2">
      <c r="B8" s="216" t="s">
        <v>471</v>
      </c>
      <c r="C8" s="609">
        <f>'Coca Cola (KO)'!C30*'Coca Cola (KO)'!C31</f>
        <v>255491.15</v>
      </c>
      <c r="D8" s="609">
        <f>'Coca Cola (KO)'!D30*'Coca Cola (KO)'!D31</f>
        <v>275304.08</v>
      </c>
      <c r="E8" s="609">
        <f>'Coca Cola (KO)'!E30*'Coca Cola (KO)'!E31</f>
        <v>254754.38999999998</v>
      </c>
      <c r="F8" s="609">
        <f>'Coca Cola (KO)'!F30*'Coca Cola (KO)'!F31</f>
        <v>268278.33999999997</v>
      </c>
      <c r="G8" s="610">
        <f>'Coca Cola (KO)'!G30*'Coca Cola (KO)'!G31</f>
        <v>300822.73</v>
      </c>
      <c r="J8" s="216" t="s">
        <v>471</v>
      </c>
      <c r="K8" s="153">
        <f>'Coca Cola (KO)'!C67</f>
        <v>94354</v>
      </c>
      <c r="L8" s="153">
        <f>'Coca Cola (KO)'!D67</f>
        <v>92763</v>
      </c>
      <c r="M8" s="153">
        <f>'Coca Cola (KO)'!E67</f>
        <v>97703</v>
      </c>
      <c r="N8" s="153">
        <f>'Coca Cola (KO)'!F67</f>
        <v>100549</v>
      </c>
      <c r="O8" s="217">
        <f>'Coca Cola (KO)'!G67</f>
        <v>104816</v>
      </c>
    </row>
    <row r="9" spans="2:15" x14ac:dyDescent="0.2">
      <c r="B9" s="216" t="s">
        <v>472</v>
      </c>
      <c r="C9" s="609">
        <f>'CELSIUS (CELH)'!C30*'CELSIUS (CELH)'!C31/1000</f>
        <v>1862.23774</v>
      </c>
      <c r="D9" s="609">
        <f>'CELSIUS (CELH)'!D30*'CELSIUS (CELH)'!D31/1000</f>
        <v>2648.9277599999996</v>
      </c>
      <c r="E9" s="609">
        <f>'CELSIUS (CELH)'!E30*'CELSIUS (CELH)'!E31/1000</f>
        <v>12637.053518640001</v>
      </c>
      <c r="F9" s="609">
        <f>'CELSIUS (CELH)'!F30*'CELSIUS (CELH)'!F31/1000</f>
        <v>6190.2687599999999</v>
      </c>
      <c r="G9" s="610">
        <f>'CELSIUS (CELH)'!G30*'CELSIUS (CELH)'!G31/1000</f>
        <v>11750.880440000001</v>
      </c>
      <c r="J9" s="216" t="s">
        <v>472</v>
      </c>
      <c r="K9" s="153">
        <f>'CELSIUS (CELH)'!C67/1000</f>
        <v>314.01799999999997</v>
      </c>
      <c r="L9" s="153">
        <f>'CELSIUS (CELH)'!D67/1000</f>
        <v>1222.069</v>
      </c>
      <c r="M9" s="153">
        <f>'CELSIUS (CELH)'!E67/1000</f>
        <v>1536.396</v>
      </c>
      <c r="N9" s="153">
        <f>'CELSIUS (CELH)'!F67/1000</f>
        <v>1766.8810000000001</v>
      </c>
      <c r="O9" s="217">
        <f>'CELSIUS (CELH)'!G67/1000</f>
        <v>5119.6210000000001</v>
      </c>
    </row>
    <row r="10" spans="2:15" x14ac:dyDescent="0.2">
      <c r="B10" s="219" t="s">
        <v>473</v>
      </c>
      <c r="C10" s="611">
        <f>'K.Dr Paper (KDP)'!C30*'K.Dr Paper (KDP)'!C31</f>
        <v>41055.300000000003</v>
      </c>
      <c r="D10" s="611">
        <f>'K.Dr Paper (KDP)'!D30*'K.Dr Paper (KDP)'!D31</f>
        <v>51004.799999999996</v>
      </c>
      <c r="E10" s="611">
        <f>'K.Dr Paper (KDP)'!E30*'K.Dr Paper (KDP)'!E31</f>
        <v>44777.599999999999</v>
      </c>
      <c r="F10" s="611">
        <f>'K.Dr Paper (KDP)'!F30*'K.Dr Paper (KDP)'!F31</f>
        <v>43590.400000000001</v>
      </c>
      <c r="G10" s="612">
        <f>'K.Dr Paper (KDP)'!G30*'K.Dr Paper (KDP)'!G31</f>
        <v>38026.799999999996</v>
      </c>
      <c r="J10" s="219" t="s">
        <v>473</v>
      </c>
      <c r="K10" s="301">
        <f>'K.Dr Paper (KDP)'!C67</f>
        <v>50598</v>
      </c>
      <c r="L10" s="301">
        <f>'K.Dr Paper (KDP)'!D67</f>
        <v>51837</v>
      </c>
      <c r="M10" s="301">
        <f>'K.Dr Paper (KDP)'!E67</f>
        <v>52130</v>
      </c>
      <c r="N10" s="301">
        <f>'K.Dr Paper (KDP)'!F67</f>
        <v>53430</v>
      </c>
      <c r="O10" s="302">
        <f>'K.Dr Paper (KDP)'!G67</f>
        <v>55459</v>
      </c>
    </row>
    <row r="12" spans="2:15" x14ac:dyDescent="0.2">
      <c r="J12" s="135" t="s">
        <v>474</v>
      </c>
    </row>
    <row r="13" spans="2:15" x14ac:dyDescent="0.2">
      <c r="B13" s="651" t="s">
        <v>475</v>
      </c>
      <c r="C13" s="651"/>
      <c r="D13" s="651"/>
      <c r="E13" s="651"/>
      <c r="F13" s="651"/>
      <c r="G13" s="657"/>
      <c r="J13" s="212"/>
      <c r="K13" s="213">
        <v>2021</v>
      </c>
      <c r="L13" s="214">
        <v>2022</v>
      </c>
      <c r="M13" s="214">
        <v>2023</v>
      </c>
      <c r="N13" s="214">
        <v>2024</v>
      </c>
      <c r="O13" s="215">
        <v>2025</v>
      </c>
    </row>
    <row r="14" spans="2:15" x14ac:dyDescent="0.2">
      <c r="J14" s="216" t="s">
        <v>469</v>
      </c>
      <c r="K14" s="153">
        <f>'MONSTER (MNST)'!C9</f>
        <v>5541.3519999999999</v>
      </c>
      <c r="L14" s="153">
        <f>'MONSTER (MNST)'!D9</f>
        <v>6311.05</v>
      </c>
      <c r="M14" s="153">
        <f>'MONSTER (MNST)'!E9</f>
        <v>7140.027</v>
      </c>
      <c r="N14" s="153">
        <f>'MONSTER (MNST)'!F9</f>
        <v>7492.7089999999998</v>
      </c>
      <c r="O14" s="217">
        <f>'MONSTER (MNST)'!G9</f>
        <v>8294.3430000000008</v>
      </c>
    </row>
    <row r="15" spans="2:15" x14ac:dyDescent="0.2">
      <c r="B15" s="228" t="s">
        <v>152</v>
      </c>
      <c r="C15" s="229">
        <v>2021</v>
      </c>
      <c r="D15" s="229">
        <v>2022</v>
      </c>
      <c r="E15" s="229">
        <v>2023</v>
      </c>
      <c r="F15" s="229">
        <v>2024</v>
      </c>
      <c r="G15" s="230">
        <v>2025</v>
      </c>
      <c r="J15" s="216" t="s">
        <v>470</v>
      </c>
      <c r="K15" s="153">
        <f>'PepsiCo (PEP)'!B7</f>
        <v>79474</v>
      </c>
      <c r="L15" s="153">
        <f>'PepsiCo (PEP)'!C7</f>
        <v>86392</v>
      </c>
      <c r="M15" s="153">
        <f>'PepsiCo (PEP)'!D7</f>
        <v>91471</v>
      </c>
      <c r="N15" s="153">
        <f>'PepsiCo (PEP)'!E7</f>
        <v>91854</v>
      </c>
      <c r="O15" s="217">
        <f>'PepsiCo (PEP)'!F7</f>
        <v>93925</v>
      </c>
    </row>
    <row r="16" spans="2:15" x14ac:dyDescent="0.2">
      <c r="B16" s="216" t="s">
        <v>469</v>
      </c>
      <c r="C16" s="176">
        <f>'MONSTER (MNST)'!C59/'MONSTER (MNST)'!C76</f>
        <v>4.851545370520042</v>
      </c>
      <c r="D16" s="176">
        <f>'MONSTER (MNST)'!D59/'MONSTER (MNST)'!D76</f>
        <v>4.7554906395150391</v>
      </c>
      <c r="E16" s="176">
        <f>'MONSTER (MNST)'!E59/'MONSTER (MNST)'!E76</f>
        <v>4.8110948799549638</v>
      </c>
      <c r="F16" s="176">
        <f>'MONSTER (MNST)'!F59/'MONSTER (MNST)'!F76</f>
        <v>3.317941648390597</v>
      </c>
      <c r="G16" s="222">
        <f>'MONSTER (MNST)'!G59/'MONSTER (MNST)'!G76</f>
        <v>3.7029686830872102</v>
      </c>
      <c r="J16" s="216" t="s">
        <v>471</v>
      </c>
      <c r="K16" s="153">
        <f>'Coca Cola (KO)'!C9</f>
        <v>38655</v>
      </c>
      <c r="L16" s="153">
        <f>'Coca Cola (KO)'!D9</f>
        <v>43004</v>
      </c>
      <c r="M16" s="153">
        <f>'Coca Cola (KO)'!E9</f>
        <v>45754</v>
      </c>
      <c r="N16" s="153">
        <f>'Coca Cola (KO)'!F9</f>
        <v>47061</v>
      </c>
      <c r="O16" s="217">
        <f>'Coca Cola (KO)'!G9</f>
        <v>47941</v>
      </c>
    </row>
    <row r="17" spans="2:15" x14ac:dyDescent="0.2">
      <c r="B17" s="216" t="s">
        <v>470</v>
      </c>
      <c r="C17" s="176">
        <f>'PepsiCo (PEP)'!B60/'PepsiCo (PEP)'!B77</f>
        <v>0.83077803203661327</v>
      </c>
      <c r="D17" s="176">
        <f>'PepsiCo (PEP)'!C60/'PepsiCo (PEP)'!C77</f>
        <v>0.80451745379876793</v>
      </c>
      <c r="E17" s="176">
        <f>'PepsiCo (PEP)'!D60/'PepsiCo (PEP)'!D77</f>
        <v>0.85158150851581504</v>
      </c>
      <c r="F17" s="176">
        <f>'PepsiCo (PEP)'!E60/'PepsiCo (PEP)'!E77</f>
        <v>0.81893708777270424</v>
      </c>
      <c r="G17" s="222">
        <f>'PepsiCo (PEP)'!F60/'PepsiCo (PEP)'!F77</f>
        <v>0.85303992186546207</v>
      </c>
      <c r="J17" s="216" t="s">
        <v>472</v>
      </c>
      <c r="K17" s="153">
        <f>'CELSIUS (CELH)'!C9/1000</f>
        <v>314.27199999999999</v>
      </c>
      <c r="L17" s="153">
        <f>'CELSIUS (CELH)'!D9/1000</f>
        <v>653.60400000000004</v>
      </c>
      <c r="M17" s="153">
        <f>'CELSIUS (CELH)'!E9/1000</f>
        <v>1318.0139999999999</v>
      </c>
      <c r="N17" s="153">
        <f>'CELSIUS (CELH)'!F9/1000</f>
        <v>1355.63</v>
      </c>
      <c r="O17" s="217">
        <f>'CELSIUS (CELH)'!G9/1000</f>
        <v>2515.2689999999998</v>
      </c>
    </row>
    <row r="18" spans="2:15" x14ac:dyDescent="0.2">
      <c r="B18" s="216" t="s">
        <v>471</v>
      </c>
      <c r="C18" s="176">
        <f>'Coca Cola (KO)'!C59/'Coca Cola (KO)'!C75</f>
        <v>1.1300751879699249</v>
      </c>
      <c r="D18" s="176">
        <f>'Coca Cola (KO)'!D59/'Coca Cola (KO)'!D75</f>
        <v>1.1453559115798013</v>
      </c>
      <c r="E18" s="176">
        <f>'Coca Cola (KO)'!E59/'Coca Cola (KO)'!E75</f>
        <v>1.1341054685842773</v>
      </c>
      <c r="F18" s="176">
        <f>'Coca Cola (KO)'!F59/'Coca Cola (KO)'!F75</f>
        <v>1.0296249356410154</v>
      </c>
      <c r="G18" s="222">
        <f>'Coca Cola (KO)'!G59/'Coca Cola (KO)'!G75</f>
        <v>1.4587660354306657</v>
      </c>
      <c r="J18" s="219" t="s">
        <v>473</v>
      </c>
      <c r="K18" s="301">
        <f>'K.Dr Paper (KDP)'!C9</f>
        <v>12683</v>
      </c>
      <c r="L18" s="301">
        <f>'K.Dr Paper (KDP)'!D9</f>
        <v>14057</v>
      </c>
      <c r="M18" s="301">
        <f>'K.Dr Paper (KDP)'!E9</f>
        <v>14814</v>
      </c>
      <c r="N18" s="301">
        <f>'K.Dr Paper (KDP)'!F9</f>
        <v>15351</v>
      </c>
      <c r="O18" s="302">
        <f>'K.Dr Paper (KDP)'!G9</f>
        <v>16603</v>
      </c>
    </row>
    <row r="19" spans="2:15" x14ac:dyDescent="0.2">
      <c r="B19" s="216" t="s">
        <v>472</v>
      </c>
      <c r="C19" s="176">
        <f>'CELSIUS (CELH)'!C59/'CELSIUS (CELH)'!C75</f>
        <v>2.8173295820626261</v>
      </c>
      <c r="D19" s="176">
        <f>'CELSIUS (CELH)'!D59/'CELSIUS (CELH)'!D75</f>
        <v>5.6912551536005456</v>
      </c>
      <c r="E19" s="176">
        <f>'CELSIUS (CELH)'!E59/'CELSIUS (CELH)'!E75</f>
        <v>4.3559196422438573</v>
      </c>
      <c r="F19" s="176">
        <f>'CELSIUS (CELH)'!F59/'CELSIUS (CELH)'!F75</f>
        <v>3.6236748874936735</v>
      </c>
      <c r="G19" s="222">
        <f>'CELSIUS (CELH)'!G59/'CELSIUS (CELH)'!G75</f>
        <v>1.6789750131173253</v>
      </c>
    </row>
    <row r="20" spans="2:15" x14ac:dyDescent="0.2">
      <c r="B20" s="219" t="s">
        <v>473</v>
      </c>
      <c r="C20" s="226">
        <f>'K.Dr Paper (KDP)'!C59/'K.Dr Paper (KDP)'!C75</f>
        <v>0.47139552814186586</v>
      </c>
      <c r="D20" s="226">
        <f>'K.Dr Paper (KDP)'!D59/'K.Dr Paper (KDP)'!D75</f>
        <v>0.47102526002971767</v>
      </c>
      <c r="E20" s="226">
        <f>'K.Dr Paper (KDP)'!E59/'K.Dr Paper (KDP)'!E75</f>
        <v>0.37853297442799461</v>
      </c>
      <c r="F20" s="226">
        <f>'K.Dr Paper (KDP)'!F59/'K.Dr Paper (KDP)'!F75</f>
        <v>0.49425003091381231</v>
      </c>
      <c r="G20" s="227">
        <f>'K.Dr Paper (KDP)'!G59/'K.Dr Paper (KDP)'!G75</f>
        <v>0.63522316043425819</v>
      </c>
    </row>
    <row r="21" spans="2:15" x14ac:dyDescent="0.2">
      <c r="J21" s="652" t="s">
        <v>178</v>
      </c>
      <c r="K21" s="653"/>
      <c r="L21" s="653"/>
      <c r="M21" s="653"/>
      <c r="N21" s="653"/>
      <c r="O21" s="654"/>
    </row>
    <row r="22" spans="2:15" x14ac:dyDescent="0.2">
      <c r="J22" s="212"/>
      <c r="K22" s="213">
        <v>2021</v>
      </c>
      <c r="L22" s="214">
        <v>2022</v>
      </c>
      <c r="M22" s="214">
        <v>2023</v>
      </c>
      <c r="N22" s="214">
        <v>2024</v>
      </c>
      <c r="O22" s="215">
        <v>2025</v>
      </c>
    </row>
    <row r="23" spans="2:15" x14ac:dyDescent="0.2">
      <c r="B23" s="228" t="s">
        <v>153</v>
      </c>
      <c r="C23" s="229">
        <v>2021</v>
      </c>
      <c r="D23" s="229">
        <v>2022</v>
      </c>
      <c r="E23" s="229">
        <v>2023</v>
      </c>
      <c r="F23" s="229">
        <v>2024</v>
      </c>
      <c r="G23" s="230">
        <v>2025</v>
      </c>
      <c r="J23" s="216" t="s">
        <v>469</v>
      </c>
      <c r="K23" s="176"/>
      <c r="L23" s="176"/>
      <c r="M23" s="176"/>
      <c r="N23" s="176"/>
      <c r="O23" s="222"/>
    </row>
    <row r="24" spans="2:15" x14ac:dyDescent="0.2">
      <c r="B24" s="216" t="s">
        <v>469</v>
      </c>
      <c r="C24" s="176">
        <f>('MONSTER (MNST)'!C59-'MONSTER (MNST)'!C57)/'MONSTER (MNST)'!C76</f>
        <v>4.2367160721020936</v>
      </c>
      <c r="D24" s="176">
        <f>('MONSTER (MNST)'!D59-'MONSTER (MNST)'!D57)/'MONSTER (MNST)'!D76</f>
        <v>3.8217066642181767</v>
      </c>
      <c r="E24" s="176">
        <f>('MONSTER (MNST)'!E59-'MONSTER (MNST)'!E57)/'MONSTER (MNST)'!E76</f>
        <v>3.974893452550555</v>
      </c>
      <c r="F24" s="176">
        <f>('MONSTER (MNST)'!F59-'MONSTER (MNST)'!F57)/'MONSTER (MNST)'!F76</f>
        <v>2.6463295851825799</v>
      </c>
      <c r="G24" s="222">
        <f>('MONSTER (MNST)'!G59-'MONSTER (MNST)'!G57)/'MONSTER (MNST)'!G76</f>
        <v>3.1506589398941838</v>
      </c>
      <c r="J24" s="216" t="s">
        <v>470</v>
      </c>
      <c r="K24" s="176">
        <f>'PepsiCo (PEP)'!B32-'PepsiCo (PEP)'!B33</f>
        <v>7157</v>
      </c>
      <c r="L24" s="176">
        <f>'PepsiCo (PEP)'!C32-'PepsiCo (PEP)'!C33</f>
        <v>5855</v>
      </c>
      <c r="M24" s="176">
        <f>'PepsiCo (PEP)'!D32-'PepsiCo (PEP)'!D33</f>
        <v>8122</v>
      </c>
      <c r="N24" s="176">
        <f>'PepsiCo (PEP)'!E32-'PepsiCo (PEP)'!E33</f>
        <v>7531</v>
      </c>
      <c r="O24" s="222">
        <f>'PepsiCo (PEP)'!F32-'PepsiCo (PEP)'!F33</f>
        <v>8200</v>
      </c>
    </row>
    <row r="25" spans="2:15" x14ac:dyDescent="0.2">
      <c r="B25" s="216" t="s">
        <v>470</v>
      </c>
      <c r="C25" s="176">
        <f>('PepsiCo (PEP)'!B60-'PepsiCo (PEP)'!B57)/'PepsiCo (PEP)'!B77</f>
        <v>0.66498855835240278</v>
      </c>
      <c r="D25" s="176">
        <f>('PepsiCo (PEP)'!C60-'PepsiCo (PEP)'!C57)/'PepsiCo (PEP)'!C77</f>
        <v>0.60955758820235206</v>
      </c>
      <c r="E25" s="176">
        <f>('PepsiCo (PEP)'!D60-'PepsiCo (PEP)'!D57)/'PepsiCo (PEP)'!D77</f>
        <v>0.68303472683034727</v>
      </c>
      <c r="F25" s="176">
        <f>('PepsiCo (PEP)'!E60-'PepsiCo (PEP)'!E57)/'PepsiCo (PEP)'!E77</f>
        <v>0.65068493150684936</v>
      </c>
      <c r="G25" s="222">
        <f>('PepsiCo (PEP)'!F60-'PepsiCo (PEP)'!F57)/'PepsiCo (PEP)'!F77</f>
        <v>0.67464290074471978</v>
      </c>
      <c r="J25" s="216" t="s">
        <v>471</v>
      </c>
      <c r="K25" s="176">
        <f>'Coca Cola (KO)'!C37-'Coca Cola (KO)'!C38</f>
        <v>5296</v>
      </c>
      <c r="L25" s="176">
        <f>'Coca Cola (KO)'!D37-'Coca Cola (KO)'!D38</f>
        <v>4741</v>
      </c>
      <c r="M25" s="176">
        <f>'Coca Cola (KO)'!E37-'Coca Cola (KO)'!E38</f>
        <v>9747</v>
      </c>
      <c r="N25" s="176">
        <f>'Coca Cola (KO)'!F37-'Coca Cola (KO)'!F38</f>
        <v>9534</v>
      </c>
      <c r="O25" s="222">
        <f>'Coca Cola (KO)'!G37-'Coca Cola (KO)'!G38</f>
        <v>11258</v>
      </c>
    </row>
    <row r="26" spans="2:15" x14ac:dyDescent="0.2">
      <c r="B26" s="216" t="s">
        <v>471</v>
      </c>
      <c r="C26" s="176">
        <f>('Coca Cola (KO)'!C59-'Coca Cola (KO)'!C57)/'Coca Cola (KO)'!C75</f>
        <v>0.95894736842105266</v>
      </c>
      <c r="D26" s="176">
        <f>('Coca Cola (KO)'!D59-'Coca Cola (KO)'!D57)/'Coca Cola (KO)'!D75</f>
        <v>0.93074427093895762</v>
      </c>
      <c r="E26" s="176">
        <f>('Coca Cola (KO)'!E59-'Coca Cola (KO)'!E57)/'Coca Cola (KO)'!E75</f>
        <v>0.94641720758559245</v>
      </c>
      <c r="F26" s="176">
        <f>('Coca Cola (KO)'!F59-'Coca Cola (KO)'!F57)/'Coca Cola (KO)'!F75</f>
        <v>0.84236999485128128</v>
      </c>
      <c r="G26" s="222">
        <f>('Coca Cola (KO)'!G59-'Coca Cola (KO)'!G57)/'Coca Cola (KO)'!G75</f>
        <v>1.2508340773459894</v>
      </c>
      <c r="J26" s="216" t="s">
        <v>472</v>
      </c>
      <c r="O26" s="218"/>
    </row>
    <row r="27" spans="2:15" x14ac:dyDescent="0.2">
      <c r="B27" s="216" t="s">
        <v>472</v>
      </c>
      <c r="C27" s="176">
        <f>('CELSIUS (CELH)'!C59-'CELSIUS (CELH)'!C57)/'CELSIUS (CELH)'!C75</f>
        <v>0.76391692796701172</v>
      </c>
      <c r="D27" s="176">
        <f>('CELSIUS (CELH)'!D59-'CELSIUS (CELH)'!D57)/'CELSIUS (CELH)'!D75</f>
        <v>4.6168945100592085</v>
      </c>
      <c r="E27" s="176">
        <f>('CELSIUS (CELH)'!E59-'CELSIUS (CELH)'!E57)/'CELSIUS (CELH)'!E75</f>
        <v>3.5270540430131629</v>
      </c>
      <c r="F27" s="176">
        <f>('CELSIUS (CELH)'!F59-'CELSIUS (CELH)'!F57)/'CELSIUS (CELH)'!F75</f>
        <v>3.2648446797160329</v>
      </c>
      <c r="G27" s="222">
        <f>('CELSIUS (CELH)'!G59-'CELSIUS (CELH)'!G57)/'CELSIUS (CELH)'!G75</f>
        <v>1.3659223936384217</v>
      </c>
      <c r="J27" s="219" t="s">
        <v>473</v>
      </c>
      <c r="K27" s="220"/>
      <c r="L27" s="220"/>
      <c r="M27" s="220"/>
      <c r="N27" s="220"/>
      <c r="O27" s="221"/>
    </row>
    <row r="28" spans="2:15" x14ac:dyDescent="0.2">
      <c r="B28" s="219" t="s">
        <v>473</v>
      </c>
      <c r="C28" s="226">
        <f>('K.Dr Paper (KDP)'!C59-'K.Dr Paper (KDP)'!C57)/'K.Dr Paper (KDP)'!C75</f>
        <v>0.32243639167309174</v>
      </c>
      <c r="D28" s="226">
        <f>('K.Dr Paper (KDP)'!D59-'K.Dr Paper (KDP)'!D57)/'K.Dr Paper (KDP)'!D75</f>
        <v>0.29730064388311045</v>
      </c>
      <c r="E28" s="226">
        <f>('K.Dr Paper (KDP)'!E59-'K.Dr Paper (KDP)'!E57)/'K.Dr Paper (KDP)'!E75</f>
        <v>0.2379991027366532</v>
      </c>
      <c r="F28" s="226">
        <f>('K.Dr Paper (KDP)'!F59-'K.Dr Paper (KDP)'!F57)/'K.Dr Paper (KDP)'!F75</f>
        <v>0.3336218622480524</v>
      </c>
      <c r="G28" s="227">
        <f>('K.Dr Paper (KDP)'!G59-'K.Dr Paper (KDP)'!G57)/'K.Dr Paper (KDP)'!G75</f>
        <v>0.4261761158021713</v>
      </c>
      <c r="J28" s="135"/>
    </row>
    <row r="29" spans="2:15" x14ac:dyDescent="0.2">
      <c r="J29" s="135"/>
    </row>
    <row r="30" spans="2:15" x14ac:dyDescent="0.2">
      <c r="J30" s="135"/>
    </row>
    <row r="31" spans="2:15" x14ac:dyDescent="0.2">
      <c r="B31" s="228" t="s">
        <v>154</v>
      </c>
      <c r="C31" s="229">
        <v>2021</v>
      </c>
      <c r="D31" s="229">
        <v>2022</v>
      </c>
      <c r="E31" s="229">
        <v>2023</v>
      </c>
      <c r="F31" s="229">
        <v>2024</v>
      </c>
      <c r="G31" s="230">
        <v>2025</v>
      </c>
      <c r="J31" s="135"/>
    </row>
    <row r="32" spans="2:15" x14ac:dyDescent="0.2">
      <c r="B32" s="216" t="s">
        <v>469</v>
      </c>
      <c r="C32" s="176">
        <f>'MONSTER (MNST)'!C52/'MONSTER (MNST)'!C76</f>
        <v>1.3744637728013132</v>
      </c>
      <c r="D32" s="176">
        <f>'MONSTER (MNST)'!D52/'MONSTER (MNST)'!D76</f>
        <v>1.3045605791743933</v>
      </c>
      <c r="E32" s="176">
        <f>'MONSTER (MNST)'!E52/'MONSTER (MNST)'!E76</f>
        <v>1.977874456932966</v>
      </c>
      <c r="F32" s="176">
        <f>'MONSTER (MNST)'!F52/'MONSTER (MNST)'!F76</f>
        <v>1.3970482515564651</v>
      </c>
      <c r="G32" s="222">
        <f>'MONSTER (MNST)'!G52/'MONSTER (MNST)'!G76</f>
        <v>1.4422888836701711</v>
      </c>
      <c r="J32" s="135"/>
    </row>
    <row r="33" spans="2:10" x14ac:dyDescent="0.2">
      <c r="B33" s="216" t="s">
        <v>470</v>
      </c>
      <c r="C33" s="176">
        <f>'PepsiCo (PEP)'!B54/'PepsiCo (PEP)'!B77</f>
        <v>0.21342486651411136</v>
      </c>
      <c r="D33" s="176">
        <f>'PepsiCo (PEP)'!C54/'PepsiCo (PEP)'!C77</f>
        <v>0.18532760873623297</v>
      </c>
      <c r="E33" s="176">
        <f>'PepsiCo (PEP)'!D54/'PepsiCo (PEP)'!D77</f>
        <v>0.30685373021139445</v>
      </c>
      <c r="F33" s="176">
        <f>'PepsiCo (PEP)'!E54/'PepsiCo (PEP)'!E77</f>
        <v>0.2696917808219178</v>
      </c>
      <c r="G33" s="222">
        <f>'PepsiCo (PEP)'!F54/'PepsiCo (PEP)'!F77</f>
        <v>0.27954462214625808</v>
      </c>
      <c r="J33" s="135"/>
    </row>
    <row r="34" spans="2:10" x14ac:dyDescent="0.2">
      <c r="B34" s="216" t="s">
        <v>471</v>
      </c>
      <c r="C34" s="176">
        <f>'Coca Cola (KO)'!C52/'Coca Cola (KO)'!C75</f>
        <v>0.48541353383458646</v>
      </c>
      <c r="D34" s="176">
        <f>'Coca Cola (KO)'!D52/'Coca Cola (KO)'!D75</f>
        <v>0.48261001825187588</v>
      </c>
      <c r="E34" s="176">
        <f>'Coca Cola (KO)'!E52/'Coca Cola (KO)'!E75</f>
        <v>0.39735267913962075</v>
      </c>
      <c r="F34" s="176">
        <f>'Coca Cola (KO)'!F52/'Coca Cola (KO)'!F75</f>
        <v>0.42884866727395143</v>
      </c>
      <c r="G34" s="222">
        <f>'Coca Cola (KO)'!G52/'Coca Cola (KO)'!G75</f>
        <v>0.48259010384850337</v>
      </c>
      <c r="J34" s="135"/>
    </row>
    <row r="35" spans="2:10" x14ac:dyDescent="0.2">
      <c r="B35" s="216" t="s">
        <v>472</v>
      </c>
      <c r="C35" s="176">
        <f>'CELSIUS (CELH)'!C52/'CELSIUS (CELH)'!C75</f>
        <v>0.17455220995661699</v>
      </c>
      <c r="D35" s="176">
        <f>'CELSIUS (CELH)'!D52/'CELSIUS (CELH)'!D75</f>
        <v>3.8076753774140548</v>
      </c>
      <c r="E35" s="176">
        <f>'CELSIUS (CELH)'!E52/'CELSIUS (CELH)'!E75</f>
        <v>2.7329915802944909</v>
      </c>
      <c r="F35" s="176">
        <f>'CELSIUS (CELH)'!F52/'CELSIUS (CELH)'!F75</f>
        <v>2.4353071525298535</v>
      </c>
      <c r="G35" s="222">
        <f>'CELSIUS (CELH)'!G52/'CELSIUS (CELH)'!G75</f>
        <v>0.369756546147956</v>
      </c>
      <c r="J35" s="135"/>
    </row>
    <row r="36" spans="2:10" x14ac:dyDescent="0.2">
      <c r="B36" s="219" t="s">
        <v>473</v>
      </c>
      <c r="C36" s="226">
        <f>'K.Dr Paper (KDP)'!C52/'K.Dr Paper (KDP)'!C75</f>
        <v>8.7432536622976093E-2</v>
      </c>
      <c r="D36" s="226">
        <f>'K.Dr Paper (KDP)'!D52/'K.Dr Paper (KDP)'!D75</f>
        <v>6.6245666171371967E-2</v>
      </c>
      <c r="E36" s="226">
        <f>'K.Dr Paper (KDP)'!E52/'K.Dr Paper (KDP)'!E75</f>
        <v>2.9946164199192462E-2</v>
      </c>
      <c r="F36" s="226">
        <f>'K.Dr Paper (KDP)'!F52/'K.Dr Paper (KDP)'!F75</f>
        <v>6.3064177074316802E-2</v>
      </c>
      <c r="G36" s="227">
        <f>'K.Dr Paper (KDP)'!G52/'K.Dr Paper (KDP)'!G75</f>
        <v>0.12376357056694813</v>
      </c>
      <c r="J36" s="135"/>
    </row>
    <row r="37" spans="2:10" x14ac:dyDescent="0.2">
      <c r="J37" s="135"/>
    </row>
    <row r="38" spans="2:10" x14ac:dyDescent="0.2">
      <c r="B38" s="135"/>
      <c r="J38" s="135"/>
    </row>
    <row r="39" spans="2:10" x14ac:dyDescent="0.2">
      <c r="B39" s="228" t="s">
        <v>155</v>
      </c>
      <c r="C39" s="229">
        <v>2021</v>
      </c>
      <c r="D39" s="229">
        <v>2022</v>
      </c>
      <c r="E39" s="229">
        <v>2023</v>
      </c>
      <c r="F39" s="229">
        <v>2024</v>
      </c>
      <c r="G39" s="230">
        <v>2025</v>
      </c>
      <c r="J39" s="135"/>
    </row>
    <row r="40" spans="2:10" x14ac:dyDescent="0.2">
      <c r="B40" s="216" t="s">
        <v>469</v>
      </c>
      <c r="C40" s="176">
        <f>('MONSTER (MNST)'!C59-'MONSTER (MNST)'!C76)/'MONSTER (MNST)'!C67</f>
        <v>0.47625072007117686</v>
      </c>
      <c r="D40" s="176">
        <f>('MONSTER (MNST)'!D59-'MONSTER (MNST)'!D76)/'MONSTER (MNST)'!D67</f>
        <v>0.45374066769925137</v>
      </c>
      <c r="E40" s="176">
        <f>('MONSTER (MNST)'!E59-'MONSTER (MNST)'!E76)/'MONSTER (MNST)'!E67</f>
        <v>0.45705847774877301</v>
      </c>
      <c r="F40" s="176">
        <f>('MONSTER (MNST)'!F59-'MONSTER (MNST)'!F76)/'MONSTER (MNST)'!F67</f>
        <v>0.32957062679287663</v>
      </c>
      <c r="G40" s="222">
        <f>('MONSTER (MNST)'!G59-'MONSTER (MNST)'!G76)/'MONSTER (MNST)'!G67</f>
        <v>0.39176349454321763</v>
      </c>
      <c r="J40" s="135"/>
    </row>
    <row r="41" spans="2:10" x14ac:dyDescent="0.2">
      <c r="B41" s="216" t="s">
        <v>470</v>
      </c>
      <c r="C41" s="176">
        <f>('PepsiCo (PEP)'!B60-'PepsiCo (PEP)'!B77)/'PepsiCo (PEP)'!B68</f>
        <v>-4.8031436396505624E-2</v>
      </c>
      <c r="D41" s="176">
        <f>('PepsiCo (PEP)'!C60-'PepsiCo (PEP)'!C77)/'PepsiCo (PEP)'!C68</f>
        <v>-5.6791435730012906E-2</v>
      </c>
      <c r="E41" s="176">
        <f>('PepsiCo (PEP)'!D60-'PepsiCo (PEP)'!D77)/'PepsiCo (PEP)'!D68</f>
        <v>-4.6738643713617592E-2</v>
      </c>
      <c r="F41" s="176">
        <f>('PepsiCo (PEP)'!E60-'PepsiCo (PEP)'!E77)/'PepsiCo (PEP)'!E68</f>
        <v>-5.7405973840570237E-2</v>
      </c>
      <c r="G41" s="222">
        <f>('PepsiCo (PEP)'!F60-'PepsiCo (PEP)'!F77)/'PepsiCo (PEP)'!F68</f>
        <v>-4.4832819672436429E-2</v>
      </c>
      <c r="J41" s="135"/>
    </row>
    <row r="42" spans="2:10" x14ac:dyDescent="0.2">
      <c r="B42" s="216" t="s">
        <v>471</v>
      </c>
      <c r="C42" s="176">
        <f>('Coca Cola (KO)'!C59-'Coca Cola (KO)'!C75)/'Coca Cola (KO)'!C67</f>
        <v>2.7502808571973632E-2</v>
      </c>
      <c r="D42" s="176">
        <f>('Coca Cola (KO)'!D59-'Coca Cola (KO)'!D75)/'Coca Cola (KO)'!D67</f>
        <v>3.0906719273848408E-2</v>
      </c>
      <c r="E42" s="176">
        <f>('Coca Cola (KO)'!E59-'Coca Cola (KO)'!E75)/'Coca Cola (KO)'!E67</f>
        <v>3.2353151899122849E-2</v>
      </c>
      <c r="F42" s="176">
        <f>('Coca Cola (KO)'!F59-'Coca Cola (KO)'!F75)/'Coca Cola (KO)'!F67</f>
        <v>7.4391590169966878E-3</v>
      </c>
      <c r="G42" s="222">
        <f>('Coca Cola (KO)'!G59-'Coca Cola (KO)'!G75)/'Coca Cola (KO)'!G67</f>
        <v>9.3144176461608913E-2</v>
      </c>
      <c r="J42" s="135"/>
    </row>
    <row r="43" spans="2:10" x14ac:dyDescent="0.2">
      <c r="B43" s="216" t="s">
        <v>472</v>
      </c>
      <c r="C43" s="176">
        <f>('CELSIUS (CELH)'!C59-'CELSIUS (CELH)'!C75)/'CELSIUS (CELH)'!C67</f>
        <v>0.5389404429045469</v>
      </c>
      <c r="D43" s="176">
        <f>('CELSIUS (CELH)'!D59-'CELSIUS (CELH)'!D75)/'CELSIUS (CELH)'!D67</f>
        <v>0.61917616763046934</v>
      </c>
      <c r="E43" s="176">
        <f>('CELSIUS (CELH)'!E59-'CELSIUS (CELH)'!E75)/'CELSIUS (CELH)'!E67</f>
        <v>0.60420034938908984</v>
      </c>
      <c r="F43" s="176">
        <f>('CELSIUS (CELH)'!F59-'CELSIUS (CELH)'!F75)/'CELSIUS (CELH)'!F67</f>
        <v>0.54278980870811333</v>
      </c>
      <c r="G43" s="222">
        <f>('CELSIUS (CELH)'!G59-'CELSIUS (CELH)'!G75)/'CELSIUS (CELH)'!G67</f>
        <v>0.14306293376013576</v>
      </c>
      <c r="J43" s="135"/>
    </row>
    <row r="44" spans="2:10" x14ac:dyDescent="0.2">
      <c r="B44" s="219" t="s">
        <v>473</v>
      </c>
      <c r="C44" s="226">
        <f>('K.Dr Paper (KDP)'!C59-'K.Dr Paper (KDP)'!C75)/'K.Dr Paper (KDP)'!C67</f>
        <v>-6.7749713427408195E-2</v>
      </c>
      <c r="D44" s="226">
        <f>('K.Dr Paper (KDP)'!D59-'K.Dr Paper (KDP)'!D75)/'K.Dr Paper (KDP)'!D67</f>
        <v>-8.2412176630592054E-2</v>
      </c>
      <c r="E44" s="226">
        <f>('K.Dr Paper (KDP)'!E59-'K.Dr Paper (KDP)'!E75)/'K.Dr Paper (KDP)'!E67</f>
        <v>-0.10629196240168809</v>
      </c>
      <c r="F44" s="226">
        <f>('K.Dr Paper (KDP)'!F59-'K.Dr Paper (KDP)'!F75)/'K.Dr Paper (KDP)'!F67</f>
        <v>-7.6548755380872163E-2</v>
      </c>
      <c r="G44" s="227">
        <f>('K.Dr Paper (KDP)'!G59-'K.Dr Paper (KDP)'!G75)/'K.Dr Paper (KDP)'!G67</f>
        <v>-5.4526767521953151E-2</v>
      </c>
      <c r="J44" s="135"/>
    </row>
    <row r="45" spans="2:10" x14ac:dyDescent="0.2">
      <c r="J45" s="135"/>
    </row>
    <row r="46" spans="2:10" x14ac:dyDescent="0.2">
      <c r="B46" s="135"/>
      <c r="J46" s="135"/>
    </row>
    <row r="47" spans="2:10" x14ac:dyDescent="0.2">
      <c r="B47" s="228" t="s">
        <v>481</v>
      </c>
      <c r="C47" s="229">
        <v>2021</v>
      </c>
      <c r="D47" s="229">
        <v>2022</v>
      </c>
      <c r="E47" s="229">
        <v>2023</v>
      </c>
      <c r="F47" s="229">
        <v>2024</v>
      </c>
      <c r="G47" s="230">
        <v>2025</v>
      </c>
    </row>
    <row r="48" spans="2:10" x14ac:dyDescent="0.2">
      <c r="B48" s="672" t="s">
        <v>469</v>
      </c>
      <c r="C48" s="673">
        <f>'MONSTER (MNST)'!C59/(('MONSTER (MNST)'!C10+'MONSTER (MNST)'!C16)/365)</f>
        <v>456.46972329545378</v>
      </c>
      <c r="D48" s="673">
        <f>'MONSTER (MNST)'!D59/(('MONSTER (MNST)'!D10+'MONSTER (MNST)'!D16)/365)</f>
        <v>367.97848922493546</v>
      </c>
      <c r="E48" s="673">
        <f>'MONSTER (MNST)'!E59/(('MONSTER (MNST)'!E10+'MONSTER (MNST)'!E16)/365)</f>
        <v>393.31261741633176</v>
      </c>
      <c r="F48" s="673">
        <f>'MONSTER (MNST)'!F59/(('MONSTER (MNST)'!F10+'MONSTER (MNST)'!F16)/365)</f>
        <v>238.95177903842128</v>
      </c>
      <c r="G48" s="674">
        <f>'MONSTER (MNST)'!G59/(('MONSTER (MNST)'!G10+'MONSTER (MNST)'!G16)/365)</f>
        <v>333.07222532671983</v>
      </c>
    </row>
    <row r="49" spans="2:7" x14ac:dyDescent="0.2">
      <c r="B49" s="672" t="s">
        <v>470</v>
      </c>
      <c r="C49" s="673">
        <f>'PepsiCo (PEP)'!B60/(('PepsiCo (PEP)'!B8+'PepsiCo (PEP)'!B15)/365)</f>
        <v>116.38943377444666</v>
      </c>
      <c r="D49" s="673">
        <f>'PepsiCo (PEP)'!C60/(('PepsiCo (PEP)'!C8+'PepsiCo (PEP)'!C15)/365)</f>
        <v>105.03986378205128</v>
      </c>
      <c r="E49" s="673">
        <f>'PepsiCo (PEP)'!D60/(('PepsiCo (PEP)'!D8+'PepsiCo (PEP)'!D15)/365)</f>
        <v>123.75605460149714</v>
      </c>
      <c r="F49" s="673">
        <f>'PepsiCo (PEP)'!E60/(('PepsiCo (PEP)'!E8+'PepsiCo (PEP)'!E15)/365)</f>
        <v>119.37252269935543</v>
      </c>
      <c r="G49" s="674">
        <f>'PepsiCo (PEP)'!F60/(('PepsiCo (PEP)'!F8+'PepsiCo (PEP)'!F15)/365)</f>
        <v>123.76266271973988</v>
      </c>
    </row>
    <row r="50" spans="2:7" x14ac:dyDescent="0.2">
      <c r="B50" s="672" t="s">
        <v>471</v>
      </c>
      <c r="C50" s="673">
        <f>'Coca Cola (KO)'!C59/(('Coca Cola (KO)'!C10+'Coca Cola (KO)'!C16)/365)</f>
        <v>290.29262355804849</v>
      </c>
      <c r="D50" s="673">
        <f>'Coca Cola (KO)'!D59/(('Coca Cola (KO)'!D10+'Coca Cola (KO)'!D16)/365)</f>
        <v>256.9158747468453</v>
      </c>
      <c r="E50" s="673">
        <f>'Coca Cola (KO)'!E59/(('Coca Cola (KO)'!E10+'Coca Cola (KO)'!E16)/365)</f>
        <v>283.28484742908574</v>
      </c>
      <c r="F50" s="673">
        <f>'Coca Cola (KO)'!F59/(('Coca Cola (KO)'!F10+'Coca Cola (KO)'!F16)/365)</f>
        <v>255.97952467020963</v>
      </c>
      <c r="G50" s="674">
        <f>'Coca Cola (KO)'!G59/(('Coca Cola (KO)'!G10+'Coca Cola (KO)'!G16)/365)</f>
        <v>331.52110945317304</v>
      </c>
    </row>
    <row r="51" spans="2:7" x14ac:dyDescent="0.2">
      <c r="B51" s="672" t="s">
        <v>472</v>
      </c>
      <c r="C51" s="673">
        <f>'CELSIUS (CELH)'!C59/(('CELSIUS (CELH)'!C10+'CELSIUS (CELH)'!C16)/365)</f>
        <v>300.79521111187893</v>
      </c>
      <c r="D51" s="673">
        <f>'CELSIUS (CELH)'!D59/(('CELSIUS (CELH)'!D10+'CELSIUS (CELH)'!D16)/365)</f>
        <v>412.93733092598637</v>
      </c>
      <c r="E51" s="673">
        <f>'CELSIUS (CELH)'!E59/(('CELSIUS (CELH)'!E10+'CELSIUS (CELH)'!E16)/365)</f>
        <v>418.19121987585203</v>
      </c>
      <c r="F51" s="673">
        <f>'CELSIUS (CELH)'!F59/(('CELSIUS (CELH)'!F10+'CELSIUS (CELH)'!F16)/365)</f>
        <v>402.92598895576469</v>
      </c>
      <c r="G51" s="674">
        <f>'CELSIUS (CELH)'!G59/(('CELSIUS (CELH)'!G10+'CELSIUS (CELH)'!G16)/365)</f>
        <v>278.43874186201958</v>
      </c>
    </row>
    <row r="52" spans="2:7" x14ac:dyDescent="0.2">
      <c r="B52" s="675" t="s">
        <v>473</v>
      </c>
      <c r="C52" s="676">
        <f>'K.Dr Paper (KDP)'!C59/(('K.Dr Paper (KDP)'!C10+'K.Dr Paper (KDP)'!C16)/365)</f>
        <v>115.57955251709137</v>
      </c>
      <c r="D52" s="676">
        <f>'K.Dr Paper (KDP)'!D59/(('K.Dr Paper (KDP)'!D10+'K.Dr Paper (KDP)'!D16)/365)</f>
        <v>124.15809711168738</v>
      </c>
      <c r="E52" s="676">
        <f>'K.Dr Paper (KDP)'!E59/(('K.Dr Paper (KDP)'!E10+'K.Dr Paper (KDP)'!E16)/365)</f>
        <v>106.3152671096919</v>
      </c>
      <c r="F52" s="676">
        <f>'K.Dr Paper (KDP)'!F59/(('K.Dr Paper (KDP)'!F10+'K.Dr Paper (KDP)'!F16)/365)</f>
        <v>122.03304056879966</v>
      </c>
      <c r="G52" s="677">
        <f>'K.Dr Paper (KDP)'!G59/(('K.Dr Paper (KDP)'!G10+'K.Dr Paper (KDP)'!G16)/365)</f>
        <v>149.10325032968737</v>
      </c>
    </row>
    <row r="54" spans="2:7" x14ac:dyDescent="0.2">
      <c r="B54" s="135"/>
    </row>
    <row r="55" spans="2:7" x14ac:dyDescent="0.2">
      <c r="B55" s="135"/>
    </row>
    <row r="56" spans="2:7" x14ac:dyDescent="0.2">
      <c r="B56" s="651" t="s">
        <v>476</v>
      </c>
      <c r="C56" s="655"/>
      <c r="D56" s="655"/>
      <c r="E56" s="655"/>
      <c r="F56" s="655"/>
      <c r="G56" s="656"/>
    </row>
    <row r="57" spans="2:7" x14ac:dyDescent="0.2">
      <c r="B57" s="135"/>
    </row>
    <row r="58" spans="2:7" x14ac:dyDescent="0.2">
      <c r="B58" s="228" t="s">
        <v>482</v>
      </c>
      <c r="C58" s="229">
        <v>2021</v>
      </c>
      <c r="D58" s="229">
        <v>2022</v>
      </c>
      <c r="E58" s="229">
        <v>2023</v>
      </c>
      <c r="F58" s="229">
        <v>2024</v>
      </c>
      <c r="G58" s="230">
        <v>2025</v>
      </c>
    </row>
    <row r="59" spans="2:7" x14ac:dyDescent="0.2">
      <c r="B59" s="672" t="s">
        <v>469</v>
      </c>
      <c r="C59" s="687">
        <f>('MONSTER (MNST)'!C73+'MONSTER (MNST)'!C74+'MONSTER (MNST)'!C77)/'MONSTER (MNST)'!C67</f>
        <v>0</v>
      </c>
      <c r="D59" s="687">
        <f>('MONSTER (MNST)'!D73+'MONSTER (MNST)'!D74+'MONSTER (MNST)'!D77)/'MONSTER (MNST)'!D67</f>
        <v>0</v>
      </c>
      <c r="E59" s="687">
        <f>('MONSTER (MNST)'!E73+'MONSTER (MNST)'!E74+'MONSTER (MNST)'!E77)/'MONSTER (MNST)'!E67</f>
        <v>0</v>
      </c>
      <c r="F59" s="687">
        <f>('MONSTER (MNST)'!F73+'MONSTER (MNST)'!F74+'MONSTER (MNST)'!F77)/'MONSTER (MNST)'!F67</f>
        <v>4.8444965461597864E-2</v>
      </c>
      <c r="G59" s="688">
        <f>('MONSTER (MNST)'!G73+'MONSTER (MNST)'!G74+'MONSTER (MNST)'!G77)/'MONSTER (MNST)'!G67</f>
        <v>0</v>
      </c>
    </row>
    <row r="60" spans="2:7" x14ac:dyDescent="0.2">
      <c r="B60" s="672" t="s">
        <v>470</v>
      </c>
      <c r="C60" s="687">
        <f>('PepsiCo (PEP)'!B72+'PepsiCo (PEP)'!B75+'PepsiCo (PEP)'!B78)/'PepsiCo (PEP)'!B68</f>
        <v>0.43662383493726792</v>
      </c>
      <c r="D60" s="687">
        <f>('PepsiCo (PEP)'!C72+'PepsiCo (PEP)'!C75+'PepsiCo (PEP)'!C78)/'PepsiCo (PEP)'!C68</f>
        <v>0.42377734633447944</v>
      </c>
      <c r="E60" s="687">
        <f>('PepsiCo (PEP)'!D72+'PepsiCo (PEP)'!D75+'PepsiCo (PEP)'!D78)/'PepsiCo (PEP)'!D68</f>
        <v>0.43887755609731827</v>
      </c>
      <c r="F60" s="687">
        <f>('PepsiCo (PEP)'!E72+'PepsiCo (PEP)'!E75+'PepsiCo (PEP)'!E78)/'PepsiCo (PEP)'!E68</f>
        <v>0.44543416409462433</v>
      </c>
      <c r="G60" s="688">
        <f>('PepsiCo (PEP)'!F72+'PepsiCo (PEP)'!F75+'PepsiCo (PEP)'!F78)/'PepsiCo (PEP)'!F68</f>
        <v>0.45793722474138493</v>
      </c>
    </row>
    <row r="61" spans="2:7" x14ac:dyDescent="0.2">
      <c r="B61" s="672" t="s">
        <v>471</v>
      </c>
      <c r="C61" s="687">
        <f>('Coca Cola (KO)'!C72+'Coca Cola (KO)'!C73+'Coca Cola (KO)'!C76)/'Coca Cola (KO)'!C67</f>
        <v>0.45319753269601715</v>
      </c>
      <c r="D61" s="687">
        <f>('Coca Cola (KO)'!D72+'Coca Cola (KO)'!D73+'Coca Cola (KO)'!D76)/'Coca Cola (KO)'!D67</f>
        <v>0.42203249140282223</v>
      </c>
      <c r="E61" s="687">
        <f>('Coca Cola (KO)'!E72+'Coca Cola (KO)'!E73+'Coca Cola (KO)'!E76)/'Coca Cola (KO)'!E67</f>
        <v>0.43052925703407263</v>
      </c>
      <c r="F61" s="687">
        <f>('Coca Cola (KO)'!F72+'Coca Cola (KO)'!F73+'Coca Cola (KO)'!F76)/'Coca Cola (KO)'!F67</f>
        <v>0.44278908790738841</v>
      </c>
      <c r="G61" s="688">
        <f>('Coca Cola (KO)'!G72+'Coca Cola (KO)'!G73+'Coca Cola (KO)'!G76)/'Coca Cola (KO)'!G67</f>
        <v>0.43401770722027172</v>
      </c>
    </row>
    <row r="62" spans="2:7" x14ac:dyDescent="0.2">
      <c r="B62" s="672" t="s">
        <v>472</v>
      </c>
      <c r="C62" s="687">
        <f>('CELSIUS (CELH)'!C72+'CELSIUS (CELH)'!C76)/'CELSIUS (CELH)'!C67</f>
        <v>0</v>
      </c>
      <c r="D62" s="687">
        <f>('CELSIUS (CELH)'!D72+'CELSIUS (CELH)'!D76)/'CELSIUS (CELH)'!D67</f>
        <v>0</v>
      </c>
      <c r="E62" s="687">
        <f>('CELSIUS (CELH)'!E72+'CELSIUS (CELH)'!E76)/'CELSIUS (CELH)'!E67</f>
        <v>0</v>
      </c>
      <c r="F62" s="687">
        <f>('CELSIUS (CELH)'!F72+'CELSIUS (CELH)'!F76)/'CELSIUS (CELH)'!F67</f>
        <v>0</v>
      </c>
      <c r="G62" s="688">
        <f>('CELSIUS (CELH)'!G72+'CELSIUS (CELH)'!G76)/'CELSIUS (CELH)'!G67</f>
        <v>0.13085460818291042</v>
      </c>
    </row>
    <row r="63" spans="2:7" x14ac:dyDescent="0.2">
      <c r="B63" s="675" t="s">
        <v>473</v>
      </c>
      <c r="C63" s="689">
        <f>('K.Dr Paper (KDP)'!C72+'K.Dr Paper (KDP)'!C73+'K.Dr Paper (KDP)'!C76)/'K.Dr Paper (KDP)'!C67</f>
        <v>0.23761808767144946</v>
      </c>
      <c r="D63" s="689">
        <f>('K.Dr Paper (KDP)'!D72+'K.Dr Paper (KDP)'!D73+'K.Dr Paper (KDP)'!D76)/'K.Dr Paper (KDP)'!D67</f>
        <v>0.23571965970252909</v>
      </c>
      <c r="E63" s="689">
        <f>('K.Dr Paper (KDP)'!E72+'K.Dr Paper (KDP)'!E73+'K.Dr Paper (KDP)'!E76)/'K.Dr Paper (KDP)'!E67</f>
        <v>0.258143103779014</v>
      </c>
      <c r="F63" s="689">
        <f>('K.Dr Paper (KDP)'!F72+'K.Dr Paper (KDP)'!F73+'K.Dr Paper (KDP)'!F76)/'K.Dr Paper (KDP)'!F67</f>
        <v>0.31087404080104808</v>
      </c>
      <c r="G63" s="690">
        <f>('K.Dr Paper (KDP)'!G72+'K.Dr Paper (KDP)'!G73+'K.Dr Paper (KDP)'!G76)/'K.Dr Paper (KDP)'!G67</f>
        <v>0.31410591608215077</v>
      </c>
    </row>
    <row r="66" spans="2:7" x14ac:dyDescent="0.2">
      <c r="B66" s="228" t="s">
        <v>157</v>
      </c>
      <c r="C66" s="229">
        <v>2021</v>
      </c>
      <c r="D66" s="229">
        <v>2022</v>
      </c>
      <c r="E66" s="229">
        <v>2023</v>
      </c>
      <c r="F66" s="229">
        <v>2024</v>
      </c>
      <c r="G66" s="230">
        <v>2025</v>
      </c>
    </row>
    <row r="67" spans="2:7" x14ac:dyDescent="0.2">
      <c r="B67" s="672" t="s">
        <v>469</v>
      </c>
      <c r="C67" s="687">
        <f>('MONSTER (MNST)'!C73+'MONSTER (MNST)'!C74+'MONSTER (MNST)'!C77)/'MONSTER (MNST)'!C90</f>
        <v>0</v>
      </c>
      <c r="D67" s="687">
        <f>('MONSTER (MNST)'!D73+'MONSTER (MNST)'!D74+'MONSTER (MNST)'!D77)/'MONSTER (MNST)'!D90</f>
        <v>0</v>
      </c>
      <c r="E67" s="687">
        <f>('MONSTER (MNST)'!E73+'MONSTER (MNST)'!E74+'MONSTER (MNST)'!E77)/'MONSTER (MNST)'!E90</f>
        <v>0</v>
      </c>
      <c r="F67" s="687">
        <f>('MONSTER (MNST)'!F73+'MONSTER (MNST)'!F74+'MONSTER (MNST)'!F77)/'MONSTER (MNST)'!F90</f>
        <v>6.2767489162796897E-2</v>
      </c>
      <c r="G67" s="688">
        <f>('MONSTER (MNST)'!G73+'MONSTER (MNST)'!G74+'MONSTER (MNST)'!G77)/'MONSTER (MNST)'!G90</f>
        <v>0</v>
      </c>
    </row>
    <row r="68" spans="2:7" x14ac:dyDescent="0.2">
      <c r="B68" s="672" t="s">
        <v>470</v>
      </c>
      <c r="C68" s="687">
        <f>('PepsiCo (PEP)'!B72+'PepsiCo (PEP)'!B75+'PepsiCo (PEP)'!B78)/'PepsiCo (PEP)'!B94</f>
        <v>2.4973066683177514</v>
      </c>
      <c r="D68" s="687">
        <f>('PepsiCo (PEP)'!C72+'PepsiCo (PEP)'!C75+'PepsiCo (PEP)'!C78)/'PepsiCo (PEP)'!C94</f>
        <v>2.2619695478492443</v>
      </c>
      <c r="E68" s="687">
        <f>('PepsiCo (PEP)'!D72+'PepsiCo (PEP)'!D75+'PepsiCo (PEP)'!D78)/'PepsiCo (PEP)'!D94</f>
        <v>2.3665289477920268</v>
      </c>
      <c r="F68" s="687">
        <f>('PepsiCo (PEP)'!E72+'PepsiCo (PEP)'!E75+'PepsiCo (PEP)'!E78)/'PepsiCo (PEP)'!E94</f>
        <v>2.438280777062352</v>
      </c>
      <c r="G68" s="688">
        <f>('PepsiCo (PEP)'!F72+'PepsiCo (PEP)'!F75+'PepsiCo (PEP)'!F78)/'PepsiCo (PEP)'!F94</f>
        <v>2.3936341071689298</v>
      </c>
    </row>
    <row r="69" spans="2:7" x14ac:dyDescent="0.2">
      <c r="B69" s="672" t="s">
        <v>471</v>
      </c>
      <c r="C69" s="687">
        <f>('Coca Cola (KO)'!C72+'Coca Cola (KO)'!C73+'Coca Cola (KO)'!C76)/'Coca Cola (KO)'!C88</f>
        <v>1.7200724054706356</v>
      </c>
      <c r="D69" s="687">
        <f>('Coca Cola (KO)'!D72+'Coca Cola (KO)'!D73+'Coca Cola (KO)'!D76)/'Coca Cola (KO)'!D88</f>
        <v>1.5158754743281964</v>
      </c>
      <c r="E69" s="687">
        <f>('Coca Cola (KO)'!E72+'Coca Cola (KO)'!E73+'Coca Cola (KO)'!E76)/'Coca Cola (KO)'!E88</f>
        <v>1.5307132459970887</v>
      </c>
      <c r="F69" s="687">
        <f>('Coca Cola (KO)'!F72+'Coca Cola (KO)'!F73+'Coca Cola (KO)'!F76)/'Coca Cola (KO)'!F88</f>
        <v>1.6882299408463521</v>
      </c>
      <c r="G69" s="688">
        <f>('Coca Cola (KO)'!G72+'Coca Cola (KO)'!G73+'Coca Cola (KO)'!G76)/'Coca Cola (KO)'!G88</f>
        <v>1.3272647702407001</v>
      </c>
    </row>
    <row r="70" spans="2:7" x14ac:dyDescent="0.2">
      <c r="B70" s="672" t="s">
        <v>472</v>
      </c>
      <c r="C70" s="687">
        <f>('CELSIUS (CELH)'!C72+'CELSIUS (CELH)'!C76)/'CELSIUS (CELH)'!C89</f>
        <v>0</v>
      </c>
      <c r="D70" s="687">
        <f>('CELSIUS (CELH)'!D72+'CELSIUS (CELH)'!D76)/'CELSIUS (CELH)'!D89</f>
        <v>0</v>
      </c>
      <c r="E70" s="687">
        <f>('CELSIUS (CELH)'!E72+'CELSIUS (CELH)'!E76)/'CELSIUS (CELH)'!E89</f>
        <v>0</v>
      </c>
      <c r="F70" s="687">
        <f>('CELSIUS (CELH)'!F72+'CELSIUS (CELH)'!F76)/'CELSIUS (CELH)'!F89</f>
        <v>0</v>
      </c>
      <c r="G70" s="688">
        <f>('CELSIUS (CELH)'!G72+'CELSIUS (CELH)'!G76)/'CELSIUS (CELH)'!G89</f>
        <v>0.22775427834375112</v>
      </c>
    </row>
    <row r="71" spans="2:7" x14ac:dyDescent="0.2">
      <c r="B71" s="675" t="s">
        <v>473</v>
      </c>
      <c r="C71" s="689">
        <f>('K.Dr Paper (KDP)'!C72+'K.Dr Paper (KDP)'!C73+'K.Dr Paper (KDP)'!C76)/'K.Dr Paper (KDP)'!C88</f>
        <v>0.48145923434246357</v>
      </c>
      <c r="D71" s="689">
        <f>('K.Dr Paper (KDP)'!D72+'K.Dr Paper (KDP)'!D73+'K.Dr Paper (KDP)'!D76)/'K.Dr Paper (KDP)'!D88</f>
        <v>0.48630900262676113</v>
      </c>
      <c r="E71" s="689">
        <f>('K.Dr Paper (KDP)'!E72+'K.Dr Paper (KDP)'!E73+'K.Dr Paper (KDP)'!E76)/'K.Dr Paper (KDP)'!E88</f>
        <v>0.52410811652905442</v>
      </c>
      <c r="F71" s="689">
        <f>('K.Dr Paper (KDP)'!F72+'K.Dr Paper (KDP)'!F73+'K.Dr Paper (KDP)'!F76)/'K.Dr Paper (KDP)'!F88</f>
        <v>0.68514622777709033</v>
      </c>
      <c r="G71" s="690">
        <f>('K.Dr Paper (KDP)'!G72+'K.Dr Paper (KDP)'!G73+'K.Dr Paper (KDP)'!G76)/'K.Dr Paper (KDP)'!G88</f>
        <v>0.68270888854052358</v>
      </c>
    </row>
    <row r="74" spans="2:7" x14ac:dyDescent="0.2">
      <c r="B74" s="228" t="s">
        <v>158</v>
      </c>
      <c r="C74" s="229">
        <v>2021</v>
      </c>
      <c r="D74" s="229">
        <v>2022</v>
      </c>
      <c r="E74" s="229">
        <v>2023</v>
      </c>
      <c r="F74" s="229">
        <v>2024</v>
      </c>
      <c r="G74" s="230">
        <v>2025</v>
      </c>
    </row>
    <row r="75" spans="2:7" x14ac:dyDescent="0.2">
      <c r="B75" s="672" t="s">
        <v>469</v>
      </c>
      <c r="C75" s="673">
        <f>IF('MONSTER (MNST)'!C20=0,"N/A",'MONSTER (MNST)'!C18/'MONSTER (MNST)'!C20)</f>
        <v>-454.82464574898785</v>
      </c>
      <c r="D75" s="680">
        <f>IF('MONSTER (MNST)'!D20=0,"N/A",'MONSTER (MNST)'!D18/'MONSTER (MNST)'!D20)</f>
        <v>124.223641922082</v>
      </c>
      <c r="E75" s="680">
        <f>IF('MONSTER (MNST)'!E20=0,"N/A",'MONSTER (MNST)'!E18/'MONSTER (MNST)'!E20)</f>
        <v>-16.966958228738697</v>
      </c>
      <c r="F75" s="680">
        <f>IF('MONSTER (MNST)'!F20=0,"N/A",'MONSTER (MNST)'!F18/'MONSTER (MNST)'!F20)</f>
        <v>-32.625606355108594</v>
      </c>
      <c r="G75" s="681">
        <f>IF('MONSTER (MNST)'!G20=0,"N/A",'MONSTER (MNST)'!G18/'MONSTER (MNST)'!G20)</f>
        <v>-38.296066481994472</v>
      </c>
    </row>
    <row r="76" spans="2:7" x14ac:dyDescent="0.2">
      <c r="B76" s="672" t="s">
        <v>470</v>
      </c>
      <c r="C76" s="673">
        <f>IF('PepsiCo (PEP)'!B18=0,"N/A",'PepsiCo (PEP)'!B17/'PepsiCo (PEP)'!B18)</f>
        <v>5.9914117015566291</v>
      </c>
      <c r="D76" s="680">
        <f>IF('PepsiCo (PEP)'!C18=0,"N/A",'PepsiCo (PEP)'!C17/'PepsiCo (PEP)'!C18)</f>
        <v>12.259850905218318</v>
      </c>
      <c r="E76" s="680">
        <f>IF('PepsiCo (PEP)'!D18=0,"N/A",'PepsiCo (PEP)'!D17/'PepsiCo (PEP)'!D18)</f>
        <v>14.634920634920634</v>
      </c>
      <c r="F76" s="680">
        <f>IF('PepsiCo (PEP)'!E18=0,"N/A",'PepsiCo (PEP)'!E17/'PepsiCo (PEP)'!E18)</f>
        <v>14.022850924918389</v>
      </c>
      <c r="G76" s="681">
        <f>IF('PepsiCo (PEP)'!F18=0,"N/A",'PepsiCo (PEP)'!F17/'PepsiCo (PEP)'!F18)</f>
        <v>10.256913470115968</v>
      </c>
    </row>
    <row r="77" spans="2:7" x14ac:dyDescent="0.2">
      <c r="B77" s="672" t="s">
        <v>471</v>
      </c>
      <c r="C77" s="673">
        <f>IF('Coca Cola (KO)'!C20=0,"N/A",'Coca Cola (KO)'!C18/'Coca Cola (KO)'!C20)</f>
        <v>6.4546023794614902</v>
      </c>
      <c r="D77" s="680">
        <f>IF('Coca Cola (KO)'!D20=0,"N/A",'Coca Cola (KO)'!D18/'Coca Cola (KO)'!D20)</f>
        <v>12.368480725623582</v>
      </c>
      <c r="E77" s="680">
        <f>IF('Coca Cola (KO)'!E20=0,"N/A",'Coca Cola (KO)'!E18/'Coca Cola (KO)'!E20)</f>
        <v>7.4073346430910281</v>
      </c>
      <c r="F77" s="680">
        <f>IF('Coca Cola (KO)'!F20=0,"N/A",'Coca Cola (KO)'!F18/'Coca Cola (KO)'!F20)</f>
        <v>6.0338164251207731</v>
      </c>
      <c r="G77" s="681">
        <f>IF('Coca Cola (KO)'!G20=0,"N/A",'Coca Cola (KO)'!G18/'Coca Cola (KO)'!G20)</f>
        <v>8.3204353083434093</v>
      </c>
    </row>
    <row r="78" spans="2:7" x14ac:dyDescent="0.2">
      <c r="B78" s="672" t="s">
        <v>472</v>
      </c>
      <c r="C78" s="686">
        <f>IF('CELSIUS (CELH)'!C20=0,"N/A",'CELSIUS (CELH)'!C18/'CELSIUS (CELH)'!C20)</f>
        <v>-511.25</v>
      </c>
      <c r="D78" s="682">
        <f>IF('CELSIUS (CELH)'!D20=0,"N/A",'CELSIUS (CELH)'!D18/'CELSIUS (CELH)'!D20)</f>
        <v>29.81878306878307</v>
      </c>
      <c r="E78" s="682" t="str">
        <f>IF('CELSIUS (CELH)'!E20=0,"N/A",'CELSIUS (CELH)'!E18/'CELSIUS (CELH)'!E20)</f>
        <v>N/A</v>
      </c>
      <c r="F78" s="682" t="str">
        <f>IF('CELSIUS (CELH)'!F20=0,"N/A",'CELSIUS (CELH)'!F18/'CELSIUS (CELH)'!F20)</f>
        <v>N/A</v>
      </c>
      <c r="G78" s="683">
        <f>IF('CELSIUS (CELH)'!G20=0,"N/A",'CELSIUS (CELH)'!G18/'CELSIUS (CELH)'!G20)</f>
        <v>2.8801682422361519</v>
      </c>
    </row>
    <row r="79" spans="2:7" x14ac:dyDescent="0.2">
      <c r="B79" s="675" t="s">
        <v>473</v>
      </c>
      <c r="C79" s="676">
        <f>IF('K.Dr Paper (KDP)'!C20=0,"N/A",'K.Dr Paper (KDP)'!C18/'K.Dr Paper (KDP)'!C20)</f>
        <v>6.0579999999999998</v>
      </c>
      <c r="D79" s="684">
        <f>IF('K.Dr Paper (KDP)'!D20=0,"N/A",'K.Dr Paper (KDP)'!D18/'K.Dr Paper (KDP)'!D20)</f>
        <v>4.1471861471861473</v>
      </c>
      <c r="E79" s="684">
        <f>IF('K.Dr Paper (KDP)'!E20=0,"N/A",'K.Dr Paper (KDP)'!E18/'K.Dr Paper (KDP)'!E20)</f>
        <v>6.506048387096774</v>
      </c>
      <c r="F79" s="684">
        <f>IF('K.Dr Paper (KDP)'!F20=0,"N/A",'K.Dr Paper (KDP)'!F18/'K.Dr Paper (KDP)'!F20)</f>
        <v>4.6204081632653065</v>
      </c>
      <c r="G79" s="685">
        <f>IF('K.Dr Paper (KDP)'!G20=0,"N/A",'K.Dr Paper (KDP)'!G18/'K.Dr Paper (KDP)'!G20)</f>
        <v>4.9230769230769234</v>
      </c>
    </row>
    <row r="82" spans="2:7" x14ac:dyDescent="0.2">
      <c r="B82" s="228" t="s">
        <v>159</v>
      </c>
      <c r="C82" s="229">
        <v>2021</v>
      </c>
      <c r="D82" s="229">
        <v>2022</v>
      </c>
      <c r="E82" s="229">
        <v>2023</v>
      </c>
      <c r="F82" s="229">
        <v>2024</v>
      </c>
      <c r="G82" s="230">
        <v>2025</v>
      </c>
    </row>
    <row r="83" spans="2:7" x14ac:dyDescent="0.2">
      <c r="B83" s="672" t="s">
        <v>469</v>
      </c>
      <c r="C83" s="680">
        <f>IF('MONSTER (MNST)'!C20=0,"N/A",('MONSTER (MNST)'!C18+'MONSTER (MNST)'!C35)/'MONSTER (MNST)'!C20)</f>
        <v>-456.12904858299589</v>
      </c>
      <c r="D83" s="680">
        <f>IF('MONSTER (MNST)'!D20=0,"N/A",('MONSTER (MNST)'!D18+'MONSTER (MNST)'!D35)/'MONSTER (MNST)'!D20)</f>
        <v>129.02422199576702</v>
      </c>
      <c r="E83" s="680">
        <f>IF('MONSTER (MNST)'!E20=0,"N/A",('MONSTER (MNST)'!E18+'MONSTER (MNST)'!E35)/'MONSTER (MNST)'!E20)</f>
        <v>-17.565410372892543</v>
      </c>
      <c r="F83" s="680">
        <f>IF('MONSTER (MNST)'!F20=0,"N/A",('MONSTER (MNST)'!F18+'MONSTER (MNST)'!F35)/'MONSTER (MNST)'!F20)</f>
        <v>-33.985092537817962</v>
      </c>
      <c r="G83" s="681">
        <f>IF('MONSTER (MNST)'!G20=0,"N/A",('MONSTER (MNST)'!G18+'MONSTER (MNST)'!G35)/'MONSTER (MNST)'!G20)</f>
        <v>-40.107558369608242</v>
      </c>
    </row>
    <row r="84" spans="2:7" x14ac:dyDescent="0.2">
      <c r="B84" s="672" t="s">
        <v>470</v>
      </c>
      <c r="C84" s="680">
        <f>IF('PepsiCo (PEP)'!B18=0,"N/A",('PepsiCo (PEP)'!B17+'PepsiCo (PEP)'!B30)/'PepsiCo (PEP)'!B18)</f>
        <v>7.4460547504025767</v>
      </c>
      <c r="D84" s="680">
        <f>IF('PepsiCo (PEP)'!C18=0,"N/A",('PepsiCo (PEP)'!C17+'PepsiCo (PEP)'!C30)/'PepsiCo (PEP)'!C18)</f>
        <v>15.20234291799787</v>
      </c>
      <c r="E84" s="680">
        <f>IF('PepsiCo (PEP)'!D18=0,"N/A",('PepsiCo (PEP)'!D17+'PepsiCo (PEP)'!D30)/'PepsiCo (PEP)'!D18)</f>
        <v>18.234432234432234</v>
      </c>
      <c r="F84" s="680">
        <f>IF('PepsiCo (PEP)'!E18=0,"N/A",('PepsiCo (PEP)'!E17+'PepsiCo (PEP)'!E30)/'PepsiCo (PEP)'!E18)</f>
        <v>17.461371055495103</v>
      </c>
      <c r="G84" s="681">
        <f>IF('PepsiCo (PEP)'!F18=0,"N/A",('PepsiCo (PEP)'!F17+'PepsiCo (PEP)'!F30)/'PepsiCo (PEP)'!F18)</f>
        <v>13.335414808206957</v>
      </c>
    </row>
    <row r="85" spans="2:7" x14ac:dyDescent="0.2">
      <c r="B85" s="672" t="s">
        <v>471</v>
      </c>
      <c r="C85" s="680">
        <f>IF('Coca Cola (KO)'!C20=0,"N/A",('Coca Cola (KO)'!C18+'Coca Cola (KO)'!C35)/'Coca Cola (KO)'!C20)</f>
        <v>7.1120851596743897</v>
      </c>
      <c r="D85" s="680">
        <f>IF('Coca Cola (KO)'!D20=0,"N/A",('Coca Cola (KO)'!D18+'Coca Cola (KO)'!D35)/'Coca Cola (KO)'!D20)</f>
        <v>13.587301587301587</v>
      </c>
      <c r="E85" s="680">
        <f>IF('Coca Cola (KO)'!E20=0,"N/A",('Coca Cola (KO)'!E18+'Coca Cola (KO)'!E35)/'Coca Cola (KO)'!E20)</f>
        <v>8.1460379829731497</v>
      </c>
      <c r="F85" s="680">
        <f>IF('Coca Cola (KO)'!F20=0,"N/A",('Coca Cola (KO)'!F18+'Coca Cola (KO)'!F35)/'Coca Cola (KO)'!F20)</f>
        <v>6.7946859903381647</v>
      </c>
      <c r="G85" s="681">
        <f>IF('Coca Cola (KO)'!G20=0,"N/A",('Coca Cola (KO)'!G18+'Coca Cola (KO)'!G35)/'Coca Cola (KO)'!G20)</f>
        <v>9.1983071342200731</v>
      </c>
    </row>
    <row r="86" spans="2:7" x14ac:dyDescent="0.2">
      <c r="B86" s="672" t="s">
        <v>472</v>
      </c>
      <c r="C86" s="682">
        <f>IF('CELSIUS (CELH)'!C20=0,"N/A",('CELSIUS (CELH)'!C18+'CELSIUS (CELH)'!C35)/'CELSIUS (CELH)'!C20)</f>
        <v>-353.25</v>
      </c>
      <c r="D86" s="682">
        <f>IF('CELSIUS (CELH)'!D20=0,"N/A",('CELSIUS (CELH)'!D18+'CELSIUS (CELH)'!D35)/'CELSIUS (CELH)'!D20)</f>
        <v>29.456538170823887</v>
      </c>
      <c r="E86" s="682" t="str">
        <f>IF('CELSIUS (CELH)'!E20=0,"N/A",('CELSIUS (CELH)'!E18+'CELSIUS (CELH)'!E35)/'CELSIUS (CELH)'!E20)</f>
        <v>N/A</v>
      </c>
      <c r="F86" s="682" t="str">
        <f>IF('CELSIUS (CELH)'!F20=0,"N/A",('CELSIUS (CELH)'!F18+'CELSIUS (CELH)'!F35)/'CELSIUS (CELH)'!F20)</f>
        <v>N/A</v>
      </c>
      <c r="G86" s="683">
        <f>IF('CELSIUS (CELH)'!G20=0,"N/A",('CELSIUS (CELH)'!G18+'CELSIUS (CELH)'!G35)/'CELSIUS (CELH)'!G20)</f>
        <v>3.4814913122486066</v>
      </c>
    </row>
    <row r="87" spans="2:7" x14ac:dyDescent="0.2">
      <c r="B87" s="675" t="s">
        <v>473</v>
      </c>
      <c r="C87" s="684">
        <f>IF('K.Dr Paper (KDP)'!C20=0,"N/A",('K.Dr Paper (KDP)'!C18+'K.Dr Paper (KDP)'!C35)/'K.Dr Paper (KDP)'!C20)</f>
        <v>6.4119999999999999</v>
      </c>
      <c r="D87" s="684">
        <f>IF('K.Dr Paper (KDP)'!D20=0,"N/A",('K.Dr Paper (KDP)'!D18+'K.Dr Paper (KDP)'!D35)/'K.Dr Paper (KDP)'!D20)</f>
        <v>4.3924963924963922</v>
      </c>
      <c r="E87" s="684">
        <f>IF('K.Dr Paper (KDP)'!E20=0,"N/A",('K.Dr Paper (KDP)'!E18+'K.Dr Paper (KDP)'!E35)/'K.Dr Paper (KDP)'!E20)</f>
        <v>6.850806451612903</v>
      </c>
      <c r="F87" s="684">
        <f>IF('K.Dr Paper (KDP)'!F20=0,"N/A",('K.Dr Paper (KDP)'!F18+'K.Dr Paper (KDP)'!F35)/'K.Dr Paper (KDP)'!F20)</f>
        <v>4.8761904761904766</v>
      </c>
      <c r="G87" s="685">
        <f>IF('K.Dr Paper (KDP)'!G20=0,"N/A",('K.Dr Paper (KDP)'!G18+'K.Dr Paper (KDP)'!G35)/'K.Dr Paper (KDP)'!G20)</f>
        <v>5.2002652519893902</v>
      </c>
    </row>
    <row r="91" spans="2:7" x14ac:dyDescent="0.2">
      <c r="B91" s="651" t="s">
        <v>477</v>
      </c>
      <c r="C91" s="655"/>
      <c r="D91" s="655"/>
      <c r="E91" s="655"/>
      <c r="F91" s="655"/>
      <c r="G91" s="656"/>
    </row>
    <row r="93" spans="2:7" x14ac:dyDescent="0.2">
      <c r="B93" s="228" t="s">
        <v>161</v>
      </c>
      <c r="C93" s="229">
        <v>2021</v>
      </c>
      <c r="D93" s="229">
        <v>2022</v>
      </c>
      <c r="E93" s="229">
        <v>2023</v>
      </c>
      <c r="F93" s="229">
        <v>2024</v>
      </c>
      <c r="G93" s="230">
        <v>2025</v>
      </c>
    </row>
    <row r="94" spans="2:7" x14ac:dyDescent="0.2">
      <c r="B94" s="216" t="s">
        <v>469</v>
      </c>
      <c r="C94" s="176">
        <f>'MONSTER (MNST)'!C9/'MONSTER (MNST)'!C67</f>
        <v>0.70999428043107926</v>
      </c>
      <c r="D94" s="176">
        <f>'MONSTER (MNST)'!D9/'MONSTER (MNST)'!D67</f>
        <v>0.76099964970900535</v>
      </c>
      <c r="E94" s="176">
        <f>'MONSTER (MNST)'!E9/'MONSTER (MNST)'!E67</f>
        <v>0.73710945992792865</v>
      </c>
      <c r="F94" s="176">
        <f>'MONSTER (MNST)'!F9/'MONSTER (MNST)'!F67</f>
        <v>0.97067270503034742</v>
      </c>
      <c r="G94" s="222">
        <f>'MONSTER (MNST)'!G9/'MONSTER (MNST)'!G67</f>
        <v>0.83035225441725835</v>
      </c>
    </row>
    <row r="95" spans="2:7" x14ac:dyDescent="0.2">
      <c r="B95" s="216" t="s">
        <v>470</v>
      </c>
      <c r="C95" s="176">
        <f>'PepsiCo (PEP)'!B7/'PepsiCo (PEP)'!B68</f>
        <v>0.86032237461705841</v>
      </c>
      <c r="D95" s="176">
        <f>'PepsiCo (PEP)'!C7/'PepsiCo (PEP)'!C68</f>
        <v>0.93703699686540776</v>
      </c>
      <c r="E95" s="176">
        <f>'PepsiCo (PEP)'!D7/'PepsiCo (PEP)'!D68</f>
        <v>0.91020448778546192</v>
      </c>
      <c r="F95" s="176">
        <f>'PepsiCo (PEP)'!E7/'PepsiCo (PEP)'!E68</f>
        <v>0.92346205274111015</v>
      </c>
      <c r="G95" s="222">
        <f>'PepsiCo (PEP)'!F7/'PepsiCo (PEP)'!F68</f>
        <v>0.87454259350645724</v>
      </c>
    </row>
    <row r="96" spans="2:7" x14ac:dyDescent="0.2">
      <c r="B96" s="216" t="s">
        <v>471</v>
      </c>
      <c r="C96" s="176">
        <f>'Coca Cola (KO)'!C9/'Coca Cola (KO)'!C67</f>
        <v>0.40968056468194247</v>
      </c>
      <c r="D96" s="176">
        <f>'Coca Cola (KO)'!D9/'Coca Cola (KO)'!D67</f>
        <v>0.46359000894753294</v>
      </c>
      <c r="E96" s="176">
        <f>'Coca Cola (KO)'!E9/'Coca Cola (KO)'!E67</f>
        <v>0.46829677696693039</v>
      </c>
      <c r="F96" s="176">
        <f>'Coca Cola (KO)'!F9/'Coca Cola (KO)'!F67</f>
        <v>0.46804045788620474</v>
      </c>
      <c r="G96" s="222">
        <f>'Coca Cola (KO)'!G9/'Coca Cola (KO)'!G67</f>
        <v>0.45738246069302396</v>
      </c>
    </row>
    <row r="97" spans="2:7" x14ac:dyDescent="0.2">
      <c r="B97" s="216" t="s">
        <v>472</v>
      </c>
      <c r="C97" s="176">
        <f>'CELSIUS (CELH)'!C9/'CELSIUS (CELH)'!C67</f>
        <v>1.0008088708290608</v>
      </c>
      <c r="D97" s="176">
        <f>'CELSIUS (CELH)'!D9/'CELSIUS (CELH)'!D67</f>
        <v>0.5348339578207123</v>
      </c>
      <c r="E97" s="176">
        <f>'CELSIUS (CELH)'!E9/'CELSIUS (CELH)'!E67</f>
        <v>0.85786086399600103</v>
      </c>
      <c r="F97" s="176">
        <f>'CELSIUS (CELH)'!F9/'CELSIUS (CELH)'!F67</f>
        <v>0.76724465314868406</v>
      </c>
      <c r="G97" s="222">
        <f>'CELSIUS (CELH)'!G9/'CELSIUS (CELH)'!G67</f>
        <v>0.49129984426581574</v>
      </c>
    </row>
    <row r="98" spans="2:7" x14ac:dyDescent="0.2">
      <c r="B98" s="219" t="s">
        <v>473</v>
      </c>
      <c r="C98" s="226">
        <f>'K.Dr Paper (KDP)'!C9/'K.Dr Paper (KDP)'!C67</f>
        <v>0.25066208150519781</v>
      </c>
      <c r="D98" s="226">
        <f>'K.Dr Paper (KDP)'!D9/'K.Dr Paper (KDP)'!D67</f>
        <v>0.27117695854312557</v>
      </c>
      <c r="E98" s="226">
        <f>'K.Dr Paper (KDP)'!E9/'K.Dr Paper (KDP)'!E67</f>
        <v>0.28417417993477845</v>
      </c>
      <c r="F98" s="226">
        <f>'K.Dr Paper (KDP)'!F9/'K.Dr Paper (KDP)'!F67</f>
        <v>0.28731049971925882</v>
      </c>
      <c r="G98" s="227">
        <f>'K.Dr Paper (KDP)'!G9/'K.Dr Paper (KDP)'!G67</f>
        <v>0.29937431255522096</v>
      </c>
    </row>
    <row r="99" spans="2:7" x14ac:dyDescent="0.2">
      <c r="B99" s="135"/>
    </row>
    <row r="100" spans="2:7" x14ac:dyDescent="0.2">
      <c r="B100" s="228" t="s">
        <v>162</v>
      </c>
      <c r="C100" s="229">
        <v>2021</v>
      </c>
      <c r="D100" s="229">
        <v>2022</v>
      </c>
      <c r="E100" s="229">
        <v>2023</v>
      </c>
      <c r="F100" s="229">
        <v>2024</v>
      </c>
      <c r="G100" s="230">
        <v>2025</v>
      </c>
    </row>
    <row r="101" spans="2:7" x14ac:dyDescent="0.2">
      <c r="B101" s="672" t="s">
        <v>469</v>
      </c>
      <c r="C101" s="673">
        <f>'MONSTER (MNST)'!C10/'MONSTER (MNST)'!C57</f>
        <v>4.1001269050504163</v>
      </c>
      <c r="D101" s="673">
        <f>'MONSTER (MNST)'!D10/'MONSTER (MNST)'!D57</f>
        <v>3.352264942055148</v>
      </c>
      <c r="E101" s="673">
        <f>'MONSTER (MNST)'!E10/'MONSTER (MNST)'!E57</f>
        <v>3.4443075294984795</v>
      </c>
      <c r="F101" s="673">
        <f>'MONSTER (MNST)'!F10/'MONSTER (MNST)'!F57</f>
        <v>4.6720910261332484</v>
      </c>
      <c r="G101" s="674">
        <f>'MONSTER (MNST)'!G10/'MONSTER (MNST)'!G57</f>
        <v>4.5798432511320959</v>
      </c>
    </row>
    <row r="102" spans="2:7" x14ac:dyDescent="0.2">
      <c r="B102" s="672" t="s">
        <v>470</v>
      </c>
      <c r="C102" s="673">
        <f>'PepsiCo (PEP)'!B8/'PepsiCo (PEP)'!B57</f>
        <v>8.5288704853922237</v>
      </c>
      <c r="D102" s="673">
        <f>'PepsiCo (PEP)'!C8/'PepsiCo (PEP)'!C57</f>
        <v>7.7702029873611647</v>
      </c>
      <c r="E102" s="673">
        <f>'PepsiCo (PEP)'!D8/'PepsiCo (PEP)'!D57</f>
        <v>7.8517060367454068</v>
      </c>
      <c r="F102" s="673">
        <f>'PepsiCo (PEP)'!E8/'PepsiCo (PEP)'!E57</f>
        <v>7.8673200150772713</v>
      </c>
      <c r="G102" s="674">
        <f>'PepsiCo (PEP)'!F8/'PepsiCo (PEP)'!F57</f>
        <v>7.3680068434559454</v>
      </c>
    </row>
    <row r="103" spans="2:7" x14ac:dyDescent="0.2">
      <c r="B103" s="672" t="s">
        <v>471</v>
      </c>
      <c r="C103" s="673">
        <f>'Coca Cola (KO)'!C10/'Coca Cola (KO)'!C57</f>
        <v>4.4982425307557117</v>
      </c>
      <c r="D103" s="673">
        <f>'Coca Cola (KO)'!D10/'Coca Cola (KO)'!D57</f>
        <v>4.2523033309709426</v>
      </c>
      <c r="E103" s="673">
        <f>'Coca Cola (KO)'!E10/'Coca Cola (KO)'!E57</f>
        <v>4.1862567811934897</v>
      </c>
      <c r="F103" s="673">
        <f>'Coca Cola (KO)'!F10/'Coca Cola (KO)'!F57</f>
        <v>3.8756345177664975</v>
      </c>
      <c r="G103" s="674">
        <f>'Coca Cola (KO)'!G10/'Coca Cola (KO)'!G57</f>
        <v>4.157514124293785</v>
      </c>
    </row>
    <row r="104" spans="2:7" x14ac:dyDescent="0.2">
      <c r="B104" s="672" t="s">
        <v>472</v>
      </c>
      <c r="C104" s="673">
        <f>'CELSIUS (CELH)'!C10/'CELSIUS (CELH)'!C57</f>
        <v>0.97323006767003795</v>
      </c>
      <c r="D104" s="673">
        <f>'CELSIUS (CELH)'!D10/'CELSIUS (CELH)'!D57</f>
        <v>2.2086514435422906</v>
      </c>
      <c r="E104" s="673">
        <f>'CELSIUS (CELH)'!E10/'CELSIUS (CELH)'!E57</f>
        <v>2.9871333551412058</v>
      </c>
      <c r="F104" s="673">
        <f>'CELSIUS (CELH)'!F10/'CELSIUS (CELH)'!F57</f>
        <v>5.1494148591468765</v>
      </c>
      <c r="G104" s="674">
        <f>'CELSIUS (CELH)'!G10/'CELSIUS (CELH)'!G57</f>
        <v>3.6954201683160695</v>
      </c>
    </row>
    <row r="105" spans="2:7" x14ac:dyDescent="0.2">
      <c r="B105" s="675" t="s">
        <v>473</v>
      </c>
      <c r="C105" s="676">
        <f>'K.Dr Paper (KDP)'!C10/'K.Dr Paper (KDP)'!C57</f>
        <v>5.9068322981366457</v>
      </c>
      <c r="D105" s="676">
        <f>'K.Dr Paper (KDP)'!D10/'K.Dr Paper (KDP)'!D57</f>
        <v>4.7997148966500358</v>
      </c>
      <c r="E105" s="676">
        <f>'K.Dr Paper (KDP)'!E10/'K.Dr Paper (KDP)'!E57</f>
        <v>5.3743016759776534</v>
      </c>
      <c r="F105" s="676">
        <f>'K.Dr Paper (KDP)'!F10/'K.Dr Paper (KDP)'!F57</f>
        <v>5.2517321016166285</v>
      </c>
      <c r="G105" s="677">
        <f>'K.Dr Paper (KDP)'!G10/'K.Dr Paper (KDP)'!G57</f>
        <v>4.3877668782458166</v>
      </c>
    </row>
    <row r="107" spans="2:7" x14ac:dyDescent="0.2">
      <c r="B107" s="228" t="s">
        <v>163</v>
      </c>
      <c r="C107" s="229">
        <v>2021</v>
      </c>
      <c r="D107" s="229">
        <v>2022</v>
      </c>
      <c r="E107" s="229">
        <v>2023</v>
      </c>
      <c r="F107" s="229">
        <v>2024</v>
      </c>
      <c r="G107" s="230">
        <v>2025</v>
      </c>
    </row>
    <row r="108" spans="2:7" x14ac:dyDescent="0.2">
      <c r="B108" s="672" t="s">
        <v>469</v>
      </c>
      <c r="C108" s="673">
        <f t="shared" ref="C108:G112" si="0">365/C101</f>
        <v>89.021634806084577</v>
      </c>
      <c r="D108" s="673">
        <f t="shared" si="0"/>
        <v>108.88160879558409</v>
      </c>
      <c r="E108" s="673">
        <f t="shared" si="0"/>
        <v>105.97195426772682</v>
      </c>
      <c r="F108" s="673">
        <f t="shared" si="0"/>
        <v>78.123477894240452</v>
      </c>
      <c r="G108" s="674">
        <f t="shared" si="0"/>
        <v>79.69705074726636</v>
      </c>
    </row>
    <row r="109" spans="2:7" x14ac:dyDescent="0.2">
      <c r="B109" s="672" t="s">
        <v>470</v>
      </c>
      <c r="C109" s="673">
        <f t="shared" si="0"/>
        <v>42.795819285232639</v>
      </c>
      <c r="D109" s="673">
        <f t="shared" si="0"/>
        <v>46.974319794952677</v>
      </c>
      <c r="E109" s="673">
        <f t="shared" si="0"/>
        <v>46.486712351663044</v>
      </c>
      <c r="F109" s="673">
        <f t="shared" si="0"/>
        <v>46.39445189727865</v>
      </c>
      <c r="G109" s="674">
        <f t="shared" si="0"/>
        <v>49.538499047972877</v>
      </c>
    </row>
    <row r="110" spans="2:7" x14ac:dyDescent="0.2">
      <c r="B110" s="672" t="s">
        <v>471</v>
      </c>
      <c r="C110" s="673">
        <f t="shared" si="0"/>
        <v>81.142801328384451</v>
      </c>
      <c r="D110" s="673">
        <f t="shared" si="0"/>
        <v>85.835833333333326</v>
      </c>
      <c r="E110" s="673">
        <f t="shared" si="0"/>
        <v>87.190064794816422</v>
      </c>
      <c r="F110" s="673">
        <f t="shared" si="0"/>
        <v>94.1781270464964</v>
      </c>
      <c r="G110" s="674">
        <f t="shared" si="0"/>
        <v>87.792846659781489</v>
      </c>
    </row>
    <row r="111" spans="2:7" x14ac:dyDescent="0.2">
      <c r="B111" s="672" t="s">
        <v>472</v>
      </c>
      <c r="C111" s="678">
        <f t="shared" si="0"/>
        <v>375.03978979382384</v>
      </c>
      <c r="D111" s="678">
        <f t="shared" si="0"/>
        <v>165.25921329379335</v>
      </c>
      <c r="E111" s="678">
        <f t="shared" si="0"/>
        <v>122.1907282350794</v>
      </c>
      <c r="F111" s="678">
        <f t="shared" si="0"/>
        <v>70.88183997287625</v>
      </c>
      <c r="G111" s="679">
        <f t="shared" si="0"/>
        <v>98.77090652084722</v>
      </c>
    </row>
    <row r="112" spans="2:7" x14ac:dyDescent="0.2">
      <c r="B112" s="675" t="s">
        <v>473</v>
      </c>
      <c r="C112" s="676">
        <f t="shared" si="0"/>
        <v>61.792849631966355</v>
      </c>
      <c r="D112" s="676">
        <f t="shared" si="0"/>
        <v>76.046183546183542</v>
      </c>
      <c r="E112" s="676">
        <f t="shared" si="0"/>
        <v>67.915800415800419</v>
      </c>
      <c r="F112" s="676">
        <f t="shared" si="0"/>
        <v>69.500879507475815</v>
      </c>
      <c r="G112" s="677">
        <f t="shared" si="0"/>
        <v>83.185823250920564</v>
      </c>
    </row>
    <row r="114" spans="2:7" x14ac:dyDescent="0.2">
      <c r="B114" s="228" t="s">
        <v>164</v>
      </c>
      <c r="C114" s="229">
        <v>2021</v>
      </c>
      <c r="D114" s="229">
        <v>2022</v>
      </c>
      <c r="E114" s="229">
        <v>2023</v>
      </c>
      <c r="F114" s="229">
        <v>2024</v>
      </c>
      <c r="G114" s="230">
        <v>2025</v>
      </c>
    </row>
    <row r="115" spans="2:7" x14ac:dyDescent="0.2">
      <c r="B115" s="672" t="s">
        <v>469</v>
      </c>
      <c r="C115" s="673">
        <f>'MONSTER (MNST)'!C9/'MONSTER (MNST)'!C56</f>
        <v>6.1800062008034278</v>
      </c>
      <c r="D115" s="673">
        <f>'MONSTER (MNST)'!D9/'MONSTER (MNST)'!D56</f>
        <v>6.2104225238461215</v>
      </c>
      <c r="E115" s="673">
        <f>'MONSTER (MNST)'!E9/'MONSTER (MNST)'!E56</f>
        <v>5.9801024151481954</v>
      </c>
      <c r="F115" s="673">
        <f>'MONSTER (MNST)'!F9/'MONSTER (MNST)'!F56</f>
        <v>6.1332898401009786</v>
      </c>
      <c r="G115" s="674">
        <f>'MONSTER (MNST)'!G9/'MONSTER (MNST)'!G56</f>
        <v>5.1260654655664277</v>
      </c>
    </row>
    <row r="116" spans="2:7" x14ac:dyDescent="0.2">
      <c r="B116" s="672" t="s">
        <v>470</v>
      </c>
      <c r="C116" s="673">
        <f>'PepsiCo (PEP)'!B7/'PepsiCo (PEP)'!B56</f>
        <v>9.1559907834101377</v>
      </c>
      <c r="D116" s="673">
        <f>'PepsiCo (PEP)'!C7/'PepsiCo (PEP)'!C56</f>
        <v>8.5006395749286625</v>
      </c>
      <c r="E116" s="673">
        <f>'PepsiCo (PEP)'!D7/'PepsiCo (PEP)'!D56</f>
        <v>8.4577901063337961</v>
      </c>
      <c r="F116" s="673">
        <f>'PepsiCo (PEP)'!E7/'PepsiCo (PEP)'!E56</f>
        <v>8.88938352850092</v>
      </c>
      <c r="G116" s="674">
        <f>'PepsiCo (PEP)'!F7/'PepsiCo (PEP)'!F56</f>
        <v>8.1631322788110552</v>
      </c>
    </row>
    <row r="117" spans="2:7" x14ac:dyDescent="0.2">
      <c r="B117" s="672" t="s">
        <v>471</v>
      </c>
      <c r="C117" s="673">
        <f>'Coca Cola (KO)'!C9/'Coca Cola (KO)'!C56</f>
        <v>11.006548974943053</v>
      </c>
      <c r="D117" s="673">
        <f>'Coca Cola (KO)'!D9/'Coca Cola (KO)'!D56</f>
        <v>12.332664181244622</v>
      </c>
      <c r="E117" s="673">
        <f>'Coca Cola (KO)'!E9/'Coca Cola (KO)'!E56</f>
        <v>13.417595307917889</v>
      </c>
      <c r="F117" s="673">
        <f>'Coca Cola (KO)'!F9/'Coca Cola (KO)'!F56</f>
        <v>13.186046511627907</v>
      </c>
      <c r="G117" s="674">
        <f>'Coca Cola (KO)'!G9/'Coca Cola (KO)'!G56</f>
        <v>15.780447662936142</v>
      </c>
    </row>
    <row r="118" spans="2:7" x14ac:dyDescent="0.2">
      <c r="B118" s="672" t="s">
        <v>472</v>
      </c>
      <c r="C118" s="673">
        <f>'CELSIUS (CELH)'!C9/'CELSIUS (CELH)'!C56</f>
        <v>8.1121292687333835</v>
      </c>
      <c r="D118" s="673">
        <f>'CELSIUS (CELH)'!D9/'CELSIUS (CELH)'!D56</f>
        <v>10.323703621803478</v>
      </c>
      <c r="E118" s="673">
        <f>'CELSIUS (CELH)'!E9/'CELSIUS (CELH)'!E56</f>
        <v>7.1747004676025981</v>
      </c>
      <c r="F118" s="673">
        <f>'CELSIUS (CELH)'!F9/'CELSIUS (CELH)'!F56</f>
        <v>5.0145001516597496</v>
      </c>
      <c r="G118" s="674">
        <f>'CELSIUS (CELH)'!G9/'CELSIUS (CELH)'!G56</f>
        <v>3.3292817065277385</v>
      </c>
    </row>
    <row r="119" spans="2:7" x14ac:dyDescent="0.2">
      <c r="B119" s="675" t="s">
        <v>473</v>
      </c>
      <c r="C119" s="676">
        <f>'K.Dr Paper (KDP)'!C9/'K.Dr Paper (KDP)'!C56</f>
        <v>11.047909407665506</v>
      </c>
      <c r="D119" s="676">
        <f>'K.Dr Paper (KDP)'!D9/'K.Dr Paper (KDP)'!D56</f>
        <v>9.4723719676549862</v>
      </c>
      <c r="E119" s="676">
        <f>'K.Dr Paper (KDP)'!E9/'K.Dr Paper (KDP)'!E56</f>
        <v>10.828947368421053</v>
      </c>
      <c r="F119" s="676">
        <f>'K.Dr Paper (KDP)'!F9/'K.Dr Paper (KDP)'!F56</f>
        <v>10.220372836218376</v>
      </c>
      <c r="G119" s="677">
        <f>'K.Dr Paper (KDP)'!G9/'K.Dr Paper (KDP)'!G56</f>
        <v>9.9359664871334523</v>
      </c>
    </row>
    <row r="121" spans="2:7" x14ac:dyDescent="0.2">
      <c r="B121" s="228" t="s">
        <v>165</v>
      </c>
      <c r="C121" s="229">
        <v>2021</v>
      </c>
      <c r="D121" s="229">
        <v>2022</v>
      </c>
      <c r="E121" s="229">
        <v>2023</v>
      </c>
      <c r="F121" s="229">
        <v>2024</v>
      </c>
      <c r="G121" s="230">
        <v>2025</v>
      </c>
    </row>
    <row r="122" spans="2:7" x14ac:dyDescent="0.2">
      <c r="B122" s="672" t="s">
        <v>469</v>
      </c>
      <c r="C122" s="673">
        <f t="shared" ref="C122:G126" si="1">365/C115</f>
        <v>59.061429412894185</v>
      </c>
      <c r="D122" s="673">
        <f t="shared" si="1"/>
        <v>58.772168656562691</v>
      </c>
      <c r="E122" s="673">
        <f t="shared" si="1"/>
        <v>61.035743982480739</v>
      </c>
      <c r="F122" s="673">
        <f t="shared" si="1"/>
        <v>59.51129157691831</v>
      </c>
      <c r="G122" s="674">
        <f t="shared" si="1"/>
        <v>71.204709040848684</v>
      </c>
    </row>
    <row r="123" spans="2:7" x14ac:dyDescent="0.2">
      <c r="B123" s="672" t="s">
        <v>470</v>
      </c>
      <c r="C123" s="673">
        <f t="shared" si="1"/>
        <v>39.864609809497445</v>
      </c>
      <c r="D123" s="673">
        <f t="shared" si="1"/>
        <v>42.937945643115107</v>
      </c>
      <c r="E123" s="673">
        <f t="shared" si="1"/>
        <v>43.155480972111377</v>
      </c>
      <c r="F123" s="673">
        <f t="shared" si="1"/>
        <v>41.060215124001132</v>
      </c>
      <c r="G123" s="674">
        <f t="shared" si="1"/>
        <v>44.713228639872241</v>
      </c>
    </row>
    <row r="124" spans="2:7" x14ac:dyDescent="0.2">
      <c r="B124" s="672" t="s">
        <v>471</v>
      </c>
      <c r="C124" s="673">
        <f t="shared" si="1"/>
        <v>33.16207476393739</v>
      </c>
      <c r="D124" s="673">
        <f t="shared" si="1"/>
        <v>29.596200353455494</v>
      </c>
      <c r="E124" s="673">
        <f t="shared" si="1"/>
        <v>27.203086068977576</v>
      </c>
      <c r="F124" s="673">
        <f t="shared" si="1"/>
        <v>27.680776014109348</v>
      </c>
      <c r="G124" s="674">
        <f t="shared" si="1"/>
        <v>23.129888821676644</v>
      </c>
    </row>
    <row r="125" spans="2:7" x14ac:dyDescent="0.2">
      <c r="B125" s="672" t="s">
        <v>472</v>
      </c>
      <c r="C125" s="673">
        <f t="shared" si="1"/>
        <v>44.994352026270235</v>
      </c>
      <c r="D125" s="673">
        <f t="shared" si="1"/>
        <v>35.355528729934335</v>
      </c>
      <c r="E125" s="673">
        <f t="shared" si="1"/>
        <v>50.873203926513675</v>
      </c>
      <c r="F125" s="673">
        <f t="shared" si="1"/>
        <v>72.788909953305847</v>
      </c>
      <c r="G125" s="674">
        <f t="shared" si="1"/>
        <v>109.63325791396467</v>
      </c>
    </row>
    <row r="126" spans="2:7" x14ac:dyDescent="0.2">
      <c r="B126" s="675" t="s">
        <v>473</v>
      </c>
      <c r="C126" s="676">
        <f t="shared" si="1"/>
        <v>33.037924781203188</v>
      </c>
      <c r="D126" s="676">
        <f t="shared" si="1"/>
        <v>38.533115173934696</v>
      </c>
      <c r="E126" s="676">
        <f t="shared" si="1"/>
        <v>33.705953827460512</v>
      </c>
      <c r="F126" s="676">
        <f t="shared" si="1"/>
        <v>35.712982867565628</v>
      </c>
      <c r="G126" s="677">
        <f t="shared" si="1"/>
        <v>36.735228573149435</v>
      </c>
    </row>
    <row r="128" spans="2:7" x14ac:dyDescent="0.2">
      <c r="B128" s="228" t="s">
        <v>166</v>
      </c>
      <c r="C128" s="229">
        <v>2021</v>
      </c>
      <c r="D128" s="229">
        <v>2022</v>
      </c>
      <c r="E128" s="229">
        <v>2023</v>
      </c>
      <c r="F128" s="229">
        <v>2024</v>
      </c>
      <c r="G128" s="230">
        <v>2025</v>
      </c>
    </row>
    <row r="129" spans="2:7" x14ac:dyDescent="0.2">
      <c r="B129" s="672" t="s">
        <v>469</v>
      </c>
      <c r="C129" s="673">
        <f t="shared" ref="C129:G133" si="2">C108+C122</f>
        <v>148.08306421897876</v>
      </c>
      <c r="D129" s="673">
        <f t="shared" si="2"/>
        <v>167.65377745214678</v>
      </c>
      <c r="E129" s="673">
        <f t="shared" si="2"/>
        <v>167.00769825020757</v>
      </c>
      <c r="F129" s="673">
        <f t="shared" si="2"/>
        <v>137.63476947115876</v>
      </c>
      <c r="G129" s="674">
        <f t="shared" si="2"/>
        <v>150.90175978811504</v>
      </c>
    </row>
    <row r="130" spans="2:7" x14ac:dyDescent="0.2">
      <c r="B130" s="672" t="s">
        <v>470</v>
      </c>
      <c r="C130" s="673">
        <f t="shared" si="2"/>
        <v>82.660429094730091</v>
      </c>
      <c r="D130" s="673">
        <f t="shared" si="2"/>
        <v>89.912265438067777</v>
      </c>
      <c r="E130" s="673">
        <f t="shared" si="2"/>
        <v>89.642193323774421</v>
      </c>
      <c r="F130" s="673">
        <f t="shared" si="2"/>
        <v>87.454667021279789</v>
      </c>
      <c r="G130" s="674">
        <f t="shared" si="2"/>
        <v>94.251727687845118</v>
      </c>
    </row>
    <row r="131" spans="2:7" x14ac:dyDescent="0.2">
      <c r="B131" s="672" t="s">
        <v>471</v>
      </c>
      <c r="C131" s="673">
        <f t="shared" si="2"/>
        <v>114.30487609232185</v>
      </c>
      <c r="D131" s="673">
        <f t="shared" si="2"/>
        <v>115.43203368678883</v>
      </c>
      <c r="E131" s="673">
        <f t="shared" si="2"/>
        <v>114.39315086379401</v>
      </c>
      <c r="F131" s="673">
        <f t="shared" si="2"/>
        <v>121.85890306060574</v>
      </c>
      <c r="G131" s="674">
        <f t="shared" si="2"/>
        <v>110.92273548145813</v>
      </c>
    </row>
    <row r="132" spans="2:7" x14ac:dyDescent="0.2">
      <c r="B132" s="672" t="s">
        <v>472</v>
      </c>
      <c r="C132" s="673">
        <f t="shared" si="2"/>
        <v>420.03414182009408</v>
      </c>
      <c r="D132" s="673">
        <f t="shared" si="2"/>
        <v>200.61474202372767</v>
      </c>
      <c r="E132" s="673">
        <f t="shared" si="2"/>
        <v>173.06393216159307</v>
      </c>
      <c r="F132" s="673">
        <f t="shared" si="2"/>
        <v>143.67074992618211</v>
      </c>
      <c r="G132" s="674">
        <f t="shared" si="2"/>
        <v>208.40416443481189</v>
      </c>
    </row>
    <row r="133" spans="2:7" x14ac:dyDescent="0.2">
      <c r="B133" s="675" t="s">
        <v>473</v>
      </c>
      <c r="C133" s="676">
        <f t="shared" si="2"/>
        <v>94.830774413169536</v>
      </c>
      <c r="D133" s="676">
        <f t="shared" si="2"/>
        <v>114.57929872011823</v>
      </c>
      <c r="E133" s="676">
        <f t="shared" si="2"/>
        <v>101.62175424326094</v>
      </c>
      <c r="F133" s="676">
        <f t="shared" si="2"/>
        <v>105.21386237504144</v>
      </c>
      <c r="G133" s="677">
        <f t="shared" si="2"/>
        <v>119.92105182406999</v>
      </c>
    </row>
    <row r="137" spans="2:7" x14ac:dyDescent="0.2">
      <c r="B137" s="651" t="s">
        <v>167</v>
      </c>
      <c r="C137" s="655"/>
      <c r="D137" s="655"/>
      <c r="E137" s="655"/>
      <c r="F137" s="655"/>
      <c r="G137" s="656"/>
    </row>
    <row r="139" spans="2:7" x14ac:dyDescent="0.2">
      <c r="B139" s="228" t="s">
        <v>168</v>
      </c>
      <c r="C139" s="229">
        <v>2021</v>
      </c>
      <c r="D139" s="229">
        <v>2022</v>
      </c>
      <c r="E139" s="229">
        <v>2023</v>
      </c>
      <c r="F139" s="229">
        <v>2024</v>
      </c>
      <c r="G139" s="230">
        <v>2025</v>
      </c>
    </row>
    <row r="140" spans="2:7" x14ac:dyDescent="0.2">
      <c r="B140" s="216" t="s">
        <v>469</v>
      </c>
      <c r="C140" s="177">
        <f>'MONSTER (MNST)'!C11/'MONSTER (MNST)'!C9</f>
        <v>0.56096652946789882</v>
      </c>
      <c r="D140" s="177">
        <f>'MONSTER (MNST)'!D11/'MONSTER (MNST)'!D9</f>
        <v>0.50301724752616439</v>
      </c>
      <c r="E140" s="177">
        <f>'MONSTER (MNST)'!E11/'MONSTER (MNST)'!E9</f>
        <v>0.53139939106672851</v>
      </c>
      <c r="F140" s="177">
        <f>'MONSTER (MNST)'!F11/'MONSTER (MNST)'!F9</f>
        <v>0.54037571724725997</v>
      </c>
      <c r="G140" s="223">
        <f>'MONSTER (MNST)'!G11/'MONSTER (MNST)'!G9</f>
        <v>0.55847642182147517</v>
      </c>
    </row>
    <row r="141" spans="2:7" x14ac:dyDescent="0.2">
      <c r="B141" s="216" t="s">
        <v>470</v>
      </c>
      <c r="C141" s="177">
        <f>'PepsiCo (PEP)'!B9/'PepsiCo (PEP)'!B7</f>
        <v>0.53349523114477693</v>
      </c>
      <c r="D141" s="177">
        <f>'PepsiCo (PEP)'!C9/'PepsiCo (PEP)'!C7</f>
        <v>0.5303268821187147</v>
      </c>
      <c r="E141" s="177">
        <f>'PepsiCo (PEP)'!D9/'PepsiCo (PEP)'!D7</f>
        <v>0.54213903860239854</v>
      </c>
      <c r="F141" s="177">
        <f>'PepsiCo (PEP)'!E9/'PepsiCo (PEP)'!E7</f>
        <v>0.54553966076599825</v>
      </c>
      <c r="G141" s="223">
        <f>'PepsiCo (PEP)'!F9/'PepsiCo (PEP)'!F7</f>
        <v>0.54148522757519302</v>
      </c>
    </row>
    <row r="142" spans="2:7" x14ac:dyDescent="0.2">
      <c r="B142" s="216" t="s">
        <v>471</v>
      </c>
      <c r="C142" s="177">
        <f>'Coca Cola (KO)'!C11/'Coca Cola (KO)'!C9</f>
        <v>0.60271633682576642</v>
      </c>
      <c r="D142" s="177">
        <f>'Coca Cola (KO)'!D11/'Coca Cola (KO)'!D9</f>
        <v>0.58143428518277374</v>
      </c>
      <c r="E142" s="177">
        <f>'Coca Cola (KO)'!E11/'Coca Cola (KO)'!E9</f>
        <v>0.5952266468505486</v>
      </c>
      <c r="F142" s="177">
        <f>'Coca Cola (KO)'!F11/'Coca Cola (KO)'!F9</f>
        <v>0.61063300822336963</v>
      </c>
      <c r="G142" s="223">
        <f>'Coca Cola (KO)'!G11/'Coca Cola (KO)'!G9</f>
        <v>0.61625748315637974</v>
      </c>
    </row>
    <row r="143" spans="2:7" x14ac:dyDescent="0.2">
      <c r="B143" s="216" t="s">
        <v>472</v>
      </c>
      <c r="C143" s="177">
        <f>'CELSIUS (CELH)'!C11/'CELSIUS (CELH)'!C9</f>
        <v>0.40782825068730272</v>
      </c>
      <c r="D143" s="177">
        <f>'CELSIUS (CELH)'!D11/'CELSIUS (CELH)'!D9</f>
        <v>0.41442371833709707</v>
      </c>
      <c r="E143" s="177">
        <f>'CELSIUS (CELH)'!E11/'CELSIUS (CELH)'!E9</f>
        <v>0.48037350134368828</v>
      </c>
      <c r="F143" s="177">
        <f>'CELSIUS (CELH)'!F11/'CELSIUS (CELH)'!F9</f>
        <v>0.50176449326143568</v>
      </c>
      <c r="G143" s="223">
        <f>'CELSIUS (CELH)'!G11/'CELSIUS (CELH)'!G9</f>
        <v>0.50385585001047606</v>
      </c>
    </row>
    <row r="144" spans="2:7" x14ac:dyDescent="0.2">
      <c r="B144" s="219" t="s">
        <v>473</v>
      </c>
      <c r="C144" s="300">
        <f>'K.Dr Paper (KDP)'!C11/'K.Dr Paper (KDP)'!C9</f>
        <v>0.55010644169360556</v>
      </c>
      <c r="D144" s="300">
        <f>'K.Dr Paper (KDP)'!D11/'K.Dr Paper (KDP)'!D9</f>
        <v>0.52095041616276583</v>
      </c>
      <c r="E144" s="300">
        <f>'K.Dr Paper (KDP)'!E11/'K.Dr Paper (KDP)'!E9</f>
        <v>0.5454299986499257</v>
      </c>
      <c r="F144" s="300">
        <f>'K.Dr Paper (KDP)'!F11/'K.Dr Paper (KDP)'!F9</f>
        <v>0.5555989837795583</v>
      </c>
      <c r="G144" s="365">
        <f>'K.Dr Paper (KDP)'!G11/'K.Dr Paper (KDP)'!G9</f>
        <v>0.54201048003372887</v>
      </c>
    </row>
    <row r="147" spans="2:7" x14ac:dyDescent="0.2">
      <c r="B147" s="228" t="s">
        <v>169</v>
      </c>
      <c r="C147" s="229">
        <v>2021</v>
      </c>
      <c r="D147" s="229">
        <v>2022</v>
      </c>
      <c r="E147" s="229">
        <v>2023</v>
      </c>
      <c r="F147" s="229">
        <v>2024</v>
      </c>
      <c r="G147" s="230">
        <v>2025</v>
      </c>
    </row>
    <row r="148" spans="2:7" x14ac:dyDescent="0.2">
      <c r="B148" s="216" t="s">
        <v>469</v>
      </c>
      <c r="C148" s="177">
        <f>'MONSTER (MNST)'!C18/'MONSTER (MNST)'!C9</f>
        <v>0.32437336592225147</v>
      </c>
      <c r="D148" s="177">
        <f>'MONSTER (MNST)'!D18/'MONSTER (MNST)'!D9</f>
        <v>0.25110258990183881</v>
      </c>
      <c r="E148" s="177">
        <f>'MONSTER (MNST)'!E18/'MONSTER (MNST)'!E9</f>
        <v>0.27357809711363834</v>
      </c>
      <c r="F148" s="177">
        <f>'MONSTER (MNST)'!F18/'MONSTER (MNST)'!F9</f>
        <v>0.25762297721691846</v>
      </c>
      <c r="G148" s="223">
        <f>'MONSTER (MNST)'!G18/'MONSTER (MNST)'!G9</f>
        <v>0.29168723791625212</v>
      </c>
    </row>
    <row r="149" spans="2:7" x14ac:dyDescent="0.2">
      <c r="B149" s="216" t="s">
        <v>470</v>
      </c>
      <c r="C149" s="177">
        <f>'PepsiCo (PEP)'!B17/'PepsiCo (PEP)'!B7</f>
        <v>0.14044844854921107</v>
      </c>
      <c r="D149" s="177">
        <f>'PepsiCo (PEP)'!C17/'PepsiCo (PEP)'!C7</f>
        <v>0.13325307898879526</v>
      </c>
      <c r="E149" s="177">
        <f>'PepsiCo (PEP)'!D17/'PepsiCo (PEP)'!D7</f>
        <v>0.13103606607558679</v>
      </c>
      <c r="F149" s="177">
        <f>'PepsiCo (PEP)'!E17/'PepsiCo (PEP)'!E7</f>
        <v>0.14029873494894071</v>
      </c>
      <c r="G149" s="223">
        <f>'PepsiCo (PEP)'!F17/'PepsiCo (PEP)'!F7</f>
        <v>0.12241682193239287</v>
      </c>
    </row>
    <row r="150" spans="2:7" x14ac:dyDescent="0.2">
      <c r="B150" s="216" t="s">
        <v>471</v>
      </c>
      <c r="C150" s="177">
        <f>'Coca Cola (KO)'!C18/'Coca Cola (KO)'!C9</f>
        <v>0.26666666666666666</v>
      </c>
      <c r="D150" s="177">
        <f>'Coca Cola (KO)'!D18/'Coca Cola (KO)'!D9</f>
        <v>0.25367407683006232</v>
      </c>
      <c r="E150" s="177">
        <f>'Coca Cola (KO)'!E18/'Coca Cola (KO)'!E9</f>
        <v>0.24721335839489444</v>
      </c>
      <c r="F150" s="177">
        <f>'Coca Cola (KO)'!F18/'Coca Cola (KO)'!F9</f>
        <v>0.21232018019166612</v>
      </c>
      <c r="G150" s="223">
        <f>'Coca Cola (KO)'!G18/'Coca Cola (KO)'!G9</f>
        <v>0.28706117936630443</v>
      </c>
    </row>
    <row r="151" spans="2:7" x14ac:dyDescent="0.2">
      <c r="B151" s="216" t="s">
        <v>472</v>
      </c>
      <c r="C151" s="177">
        <f>'CELSIUS (CELH)'!C18/'CELSIUS (CELH)'!C9</f>
        <v>-1.3014204256185725E-2</v>
      </c>
      <c r="D151" s="177">
        <f>'CELSIUS (CELH)'!D18/'CELSIUS (CELH)'!D9</f>
        <v>-0.24143212097845179</v>
      </c>
      <c r="E151" s="177">
        <f>'CELSIUS (CELH)'!E18/'CELSIUS (CELH)'!E9</f>
        <v>0.20209648759421373</v>
      </c>
      <c r="F151" s="177">
        <f>'CELSIUS (CELH)'!F18/'CELSIUS (CELH)'!F9</f>
        <v>0.11487500276624153</v>
      </c>
      <c r="G151" s="223">
        <f>'CELSIUS (CELH)'!G18/'CELSIUS (CELH)'!G9</f>
        <v>5.6082271916045562E-2</v>
      </c>
    </row>
    <row r="152" spans="2:7" x14ac:dyDescent="0.2">
      <c r="B152" s="219" t="s">
        <v>473</v>
      </c>
      <c r="C152" s="300">
        <f>'K.Dr Paper (KDP)'!C18/'K.Dr Paper (KDP)'!C9</f>
        <v>0.23882362217141054</v>
      </c>
      <c r="D152" s="300">
        <f>'K.Dr Paper (KDP)'!D18/'K.Dr Paper (KDP)'!D9</f>
        <v>0.20445329728960659</v>
      </c>
      <c r="E152" s="300">
        <f>'K.Dr Paper (KDP)'!E18/'K.Dr Paper (KDP)'!E9</f>
        <v>0.2178344808964493</v>
      </c>
      <c r="F152" s="300">
        <f>'K.Dr Paper (KDP)'!F18/'K.Dr Paper (KDP)'!F9</f>
        <v>0.2212233730701583</v>
      </c>
      <c r="G152" s="365">
        <f>'K.Dr Paper (KDP)'!G18/'K.Dr Paper (KDP)'!G9</f>
        <v>0.22357405288200927</v>
      </c>
    </row>
    <row r="155" spans="2:7" x14ac:dyDescent="0.2">
      <c r="B155" s="228" t="s">
        <v>170</v>
      </c>
      <c r="C155" s="229">
        <v>2021</v>
      </c>
      <c r="D155" s="229">
        <v>2022</v>
      </c>
      <c r="E155" s="229">
        <v>2023</v>
      </c>
      <c r="F155" s="229">
        <v>2024</v>
      </c>
      <c r="G155" s="230">
        <v>2025</v>
      </c>
    </row>
    <row r="156" spans="2:7" x14ac:dyDescent="0.2">
      <c r="B156" s="216" t="s">
        <v>469</v>
      </c>
      <c r="C156" s="177">
        <f>'MONSTER (MNST)'!C28/'MONSTER (MNST)'!C9</f>
        <v>0.24858103221018985</v>
      </c>
      <c r="D156" s="177">
        <f>'MONSTER (MNST)'!D28/'MONSTER (MNST)'!D9</f>
        <v>0.18881549029083908</v>
      </c>
      <c r="E156" s="177">
        <f>'MONSTER (MNST)'!E28/'MONSTER (MNST)'!E9</f>
        <v>0.22842882807025797</v>
      </c>
      <c r="F156" s="177">
        <f>'MONSTER (MNST)'!F28/'MONSTER (MNST)'!F9</f>
        <v>0.20140218978209348</v>
      </c>
      <c r="G156" s="223">
        <f>'MONSTER (MNST)'!G28/'MONSTER (MNST)'!G9</f>
        <v>0.22972669444704671</v>
      </c>
    </row>
    <row r="157" spans="2:7" x14ac:dyDescent="0.2">
      <c r="B157" s="216" t="s">
        <v>470</v>
      </c>
      <c r="C157" s="177">
        <f>'PepsiCo (PEP)'!B25/'PepsiCo (PEP)'!B7</f>
        <v>9.6622794876311743E-2</v>
      </c>
      <c r="D157" s="177">
        <f>'PepsiCo (PEP)'!C25/'PepsiCo (PEP)'!C7</f>
        <v>0.1039216594129086</v>
      </c>
      <c r="E157" s="177">
        <f>'PepsiCo (PEP)'!D25/'PepsiCo (PEP)'!D7</f>
        <v>0.10008636617069891</v>
      </c>
      <c r="F157" s="177">
        <f>'PepsiCo (PEP)'!E25/'PepsiCo (PEP)'!E7</f>
        <v>0.10479674265682497</v>
      </c>
      <c r="G157" s="223">
        <f>'PepsiCo (PEP)'!F25/'PepsiCo (PEP)'!F7</f>
        <v>8.8315145062549907E-2</v>
      </c>
    </row>
    <row r="158" spans="2:7" x14ac:dyDescent="0.2">
      <c r="B158" s="216" t="s">
        <v>471</v>
      </c>
      <c r="C158" s="177">
        <f>'Coca Cola (KO)'!C28/'Coca Cola (KO)'!C9</f>
        <v>0.25362824990298799</v>
      </c>
      <c r="D158" s="177">
        <f>'Coca Cola (KO)'!D28/'Coca Cola (KO)'!D9</f>
        <v>0.2225606920286485</v>
      </c>
      <c r="E158" s="177">
        <f>'Coca Cola (KO)'!E28/'Coca Cola (KO)'!E9</f>
        <v>0.23392490274074398</v>
      </c>
      <c r="F158" s="177">
        <f>'Coca Cola (KO)'!F28/'Coca Cola (KO)'!F9</f>
        <v>0.22628078451371625</v>
      </c>
      <c r="G158" s="223">
        <f>'Coca Cola (KO)'!G28/'Coca Cola (KO)'!G9</f>
        <v>0.27402432156191986</v>
      </c>
    </row>
    <row r="159" spans="2:7" x14ac:dyDescent="0.2">
      <c r="B159" s="216" t="s">
        <v>472</v>
      </c>
      <c r="C159" s="177">
        <f>'CELSIUS (CELH)'!C28/'CELSIUS (CELH)'!C9</f>
        <v>1.3405584970980551E-2</v>
      </c>
      <c r="D159" s="177">
        <f>'CELSIUS (CELH)'!D28/'CELSIUS (CELH)'!D9</f>
        <v>-0.28653741409171302</v>
      </c>
      <c r="E159" s="177">
        <f>'CELSIUS (CELH)'!E28/'CELSIUS (CELH)'!E9</f>
        <v>0.17207783832341689</v>
      </c>
      <c r="F159" s="177">
        <f>'CELSIUS (CELH)'!F28/'CELSIUS (CELH)'!F9</f>
        <v>0.10701592617454615</v>
      </c>
      <c r="G159" s="223">
        <f>'CELSIUS (CELH)'!G28/'CELSIUS (CELH)'!G9</f>
        <v>4.293735580568122E-2</v>
      </c>
    </row>
    <row r="160" spans="2:7" x14ac:dyDescent="0.2">
      <c r="B160" s="219" t="s">
        <v>473</v>
      </c>
      <c r="C160" s="300">
        <f>'K.Dr Paper (KDP)'!C28/'K.Dr Paper (KDP)'!C9</f>
        <v>0.16912402428447529</v>
      </c>
      <c r="D160" s="300">
        <f>'K.Dr Paper (KDP)'!D28/'K.Dr Paper (KDP)'!D9</f>
        <v>0.10208437077612577</v>
      </c>
      <c r="E160" s="300">
        <f>'K.Dr Paper (KDP)'!E28/'K.Dr Paper (KDP)'!E9</f>
        <v>0.14722559740785743</v>
      </c>
      <c r="F160" s="300">
        <f>'K.Dr Paper (KDP)'!F28/'K.Dr Paper (KDP)'!F9</f>
        <v>9.3870106182007682E-2</v>
      </c>
      <c r="G160" s="365">
        <f>'K.Dr Paper (KDP)'!G28/'K.Dr Paper (KDP)'!G9</f>
        <v>0.12521833403601759</v>
      </c>
    </row>
    <row r="163" spans="2:7" x14ac:dyDescent="0.2">
      <c r="B163" s="228" t="s">
        <v>171</v>
      </c>
      <c r="C163" s="229">
        <v>2021</v>
      </c>
      <c r="D163" s="229">
        <v>2022</v>
      </c>
      <c r="E163" s="229">
        <v>2023</v>
      </c>
      <c r="F163" s="229">
        <v>2024</v>
      </c>
      <c r="G163" s="230">
        <v>2025</v>
      </c>
    </row>
    <row r="164" spans="2:7" x14ac:dyDescent="0.2">
      <c r="B164" s="216" t="s">
        <v>469</v>
      </c>
      <c r="C164" s="177">
        <f>'MONSTER (MNST)'!C28/'MONSTER (MNST)'!C67</f>
        <v>0.17649111109288868</v>
      </c>
      <c r="D164" s="177">
        <f>'MONSTER (MNST)'!D28/'MONSTER (MNST)'!D67</f>
        <v>0.14368852197096263</v>
      </c>
      <c r="E164" s="177">
        <f>'MONSTER (MNST)'!E28/'MONSTER (MNST)'!E67</f>
        <v>0.16837705009083753</v>
      </c>
      <c r="F164" s="177">
        <f>'MONSTER (MNST)'!F28/'MONSTER (MNST)'!F67</f>
        <v>0.19549560835482005</v>
      </c>
      <c r="G164" s="223">
        <f>'MONSTER (MNST)'!G28/'MONSTER (MNST)'!G67</f>
        <v>0.1907540786339299</v>
      </c>
    </row>
    <row r="165" spans="2:7" x14ac:dyDescent="0.2">
      <c r="B165" s="216" t="s">
        <v>470</v>
      </c>
      <c r="C165" s="177">
        <f>'PepsiCo (PEP)'!B25/'PepsiCo (PEP)'!B68</f>
        <v>8.3126752330125467E-2</v>
      </c>
      <c r="D165" s="177">
        <f>'PepsiCo (PEP)'!C25/'PepsiCo (PEP)'!C68</f>
        <v>9.7378439645541617E-2</v>
      </c>
      <c r="E165" s="177">
        <f>'PepsiCo (PEP)'!D25/'PepsiCo (PEP)'!D68</f>
        <v>9.1099059654709186E-2</v>
      </c>
      <c r="F165" s="177">
        <f>'PepsiCo (PEP)'!E25/'PepsiCo (PEP)'!E68</f>
        <v>9.6775815094453432E-2</v>
      </c>
      <c r="G165" s="223">
        <f>'PepsiCo (PEP)'!F25/'PepsiCo (PEP)'!F68</f>
        <v>7.7235356008901385E-2</v>
      </c>
    </row>
    <row r="166" spans="2:7" x14ac:dyDescent="0.2">
      <c r="B166" s="216" t="s">
        <v>471</v>
      </c>
      <c r="C166" s="177">
        <f>'Coca Cola (KO)'!C28/'Coca Cola (KO)'!C67</f>
        <v>0.10390656463954893</v>
      </c>
      <c r="D166" s="177">
        <f>'Coca Cola (KO)'!D28/'Coca Cola (KO)'!D67</f>
        <v>0.10317691320893028</v>
      </c>
      <c r="E166" s="177">
        <f>'Coca Cola (KO)'!E28/'Coca Cola (KO)'!E67</f>
        <v>0.10954627800579307</v>
      </c>
      <c r="F166" s="177">
        <f>'Coca Cola (KO)'!F28/'Coca Cola (KO)'!F67</f>
        <v>0.10590856199464938</v>
      </c>
      <c r="G166" s="223">
        <f>'Coca Cola (KO)'!G28/'Coca Cola (KO)'!G67</f>
        <v>0.12533391848572736</v>
      </c>
    </row>
    <row r="167" spans="2:7" x14ac:dyDescent="0.2">
      <c r="B167" s="216" t="s">
        <v>472</v>
      </c>
      <c r="C167" s="177">
        <f>'CELSIUS (CELH)'!C28/'CELSIUS (CELH)'!C67</f>
        <v>1.3416428357610073E-2</v>
      </c>
      <c r="D167" s="177">
        <f>'CELSIUS (CELH)'!D28/'CELSIUS (CELH)'!D67</f>
        <v>-0.1532499392423832</v>
      </c>
      <c r="E167" s="177">
        <f>'CELSIUS (CELH)'!E28/'CELSIUS (CELH)'!E67</f>
        <v>0.14761884305869061</v>
      </c>
      <c r="F167" s="177">
        <f>'CELSIUS (CELH)'!F28/'CELSIUS (CELH)'!F67</f>
        <v>8.2107397159174839E-2</v>
      </c>
      <c r="G167" s="223">
        <f>'CELSIUS (CELH)'!G28/'CELSIUS (CELH)'!G67</f>
        <v>2.1095116220517105E-2</v>
      </c>
    </row>
    <row r="168" spans="2:7" x14ac:dyDescent="0.2">
      <c r="B168" s="219" t="s">
        <v>473</v>
      </c>
      <c r="C168" s="300">
        <f>'K.Dr Paper (KDP)'!C28/'K.Dr Paper (KDP)'!C67</f>
        <v>4.2392979959682199E-2</v>
      </c>
      <c r="D168" s="300">
        <f>'K.Dr Paper (KDP)'!D28/'K.Dr Paper (KDP)'!D67</f>
        <v>2.768292918185852E-2</v>
      </c>
      <c r="E168" s="300">
        <f>'K.Dr Paper (KDP)'!E28/'K.Dr Paper (KDP)'!E67</f>
        <v>4.1837713408785726E-2</v>
      </c>
      <c r="F168" s="300">
        <f>'K.Dr Paper (KDP)'!F28/'K.Dr Paper (KDP)'!F67</f>
        <v>2.6969867115852517E-2</v>
      </c>
      <c r="G168" s="365">
        <f>'K.Dr Paper (KDP)'!G28/'K.Dr Paper (KDP)'!G67</f>
        <v>3.7487152671342797E-2</v>
      </c>
    </row>
    <row r="170" spans="2:7" x14ac:dyDescent="0.2">
      <c r="B170" s="228" t="s">
        <v>172</v>
      </c>
      <c r="C170" s="229">
        <v>2021</v>
      </c>
      <c r="D170" s="229">
        <v>2022</v>
      </c>
      <c r="E170" s="229">
        <v>2023</v>
      </c>
      <c r="F170" s="229">
        <v>2024</v>
      </c>
      <c r="G170" s="230">
        <v>2025</v>
      </c>
    </row>
    <row r="171" spans="2:7" x14ac:dyDescent="0.2">
      <c r="B171" s="216" t="s">
        <v>469</v>
      </c>
      <c r="C171" s="177">
        <f>'MONSTER (MNST)'!C28/'MONSTER (MNST)'!C90</f>
        <v>0.20975868405291898</v>
      </c>
      <c r="D171" s="177">
        <f>'MONSTER (MNST)'!D28/'MONSTER (MNST)'!D90</f>
        <v>0.16962520218743207</v>
      </c>
      <c r="E171" s="177">
        <f>'MONSTER (MNST)'!E28/'MONSTER (MNST)'!E90</f>
        <v>0.19820619039795134</v>
      </c>
      <c r="F171" s="177">
        <f>'MONSTER (MNST)'!F28/'MONSTER (MNST)'!F90</f>
        <v>0.25329295545710617</v>
      </c>
      <c r="G171" s="223">
        <f>'MONSTER (MNST)'!G28/'MONSTER (MNST)'!G90</f>
        <v>0.23084650697567821</v>
      </c>
    </row>
    <row r="172" spans="2:7" x14ac:dyDescent="0.2">
      <c r="B172" s="216" t="s">
        <v>470</v>
      </c>
      <c r="C172" s="177">
        <f>'PepsiCo (PEP)'!B25/'PepsiCo (PEP)'!B94</f>
        <v>0.47545043650547952</v>
      </c>
      <c r="D172" s="177">
        <f>'PepsiCo (PEP)'!C25/'PepsiCo (PEP)'!C94</f>
        <v>0.51977074046199268</v>
      </c>
      <c r="E172" s="177">
        <f>'PepsiCo (PEP)'!D25/'PepsiCo (PEP)'!D94</f>
        <v>0.49122712882974728</v>
      </c>
      <c r="F172" s="177">
        <f>'PepsiCo (PEP)'!E25/'PepsiCo (PEP)'!E94</f>
        <v>0.5297451983930439</v>
      </c>
      <c r="G172" s="223">
        <f>'PepsiCo (PEP)'!F25/'PepsiCo (PEP)'!F94</f>
        <v>0.40370857059424736</v>
      </c>
    </row>
    <row r="173" spans="2:7" x14ac:dyDescent="0.2">
      <c r="B173" s="216" t="s">
        <v>471</v>
      </c>
      <c r="C173" s="177">
        <f>'Coca Cola (KO)'!C28/'Coca Cola (KO)'!C88</f>
        <v>0.39436846339501208</v>
      </c>
      <c r="D173" s="177">
        <f>'Coca Cola (KO)'!D28/'Coca Cola (KO)'!D88</f>
        <v>0.37059552389065281</v>
      </c>
      <c r="E173" s="177">
        <f>'Coca Cola (KO)'!E28/'Coca Cola (KO)'!E88</f>
        <v>0.38948326055312954</v>
      </c>
      <c r="F173" s="177">
        <f>'Coca Cola (KO)'!F28/'Coca Cola (KO)'!F88</f>
        <v>0.40379948430153195</v>
      </c>
      <c r="G173" s="223">
        <f>'Coca Cola (KO)'!G28/'Coca Cola (KO)'!G88</f>
        <v>0.38328227571115975</v>
      </c>
    </row>
    <row r="174" spans="2:7" x14ac:dyDescent="0.2">
      <c r="B174" s="216" t="s">
        <v>472</v>
      </c>
      <c r="C174" s="177">
        <f>'CELSIUS (CELH)'!C28/'CELSIUS (CELH)'!C89</f>
        <v>1.9410721278997442E-2</v>
      </c>
      <c r="D174" s="177">
        <f>'CELSIUS (CELH)'!D28/'CELSIUS (CELH)'!D89</f>
        <v>-0.21661641099309606</v>
      </c>
      <c r="E174" s="177">
        <f>'CELSIUS (CELH)'!E28/'CELSIUS (CELH)'!E89</f>
        <v>0.20835568768097834</v>
      </c>
      <c r="F174" s="177">
        <f>'CELSIUS (CELH)'!F28/'CELSIUS (CELH)'!F89</f>
        <v>0.1184841438823538</v>
      </c>
      <c r="G174" s="223">
        <f>'CELSIUS (CELH)'!G28/'CELSIUS (CELH)'!G89</f>
        <v>3.6716345248350976E-2</v>
      </c>
    </row>
    <row r="175" spans="2:7" x14ac:dyDescent="0.2">
      <c r="B175" s="219" t="s">
        <v>473</v>
      </c>
      <c r="C175" s="300">
        <f>'K.Dr Paper (KDP)'!C28/'K.Dr Paper (KDP)'!C88</f>
        <v>8.589620374819798E-2</v>
      </c>
      <c r="D175" s="300">
        <f>'K.Dr Paper (KDP)'!D28/'K.Dr Paper (KDP)'!D88</f>
        <v>5.7112154740109847E-2</v>
      </c>
      <c r="E175" s="300">
        <f>'K.Dr Paper (KDP)'!E28/'K.Dr Paper (KDP)'!E88</f>
        <v>8.4943137560367657E-2</v>
      </c>
      <c r="F175" s="300">
        <f>'K.Dr Paper (KDP)'!F28/'K.Dr Paper (KDP)'!F88</f>
        <v>5.9439838303840281E-2</v>
      </c>
      <c r="G175" s="365">
        <f>'K.Dr Paper (KDP)'!G28/'K.Dr Paper (KDP)'!G88</f>
        <v>8.14782881329362E-2</v>
      </c>
    </row>
    <row r="178" spans="2:7" x14ac:dyDescent="0.2">
      <c r="B178" s="228" t="s">
        <v>173</v>
      </c>
      <c r="C178" s="229">
        <v>2021</v>
      </c>
      <c r="D178" s="229">
        <v>2022</v>
      </c>
      <c r="E178" s="229">
        <v>2023</v>
      </c>
      <c r="F178" s="229">
        <v>2024</v>
      </c>
      <c r="G178" s="230">
        <v>2025</v>
      </c>
    </row>
    <row r="179" spans="2:7" x14ac:dyDescent="0.2">
      <c r="B179" s="216" t="s">
        <v>469</v>
      </c>
      <c r="C179" s="176">
        <f>'MONSTER (MNST)'!C28/C6</f>
        <v>6.2025943209951917E-2</v>
      </c>
      <c r="D179" s="176">
        <f>'MONSTER (MNST)'!D28/D6</f>
        <v>5.1411243873357972E-2</v>
      </c>
      <c r="E179" s="176">
        <f>'MONSTER (MNST)'!E28/E6</f>
        <v>3.5475519449384561E-2</v>
      </c>
      <c r="F179" s="176">
        <f>'MONSTER (MNST)'!F28/F6</f>
        <v>2.7312527363693731E-2</v>
      </c>
      <c r="G179" s="222">
        <f>'MONSTER (MNST)'!G28/G6</f>
        <v>2.4715353729543796E-2</v>
      </c>
    </row>
    <row r="180" spans="2:7" x14ac:dyDescent="0.2">
      <c r="B180" s="216" t="s">
        <v>470</v>
      </c>
      <c r="C180" s="176">
        <f>'PepsiCo (PEP)'!B25/C7</f>
        <v>3.6584408362607845E-2</v>
      </c>
      <c r="D180" s="176">
        <f>'PepsiCo (PEP)'!C25/D7</f>
        <v>4.0114669511957544E-2</v>
      </c>
      <c r="E180" s="176">
        <f>'PepsiCo (PEP)'!D25/E7</f>
        <v>4.2418508277053325E-2</v>
      </c>
      <c r="F180" s="176">
        <f>'PepsiCo (PEP)'!E25/F7</f>
        <v>4.8377898025060019E-2</v>
      </c>
      <c r="G180" s="222">
        <f>'PepsiCo (PEP)'!F25/G7</f>
        <v>4.2595200529936671E-2</v>
      </c>
    </row>
    <row r="181" spans="2:7" x14ac:dyDescent="0.2">
      <c r="B181" s="216" t="s">
        <v>471</v>
      </c>
      <c r="C181" s="176">
        <f>'Coca Cola (KO)'!C28/C8</f>
        <v>3.8373149128648879E-2</v>
      </c>
      <c r="D181" s="176">
        <f>'Coca Cola (KO)'!D28/D8</f>
        <v>3.4765194907391127E-2</v>
      </c>
      <c r="E181" s="176">
        <f>'Coca Cola (KO)'!E28/E8</f>
        <v>4.201301496708261E-2</v>
      </c>
      <c r="F181" s="176">
        <f>'Coca Cola (KO)'!F28/F8</f>
        <v>3.9693849305911175E-2</v>
      </c>
      <c r="G181" s="222">
        <f>'Coca Cola (KO)'!G28/G8</f>
        <v>4.3670237285593418E-2</v>
      </c>
    </row>
    <row r="182" spans="2:7" x14ac:dyDescent="0.2">
      <c r="B182" s="216" t="s">
        <v>472</v>
      </c>
      <c r="C182" s="176">
        <f>'CELSIUS (CELH)'!C28/(C9*1000)</f>
        <v>2.2623319834555603E-3</v>
      </c>
      <c r="D182" s="176">
        <f>'CELSIUS (CELH)'!D28/(D9*1000)</f>
        <v>-7.070105981297127E-2</v>
      </c>
      <c r="E182" s="176">
        <f>'CELSIUS (CELH)'!E28/(E9*1000)</f>
        <v>1.7947300742650357E-2</v>
      </c>
      <c r="F182" s="176">
        <f>'CELSIUS (CELH)'!F28/(F9*1000)</f>
        <v>2.3435816056555193E-2</v>
      </c>
      <c r="G182" s="222">
        <f>'CELSIUS (CELH)'!G28/(G9*1000)</f>
        <v>9.1907155852229902E-3</v>
      </c>
    </row>
    <row r="183" spans="2:7" x14ac:dyDescent="0.2">
      <c r="B183" s="219" t="s">
        <v>473</v>
      </c>
      <c r="C183" s="226">
        <f>IFERROR('K.Dr Paper (KDP)'!C28/C10,"N/A")</f>
        <v>5.2246603970741899E-2</v>
      </c>
      <c r="D183" s="226">
        <f>IFERROR('K.Dr Paper (KDP)'!D28/D10,"N/A")</f>
        <v>2.8134606938954768E-2</v>
      </c>
      <c r="E183" s="226">
        <f>IFERROR('K.Dr Paper (KDP)'!E28/E10,"N/A")</f>
        <v>4.8707389408990213E-2</v>
      </c>
      <c r="F183" s="226">
        <f>IFERROR('K.Dr Paper (KDP)'!F28/F10,"N/A")</f>
        <v>3.3057737483482598E-2</v>
      </c>
      <c r="G183" s="227">
        <f>IFERROR('K.Dr Paper (KDP)'!G28/G10,"N/A")</f>
        <v>5.4671968190854875E-2</v>
      </c>
    </row>
    <row r="187" spans="2:7" x14ac:dyDescent="0.2">
      <c r="B187" s="651" t="s">
        <v>478</v>
      </c>
      <c r="C187" s="655"/>
      <c r="D187" s="655"/>
      <c r="E187" s="655"/>
      <c r="F187" s="655"/>
      <c r="G187" s="656"/>
    </row>
    <row r="189" spans="2:7" x14ac:dyDescent="0.2">
      <c r="B189" s="228" t="s">
        <v>175</v>
      </c>
      <c r="C189" s="229">
        <v>2021</v>
      </c>
      <c r="D189" s="229">
        <v>2022</v>
      </c>
      <c r="E189" s="229">
        <v>2023</v>
      </c>
      <c r="F189" s="229">
        <v>2024</v>
      </c>
      <c r="G189" s="230">
        <v>2025</v>
      </c>
    </row>
    <row r="190" spans="2:7" x14ac:dyDescent="0.2">
      <c r="B190" s="216" t="s">
        <v>469</v>
      </c>
      <c r="C190" s="176">
        <f>'MONSTER (MNST)'!C28/'MONSTER (MNST)'!C30</f>
        <v>2.6050896148179805</v>
      </c>
      <c r="D190" s="176">
        <f>'MONSTER (MNST)'!D28/'MONSTER (MNST)'!D30</f>
        <v>2.2620947304277506</v>
      </c>
      <c r="E190" s="176">
        <f>'MONSTER (MNST)'!E28/'MONSTER (MNST)'!E30</f>
        <v>1.5609228557729209</v>
      </c>
      <c r="F190" s="176">
        <f>'MONSTER (MNST)'!F28/'MONSTER (MNST)'!F30</f>
        <v>1.5021890050031552</v>
      </c>
      <c r="G190" s="222">
        <f>'MONSTER (MNST)'!G28/'MONSTER (MNST)'!G30</f>
        <v>1.9525129446339597</v>
      </c>
    </row>
    <row r="191" spans="2:7" x14ac:dyDescent="0.2">
      <c r="B191" s="216" t="s">
        <v>470</v>
      </c>
      <c r="C191" s="176">
        <f>'PepsiCo (PEP)'!B25/'PepsiCo (PEP)'!B27</f>
        <v>5.5564399421128803</v>
      </c>
      <c r="D191" s="176">
        <f>'PepsiCo (PEP)'!C25/'PepsiCo (PEP)'!C27</f>
        <v>6.505797101449275</v>
      </c>
      <c r="E191" s="176">
        <f>'PepsiCo (PEP)'!D25/'PepsiCo (PEP)'!D27</f>
        <v>6.6533430232558137</v>
      </c>
      <c r="F191" s="176">
        <f>'PepsiCo (PEP)'!E25/'PepsiCo (PEP)'!E27</f>
        <v>7.010924981791697</v>
      </c>
      <c r="G191" s="222">
        <f>'PepsiCo (PEP)'!F25/'PepsiCo (PEP)'!F27</f>
        <v>6.0591672753834915</v>
      </c>
    </row>
    <row r="192" spans="2:7" x14ac:dyDescent="0.2">
      <c r="B192" s="216" t="s">
        <v>471</v>
      </c>
      <c r="C192" s="176">
        <f>'Coca Cola (KO)'!C28/'Coca Cola (KO)'!C30</f>
        <v>2.2720741599073002</v>
      </c>
      <c r="D192" s="176">
        <f>'Coca Cola (KO)'!D28/'Coca Cola (KO)'!D30</f>
        <v>2.2114140480591495</v>
      </c>
      <c r="E192" s="176">
        <f>'Coca Cola (KO)'!E28/'Coca Cola (KO)'!E30</f>
        <v>2.4758269720101782</v>
      </c>
      <c r="F192" s="176">
        <f>'Coca Cola (KO)'!F28/'Coca Cola (KO)'!F30</f>
        <v>2.4713390577860292</v>
      </c>
      <c r="G192" s="222">
        <f>'Coca Cola (KO)'!G28/'Coca Cola (KO)'!G30</f>
        <v>3.0529862886358354</v>
      </c>
    </row>
    <row r="193" spans="2:7" x14ac:dyDescent="0.2">
      <c r="B193" s="216" t="s">
        <v>472</v>
      </c>
      <c r="C193" s="176">
        <f>'CELSIUS (CELH)'!C28/'CELSIUS (CELH)'!C30</f>
        <v>5.6241573108705228E-2</v>
      </c>
      <c r="D193" s="176">
        <f>'CELSIUS (CELH)'!D28/'CELSIUS (CELH)'!D30</f>
        <v>-2.4519127543138435</v>
      </c>
      <c r="E193" s="176">
        <f>'CELSIUS (CELH)'!E28/'CELSIUS (CELH)'!E30</f>
        <v>0.97848683648929757</v>
      </c>
      <c r="F193" s="176">
        <f>'CELSIUS (CELH)'!F28/'CELSIUS (CELH)'!F30</f>
        <v>0.61729939492966379</v>
      </c>
      <c r="G193" s="222">
        <f>'CELSIUS (CELH)'!G28/'CELSIUS (CELH)'!G30</f>
        <v>0.42038333086809959</v>
      </c>
    </row>
    <row r="194" spans="2:7" x14ac:dyDescent="0.2">
      <c r="B194" s="219" t="s">
        <v>473</v>
      </c>
      <c r="C194" s="226">
        <f>IFERROR('K.Dr Paper (KDP)'!C28/'K.Dr Paper (KDP)'!C30,"N/A")</f>
        <v>1.5151515151515151</v>
      </c>
      <c r="D194" s="226">
        <f>IFERROR('K.Dr Paper (KDP)'!D28/'K.Dr Paper (KDP)'!D30,"N/A")</f>
        <v>1.0128458498023716</v>
      </c>
      <c r="E194" s="226">
        <f>IFERROR('K.Dr Paper (KDP)'!E28/'K.Dr Paper (KDP)'!E30,"N/A")</f>
        <v>1.5586364610876868</v>
      </c>
      <c r="F194" s="226">
        <f>IFERROR('K.Dr Paper (KDP)'!F28/'K.Dr Paper (KDP)'!F30,"N/A")</f>
        <v>1.0578475994714431</v>
      </c>
      <c r="G194" s="227">
        <f>IFERROR('K.Dr Paper (KDP)'!G28/'K.Dr Paper (KDP)'!G30,"N/A")</f>
        <v>1.5308151093439364</v>
      </c>
    </row>
    <row r="196" spans="2:7" x14ac:dyDescent="0.2">
      <c r="B196" s="228" t="s">
        <v>176</v>
      </c>
      <c r="C196" s="229">
        <v>2021</v>
      </c>
      <c r="D196" s="229">
        <v>2022</v>
      </c>
      <c r="E196" s="229">
        <v>2023</v>
      </c>
      <c r="F196" s="229">
        <v>2024</v>
      </c>
      <c r="G196" s="230">
        <v>2025</v>
      </c>
    </row>
    <row r="197" spans="2:7" x14ac:dyDescent="0.2">
      <c r="B197" s="216" t="s">
        <v>469</v>
      </c>
      <c r="C197" s="176">
        <f>'MONSTER (MNST)'!C31/C190</f>
        <v>16.122286066897768</v>
      </c>
      <c r="D197" s="176">
        <f>'MONSTER (MNST)'!D31/D190</f>
        <v>19.450997965801292</v>
      </c>
      <c r="E197" s="176">
        <f>'MONSTER (MNST)'!E31/E190</f>
        <v>28.188452643428402</v>
      </c>
      <c r="F197" s="176">
        <f>'MONSTER (MNST)'!F31/F190</f>
        <v>36.613235629350434</v>
      </c>
      <c r="G197" s="222">
        <f>'MONSTER (MNST)'!G31/G190</f>
        <v>40.460679258036997</v>
      </c>
    </row>
    <row r="198" spans="2:7" x14ac:dyDescent="0.2">
      <c r="B198" s="216" t="s">
        <v>470</v>
      </c>
      <c r="C198" s="176">
        <f>'PepsiCo (PEP)'!B28/C191</f>
        <v>27.334048704258365</v>
      </c>
      <c r="D198" s="176">
        <f>'PepsiCo (PEP)'!C28/D191</f>
        <v>24.928536422365784</v>
      </c>
      <c r="E198" s="176">
        <f>'PepsiCo (PEP)'!D28/E191</f>
        <v>23.574614964500274</v>
      </c>
      <c r="F198" s="176">
        <f>'PepsiCo (PEP)'!E28/F191</f>
        <v>20.670596301682941</v>
      </c>
      <c r="G198" s="222">
        <f>'PepsiCo (PEP)'!F28/G191</f>
        <v>23.476823387582883</v>
      </c>
    </row>
    <row r="199" spans="2:7" x14ac:dyDescent="0.2">
      <c r="B199" s="216" t="s">
        <v>471</v>
      </c>
      <c r="C199" s="176">
        <f>'Coca Cola (KO)'!C31/C192</f>
        <v>26.059888820889434</v>
      </c>
      <c r="D199" s="176">
        <f>'Coca Cola (KO)'!D31/D192</f>
        <v>28.764400794065409</v>
      </c>
      <c r="E199" s="176">
        <f>'Coca Cola (KO)'!E31/E192</f>
        <v>23.802147995889001</v>
      </c>
      <c r="F199" s="176">
        <f>'Coca Cola (KO)'!F31/F192</f>
        <v>25.192819983097003</v>
      </c>
      <c r="G199" s="222">
        <f>'Coca Cola (KO)'!G31/G192</f>
        <v>22.898890918779021</v>
      </c>
    </row>
    <row r="200" spans="2:7" x14ac:dyDescent="0.2">
      <c r="B200" s="216" t="s">
        <v>472</v>
      </c>
      <c r="C200" s="366">
        <f>'CELSIUS (CELH)'!C31/C193</f>
        <v>442.02177545691904</v>
      </c>
      <c r="D200" s="366">
        <f>'CELSIUS (CELH)'!D31/D193</f>
        <v>-14.144059546566142</v>
      </c>
      <c r="E200" s="366">
        <f>'CELSIUS (CELH)'!E31/E193</f>
        <v>55.718685184985958</v>
      </c>
      <c r="F200" s="366">
        <f>'CELSIUS (CELH)'!F31/F193</f>
        <v>42.669732412424004</v>
      </c>
      <c r="G200" s="289">
        <f>'CELSIUS (CELH)'!G31/G193</f>
        <v>108.80545597644424</v>
      </c>
    </row>
    <row r="201" spans="2:7" x14ac:dyDescent="0.2">
      <c r="B201" s="219" t="s">
        <v>473</v>
      </c>
      <c r="C201" s="226">
        <f>IFERROR('K.Dr Paper (KDP)'!C31/C194,"N/A")</f>
        <v>19.14</v>
      </c>
      <c r="D201" s="226">
        <f>IFERROR('K.Dr Paper (KDP)'!D31/D194,"N/A")</f>
        <v>35.543414634146338</v>
      </c>
      <c r="E201" s="226">
        <f>IFERROR('K.Dr Paper (KDP)'!E31/E194,"N/A")</f>
        <v>20.530765703805592</v>
      </c>
      <c r="F201" s="226">
        <f>IFERROR('K.Dr Paper (KDP)'!F31/F194,"N/A")</f>
        <v>30.250104094378909</v>
      </c>
      <c r="G201" s="227">
        <f>IFERROR('K.Dr Paper (KDP)'!G31/G194,"N/A")</f>
        <v>18.290909090909089</v>
      </c>
    </row>
    <row r="203" spans="2:7" x14ac:dyDescent="0.2">
      <c r="B203" s="228" t="s">
        <v>177</v>
      </c>
      <c r="C203" s="229">
        <v>2021</v>
      </c>
      <c r="D203" s="229">
        <v>2022</v>
      </c>
      <c r="E203" s="229">
        <v>2023</v>
      </c>
      <c r="F203" s="229">
        <v>2024</v>
      </c>
      <c r="G203" s="230">
        <v>2025</v>
      </c>
    </row>
    <row r="204" spans="2:7" x14ac:dyDescent="0.2">
      <c r="B204" s="216" t="s">
        <v>469</v>
      </c>
      <c r="C204" s="176">
        <f>C6/'MONSTER (MNST)'!C88</f>
        <v>3.3817895093171866</v>
      </c>
      <c r="D204" s="176">
        <f>D6/'MONSTER (MNST)'!D88</f>
        <v>3.2993794626963737</v>
      </c>
      <c r="E204" s="176">
        <f>E6/'MONSTER (MNST)'!E88</f>
        <v>5.5871258116670051</v>
      </c>
      <c r="F204" s="176">
        <f>F6/'MONSTER (MNST)'!F88</f>
        <v>9.2738746614055909</v>
      </c>
      <c r="G204" s="222">
        <f>G6/'MONSTER (MNST)'!G88</f>
        <v>9.3402064765811161</v>
      </c>
    </row>
    <row r="205" spans="2:7" x14ac:dyDescent="0.2">
      <c r="B205" s="216" t="s">
        <v>470</v>
      </c>
      <c r="C205" s="176">
        <f>C7/'PepsiCo (PEP)'!B92</f>
        <v>13.083473165866733</v>
      </c>
      <c r="D205" s="176">
        <f>D7/'PepsiCo (PEP)'!C92</f>
        <v>13.050813458510701</v>
      </c>
      <c r="E205" s="176">
        <f>E7/'PepsiCo (PEP)'!D92</f>
        <v>11.664357131276009</v>
      </c>
      <c r="F205" s="176">
        <f>F7/'PepsiCo (PEP)'!E92</f>
        <v>11.029053821850228</v>
      </c>
      <c r="G205" s="222">
        <f>G7/'PepsiCo (PEP)'!F92</f>
        <v>9.5432838380868379</v>
      </c>
    </row>
    <row r="206" spans="2:7" x14ac:dyDescent="0.2">
      <c r="B206" s="216" t="s">
        <v>471</v>
      </c>
      <c r="C206" s="176">
        <f>C8/'Coca Cola (KO)'!C86</f>
        <v>11.108793860602635</v>
      </c>
      <c r="D206" s="176">
        <f>D8/'Coca Cola (KO)'!D86</f>
        <v>11.421036299522921</v>
      </c>
      <c r="E206" s="176">
        <f>E8/'Coca Cola (KO)'!E86</f>
        <v>9.8205308199375505</v>
      </c>
      <c r="F206" s="176">
        <f>F8/'Coca Cola (KO)'!F86</f>
        <v>10.793303025426455</v>
      </c>
      <c r="G206" s="222">
        <f>G8/'Coca Cola (KO)'!G86</f>
        <v>9.3513236345550066</v>
      </c>
    </row>
    <row r="207" spans="2:7" x14ac:dyDescent="0.2">
      <c r="B207" s="216" t="s">
        <v>472</v>
      </c>
      <c r="C207" s="176">
        <f>C9*1000/'CELSIUS (CELH)'!C87</f>
        <v>8.5799614826418491</v>
      </c>
      <c r="D207" s="176">
        <f>D9*1000/'CELSIUS (CELH)'!D87</f>
        <v>3.0638354158497947</v>
      </c>
      <c r="E207" s="176">
        <f>E9*1000/'CELSIUS (CELH)'!E87</f>
        <v>11.609304968397689</v>
      </c>
      <c r="F207" s="176">
        <f>F9*1000/'CELSIUS (CELH)'!F87</f>
        <v>5.0556867145751809</v>
      </c>
      <c r="G207" s="222">
        <f>G9*1000/'CELSIUS (CELH)'!G87</f>
        <v>3.99493868653538</v>
      </c>
    </row>
    <row r="208" spans="2:7" x14ac:dyDescent="0.2">
      <c r="B208" s="219" t="s">
        <v>473</v>
      </c>
      <c r="C208" s="226">
        <f>IFERROR(C10/'K.Dr Paper (KDP)'!C86,"N/A")</f>
        <v>1.6440533397405095</v>
      </c>
      <c r="D208" s="226">
        <f>IFERROR(D10/'K.Dr Paper (KDP)'!D86,"N/A")</f>
        <v>2.0299609965772505</v>
      </c>
      <c r="E208" s="226">
        <f>IFERROR(E10/'K.Dr Paper (KDP)'!E86,"N/A")</f>
        <v>1.7439476553980371</v>
      </c>
      <c r="F208" s="226">
        <f>IFERROR(F10/'K.Dr Paper (KDP)'!F86,"N/A")</f>
        <v>1.798061296044219</v>
      </c>
      <c r="G208" s="227">
        <f>IFERROR(G10/'K.Dr Paper (KDP)'!G86,"N/A")</f>
        <v>1.4903119611224329</v>
      </c>
    </row>
    <row r="230" spans="6:6" x14ac:dyDescent="0.2">
      <c r="F230" s="135"/>
    </row>
  </sheetData>
  <mergeCells count="9">
    <mergeCell ref="J2:O2"/>
    <mergeCell ref="J21:O21"/>
    <mergeCell ref="B187:G187"/>
    <mergeCell ref="B13:G13"/>
    <mergeCell ref="B137:G137"/>
    <mergeCell ref="B56:G56"/>
    <mergeCell ref="B2:G2"/>
    <mergeCell ref="B91:G91"/>
    <mergeCell ref="B4:G4"/>
  </mergeCells>
  <phoneticPr fontId="3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AE5B-0262-45FD-8103-6EA441BC315A}">
  <dimension ref="A1:AH1"/>
  <sheetViews>
    <sheetView showGridLines="0" workbookViewId="0">
      <pane ySplit="1" topLeftCell="A2" activePane="bottomLeft" state="frozen"/>
      <selection pane="bottomLeft" activeCell="N10" sqref="N10"/>
    </sheetView>
  </sheetViews>
  <sheetFormatPr baseColWidth="10" defaultColWidth="8.83203125" defaultRowHeight="15" x14ac:dyDescent="0.2"/>
  <cols>
    <col min="5" max="5" width="8.83203125" customWidth="1"/>
    <col min="7" max="7" width="8.83203125" customWidth="1"/>
  </cols>
  <sheetData>
    <row r="1" spans="1:34" x14ac:dyDescent="0.2">
      <c r="A1" s="660" t="s">
        <v>475</v>
      </c>
      <c r="B1" s="660"/>
      <c r="C1" s="660"/>
      <c r="D1" s="660"/>
      <c r="E1" s="660"/>
      <c r="F1" s="660"/>
      <c r="H1" s="660" t="s">
        <v>479</v>
      </c>
      <c r="I1" s="660"/>
      <c r="J1" s="660"/>
      <c r="K1" s="660"/>
      <c r="L1" s="660"/>
      <c r="M1" s="660"/>
      <c r="O1" s="660" t="s">
        <v>477</v>
      </c>
      <c r="P1" s="660"/>
      <c r="Q1" s="660"/>
      <c r="R1" s="660"/>
      <c r="S1" s="660"/>
      <c r="T1" s="660"/>
      <c r="V1" s="660" t="s">
        <v>480</v>
      </c>
      <c r="W1" s="660"/>
      <c r="X1" s="660"/>
      <c r="Y1" s="660"/>
      <c r="Z1" s="660"/>
      <c r="AA1" s="660"/>
      <c r="AC1" s="660" t="s">
        <v>478</v>
      </c>
      <c r="AD1" s="660"/>
      <c r="AE1" s="660"/>
      <c r="AF1" s="660"/>
      <c r="AG1" s="660"/>
      <c r="AH1" s="660"/>
    </row>
  </sheetData>
  <mergeCells count="5">
    <mergeCell ref="AC1:AH1"/>
    <mergeCell ref="H1:M1"/>
    <mergeCell ref="A1:F1"/>
    <mergeCell ref="O1:T1"/>
    <mergeCell ref="V1:AA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8F0F7-0BFA-4E70-8388-150BE3BE0EA9}">
  <sheetPr>
    <pageSetUpPr fitToPage="1"/>
  </sheetPr>
  <dimension ref="A1:V143"/>
  <sheetViews>
    <sheetView zoomScale="125" zoomScaleNormal="125" workbookViewId="0">
      <selection activeCell="C30" sqref="C30"/>
    </sheetView>
  </sheetViews>
  <sheetFormatPr baseColWidth="10" defaultColWidth="8.83203125" defaultRowHeight="23" x14ac:dyDescent="0.25"/>
  <cols>
    <col min="1" max="1" width="36.1640625" style="47" customWidth="1"/>
    <col min="2" max="2" width="15.83203125" customWidth="1"/>
    <col min="3" max="3" width="13" customWidth="1"/>
    <col min="4" max="4" width="13.33203125" customWidth="1"/>
    <col min="5" max="5" width="14.5" customWidth="1"/>
    <col min="6" max="6" width="13.33203125" customWidth="1"/>
    <col min="7" max="8" width="1.6640625" customWidth="1"/>
    <col min="9" max="13" width="7.6640625" customWidth="1"/>
    <col min="14" max="15" width="1.6640625" customWidth="1"/>
    <col min="16" max="16" width="13.1640625" customWidth="1"/>
    <col min="17" max="17" width="11.1640625" customWidth="1"/>
    <col min="18" max="18" width="9.6640625" customWidth="1"/>
    <col min="19" max="19" width="9.33203125" customWidth="1"/>
    <col min="20" max="20" width="8.6640625" customWidth="1"/>
    <col min="21" max="21" width="9.33203125" customWidth="1"/>
  </cols>
  <sheetData>
    <row r="1" spans="1:22" ht="20.25" customHeight="1" x14ac:dyDescent="0.2">
      <c r="A1" s="667" t="s">
        <v>0</v>
      </c>
      <c r="B1" s="667"/>
      <c r="C1" s="667"/>
      <c r="D1" s="667"/>
      <c r="E1" s="667"/>
      <c r="F1" s="667"/>
      <c r="G1" s="667"/>
      <c r="H1" s="667"/>
      <c r="I1" s="667"/>
      <c r="J1" s="667"/>
      <c r="K1" s="667"/>
      <c r="L1" s="667"/>
      <c r="M1" s="667"/>
      <c r="N1" s="667"/>
      <c r="O1" s="667"/>
      <c r="P1" s="667"/>
      <c r="Q1" s="667"/>
      <c r="R1" s="667"/>
      <c r="S1" s="667"/>
      <c r="T1" s="667"/>
      <c r="U1" s="667"/>
      <c r="V1" s="106"/>
    </row>
    <row r="2" spans="1:22" ht="15.75" customHeight="1" x14ac:dyDescent="0.2">
      <c r="A2" s="668" t="s">
        <v>1</v>
      </c>
      <c r="B2" s="668"/>
      <c r="C2" s="668"/>
      <c r="D2" s="668"/>
      <c r="E2" s="668"/>
      <c r="F2" s="668"/>
      <c r="G2" s="668"/>
      <c r="H2" s="668"/>
      <c r="I2" s="668"/>
      <c r="J2" s="668"/>
      <c r="K2" s="668"/>
      <c r="L2" s="668"/>
      <c r="M2" s="668"/>
      <c r="N2" s="668"/>
      <c r="O2" s="668"/>
      <c r="P2" s="668"/>
      <c r="Q2" s="668"/>
      <c r="R2" s="668"/>
      <c r="S2" s="668"/>
      <c r="T2" s="668"/>
      <c r="U2" s="668"/>
      <c r="V2" s="107"/>
    </row>
    <row r="3" spans="1:22" ht="15.75" customHeight="1" x14ac:dyDescent="0.2">
      <c r="A3" s="669" t="s">
        <v>2</v>
      </c>
      <c r="B3" s="669"/>
      <c r="C3" s="669"/>
      <c r="D3" s="669"/>
      <c r="E3" s="669"/>
      <c r="F3" s="669"/>
      <c r="G3" s="669"/>
      <c r="H3" s="669"/>
      <c r="I3" s="669"/>
      <c r="J3" s="669"/>
      <c r="K3" s="669"/>
      <c r="L3" s="669"/>
      <c r="M3" s="669"/>
      <c r="N3" s="669"/>
      <c r="O3" s="669"/>
      <c r="P3" s="669"/>
      <c r="Q3" s="669"/>
      <c r="R3" s="669"/>
      <c r="S3" s="669"/>
      <c r="T3" s="669"/>
      <c r="U3" s="669"/>
      <c r="V3" s="5"/>
    </row>
    <row r="4" spans="1:22" s="109" customFormat="1" ht="16" x14ac:dyDescent="0.2">
      <c r="A4" s="106" t="s">
        <v>3</v>
      </c>
      <c r="T4" s="616" t="s">
        <v>4</v>
      </c>
      <c r="U4" s="616"/>
    </row>
    <row r="5" spans="1:22" s="109" customFormat="1" ht="16" x14ac:dyDescent="0.2">
      <c r="A5" s="106" t="s">
        <v>5</v>
      </c>
    </row>
    <row r="6" spans="1:22" ht="15" x14ac:dyDescent="0.2">
      <c r="A6" s="2" t="s">
        <v>6</v>
      </c>
      <c r="B6">
        <v>100</v>
      </c>
      <c r="H6" s="240"/>
      <c r="I6" s="666" t="s">
        <v>7</v>
      </c>
      <c r="J6" s="666"/>
      <c r="K6" s="666"/>
      <c r="L6" s="666"/>
      <c r="M6" s="666"/>
      <c r="N6" s="3"/>
      <c r="O6" s="3"/>
      <c r="P6" s="666" t="s">
        <v>8</v>
      </c>
      <c r="Q6" s="666"/>
      <c r="R6" s="666"/>
      <c r="S6" s="666"/>
      <c r="T6" s="666"/>
      <c r="U6" s="4"/>
    </row>
    <row r="7" spans="1:22" ht="15" x14ac:dyDescent="0.2">
      <c r="A7" s="5"/>
      <c r="H7" s="240"/>
      <c r="I7" s="663" t="s">
        <v>9</v>
      </c>
      <c r="J7" s="663"/>
      <c r="K7" s="663"/>
      <c r="L7" s="663"/>
      <c r="M7" s="663"/>
      <c r="N7" s="6"/>
      <c r="O7" s="6"/>
      <c r="P7" s="663" t="s">
        <v>10</v>
      </c>
      <c r="Q7" s="663"/>
      <c r="R7" s="663"/>
      <c r="S7" s="663"/>
      <c r="T7" s="663"/>
    </row>
    <row r="8" spans="1:22" ht="15" x14ac:dyDescent="0.2">
      <c r="A8" s="241" t="s">
        <v>11</v>
      </c>
      <c r="B8" s="242">
        <v>2021</v>
      </c>
      <c r="C8" s="242">
        <v>2022</v>
      </c>
      <c r="D8" s="242">
        <v>2023</v>
      </c>
      <c r="E8" s="242">
        <v>2024</v>
      </c>
      <c r="F8" s="243">
        <v>2025</v>
      </c>
      <c r="G8" s="244"/>
      <c r="H8" s="242"/>
      <c r="I8" s="242">
        <v>2021</v>
      </c>
      <c r="J8" s="242">
        <v>2022</v>
      </c>
      <c r="K8" s="242">
        <v>2023</v>
      </c>
      <c r="L8" s="242">
        <v>2024</v>
      </c>
      <c r="M8" s="243">
        <v>2025</v>
      </c>
      <c r="N8" s="244"/>
      <c r="O8" s="242"/>
      <c r="P8" s="242">
        <v>2021</v>
      </c>
      <c r="Q8" s="242">
        <v>2022</v>
      </c>
      <c r="R8" s="242">
        <v>2023</v>
      </c>
      <c r="S8" s="242">
        <v>2024</v>
      </c>
      <c r="T8" s="243">
        <v>2025</v>
      </c>
      <c r="U8" s="245"/>
    </row>
    <row r="9" spans="1:22" ht="15" x14ac:dyDescent="0.2">
      <c r="A9" s="10" t="s">
        <v>12</v>
      </c>
      <c r="B9" s="231">
        <v>5541.3519999999999</v>
      </c>
      <c r="C9" s="231">
        <v>6311.05</v>
      </c>
      <c r="D9" s="231">
        <v>7140.027</v>
      </c>
      <c r="E9" s="231">
        <v>7492.7089999999998</v>
      </c>
      <c r="F9" s="231">
        <v>8294.3430000000008</v>
      </c>
      <c r="G9" s="12"/>
      <c r="H9" s="11"/>
      <c r="I9" s="13">
        <f>B9/$B$9</f>
        <v>1</v>
      </c>
      <c r="J9" s="13">
        <f>C9/$C$9</f>
        <v>1</v>
      </c>
      <c r="K9" s="13">
        <f>D9/$D$9</f>
        <v>1</v>
      </c>
      <c r="L9" s="13">
        <f>E9/$E$9</f>
        <v>1</v>
      </c>
      <c r="M9" s="13">
        <f>F9/$F$9</f>
        <v>1</v>
      </c>
      <c r="N9" s="14"/>
      <c r="O9" s="13"/>
      <c r="P9" s="142">
        <f>B9/$B$9</f>
        <v>1</v>
      </c>
      <c r="Q9" s="142">
        <f>C9/$B$9</f>
        <v>1.1389007592370959</v>
      </c>
      <c r="R9" s="142">
        <f>D9/$B$9</f>
        <v>1.2884990883091347</v>
      </c>
      <c r="S9" s="142">
        <f>E9/$B$9</f>
        <v>1.3521445668854821</v>
      </c>
      <c r="T9" s="142">
        <f>F9/$B$9</f>
        <v>1.4968085405872071</v>
      </c>
    </row>
    <row r="10" spans="1:22" ht="14.25" customHeight="1" x14ac:dyDescent="0.2">
      <c r="A10" s="5" t="s">
        <v>13</v>
      </c>
      <c r="B10" s="232">
        <v>2432.8389999999999</v>
      </c>
      <c r="C10" s="232">
        <v>3136.4830000000002</v>
      </c>
      <c r="D10" s="232">
        <v>3345.8209999999999</v>
      </c>
      <c r="E10" s="232">
        <v>3443.8310000000001</v>
      </c>
      <c r="F10" s="232">
        <v>3662.1480000000001</v>
      </c>
      <c r="G10" s="22"/>
      <c r="H10" s="23"/>
      <c r="I10" s="13">
        <f t="shared" ref="I10:I19" si="0">B10/$B$9</f>
        <v>0.43903347053210118</v>
      </c>
      <c r="J10" s="13">
        <f t="shared" ref="J10:J19" si="1">C10/$C$9</f>
        <v>0.49698275247383561</v>
      </c>
      <c r="K10" s="13">
        <f t="shared" ref="K10:K19" si="2">D10/$D$9</f>
        <v>0.46860060893327155</v>
      </c>
      <c r="L10" s="13">
        <f t="shared" ref="L10:L19" si="3">E10/$E$9</f>
        <v>0.45962428275274003</v>
      </c>
      <c r="M10" s="13">
        <f t="shared" ref="M10:M19" si="4">F10/$F$9</f>
        <v>0.44152357817852478</v>
      </c>
      <c r="N10" s="19"/>
      <c r="O10" s="18"/>
      <c r="P10" s="143">
        <f>B10/$B$10</f>
        <v>1</v>
      </c>
      <c r="Q10" s="143">
        <f t="shared" ref="Q10:T10" si="5">C10/$B$10</f>
        <v>1.2892275238928677</v>
      </c>
      <c r="R10" s="143">
        <f t="shared" si="5"/>
        <v>1.3752743194268096</v>
      </c>
      <c r="S10" s="143">
        <f t="shared" si="5"/>
        <v>1.4155605858011977</v>
      </c>
      <c r="T10" s="143">
        <f t="shared" si="5"/>
        <v>1.5052981311134852</v>
      </c>
    </row>
    <row r="11" spans="1:22" ht="15" x14ac:dyDescent="0.2">
      <c r="A11" s="53" t="s">
        <v>14</v>
      </c>
      <c r="B11" s="231">
        <v>3108.5129999999999</v>
      </c>
      <c r="C11" s="231">
        <v>3174.567</v>
      </c>
      <c r="D11" s="231">
        <v>3794.2060000000001</v>
      </c>
      <c r="E11" s="231">
        <v>4048.8780000000002</v>
      </c>
      <c r="F11" s="231">
        <v>4632.1949999999997</v>
      </c>
      <c r="G11" s="25"/>
      <c r="H11" s="24"/>
      <c r="I11" s="13">
        <f t="shared" si="0"/>
        <v>0.56096652946789882</v>
      </c>
      <c r="J11" s="13">
        <f t="shared" si="1"/>
        <v>0.50301724752616439</v>
      </c>
      <c r="K11" s="13">
        <f t="shared" si="2"/>
        <v>0.53139939106672851</v>
      </c>
      <c r="L11" s="13">
        <f t="shared" si="3"/>
        <v>0.54037571724725997</v>
      </c>
      <c r="M11" s="13">
        <f t="shared" si="4"/>
        <v>0.55847642182147506</v>
      </c>
      <c r="N11" s="17"/>
      <c r="O11" s="16"/>
      <c r="P11" s="144">
        <f>B11/$B$11</f>
        <v>1</v>
      </c>
      <c r="Q11" s="144">
        <f t="shared" ref="Q11:T11" si="6">C11/$B$11</f>
        <v>1.0212493883731546</v>
      </c>
      <c r="R11" s="144">
        <f t="shared" si="6"/>
        <v>1.2205855339836122</v>
      </c>
      <c r="S11" s="144">
        <f t="shared" si="6"/>
        <v>1.30251280917918</v>
      </c>
      <c r="T11" s="144">
        <f t="shared" si="6"/>
        <v>1.4901642682530201</v>
      </c>
    </row>
    <row r="12" spans="1:22" ht="15" x14ac:dyDescent="0.2">
      <c r="A12" s="5" t="s">
        <v>15</v>
      </c>
      <c r="B12" s="233">
        <v>1311.046</v>
      </c>
      <c r="C12" s="233">
        <v>1589.846</v>
      </c>
      <c r="D12" s="233">
        <v>1840.8510000000001</v>
      </c>
      <c r="E12" s="233">
        <v>2118.5839999999998</v>
      </c>
      <c r="F12" s="233">
        <v>2212.8409999999999</v>
      </c>
      <c r="G12" s="28"/>
      <c r="H12" s="27"/>
      <c r="I12" s="13">
        <f t="shared" si="0"/>
        <v>0.23659316354564736</v>
      </c>
      <c r="J12" s="13">
        <f t="shared" si="1"/>
        <v>0.25191465762432558</v>
      </c>
      <c r="K12" s="13">
        <f t="shared" si="2"/>
        <v>0.25782129395309011</v>
      </c>
      <c r="L12" s="13">
        <f t="shared" si="3"/>
        <v>0.28275274003034145</v>
      </c>
      <c r="M12" s="13">
        <f t="shared" si="4"/>
        <v>0.2667891839052231</v>
      </c>
      <c r="N12" s="19"/>
      <c r="O12" s="18"/>
      <c r="P12" s="145">
        <f>B12/$B$12</f>
        <v>1</v>
      </c>
      <c r="Q12" s="145">
        <f t="shared" ref="Q12:T12" si="7">C12/$B$12</f>
        <v>1.2126546284417175</v>
      </c>
      <c r="R12" s="145">
        <f t="shared" si="7"/>
        <v>1.4041086277674468</v>
      </c>
      <c r="S12" s="145">
        <f t="shared" si="7"/>
        <v>1.6159494022330259</v>
      </c>
      <c r="T12" s="145">
        <f t="shared" si="7"/>
        <v>1.6878439047905258</v>
      </c>
    </row>
    <row r="13" spans="1:22" ht="15" x14ac:dyDescent="0.2">
      <c r="A13" s="10" t="s">
        <v>21</v>
      </c>
      <c r="B13" s="231">
        <v>1797.4670000000001</v>
      </c>
      <c r="C13" s="231">
        <v>1584.721</v>
      </c>
      <c r="D13" s="231">
        <v>1953.355</v>
      </c>
      <c r="E13" s="231">
        <v>1930.2940000000001</v>
      </c>
      <c r="F13" s="231">
        <v>2419.3539999999998</v>
      </c>
      <c r="G13" s="38"/>
      <c r="H13" s="37"/>
      <c r="I13" s="13">
        <f t="shared" si="0"/>
        <v>0.32437336592225147</v>
      </c>
      <c r="J13" s="13">
        <f t="shared" si="1"/>
        <v>0.25110258990183881</v>
      </c>
      <c r="K13" s="13">
        <f t="shared" si="2"/>
        <v>0.27357809711363834</v>
      </c>
      <c r="L13" s="13">
        <f t="shared" si="3"/>
        <v>0.25762297721691851</v>
      </c>
      <c r="M13" s="13">
        <f t="shared" si="4"/>
        <v>0.29168723791625201</v>
      </c>
      <c r="N13" s="17"/>
      <c r="O13" s="16"/>
      <c r="P13" s="144">
        <f>B13/$B$13</f>
        <v>1</v>
      </c>
      <c r="Q13" s="144">
        <f t="shared" ref="Q13:T13" si="8">C13/$B$13</f>
        <v>0.88164122067331407</v>
      </c>
      <c r="R13" s="144">
        <f t="shared" si="8"/>
        <v>1.0867264878854521</v>
      </c>
      <c r="S13" s="144">
        <f t="shared" si="8"/>
        <v>1.0738967669503807</v>
      </c>
      <c r="T13" s="144">
        <f t="shared" si="8"/>
        <v>1.3459796480269177</v>
      </c>
    </row>
    <row r="14" spans="1:22" ht="15" x14ac:dyDescent="0.2">
      <c r="A14" s="5" t="s">
        <v>22</v>
      </c>
      <c r="B14" s="233">
        <v>3.952</v>
      </c>
      <c r="C14" s="233">
        <v>-12.757</v>
      </c>
      <c r="D14" s="233">
        <v>115.127</v>
      </c>
      <c r="E14" s="233">
        <v>59.164999999999999</v>
      </c>
      <c r="F14" s="233">
        <v>63.174999999999997</v>
      </c>
      <c r="G14" s="17"/>
      <c r="H14" s="16"/>
      <c r="I14" s="13">
        <f t="shared" si="0"/>
        <v>7.1318335308783853E-4</v>
      </c>
      <c r="J14" s="13">
        <f t="shared" si="1"/>
        <v>-2.0213752069782364E-3</v>
      </c>
      <c r="K14" s="13">
        <f t="shared" si="2"/>
        <v>1.6124168718129498E-2</v>
      </c>
      <c r="L14" s="13">
        <f t="shared" si="3"/>
        <v>7.8963429648742523E-3</v>
      </c>
      <c r="M14" s="13">
        <f t="shared" si="4"/>
        <v>7.6166370259826473E-3</v>
      </c>
      <c r="N14" s="19"/>
      <c r="O14" s="18"/>
      <c r="P14" s="143">
        <f>B14/$B$14</f>
        <v>1</v>
      </c>
      <c r="Q14" s="143">
        <f t="shared" ref="Q14:T14" si="9">C14/$B$14</f>
        <v>-3.2279858299595143</v>
      </c>
      <c r="R14" s="143">
        <f t="shared" si="9"/>
        <v>29.131325910931174</v>
      </c>
      <c r="S14" s="143">
        <f t="shared" si="9"/>
        <v>14.9709008097166</v>
      </c>
      <c r="T14" s="143">
        <f t="shared" si="9"/>
        <v>15.985576923076923</v>
      </c>
    </row>
    <row r="15" spans="1:22" ht="15" x14ac:dyDescent="0.2">
      <c r="A15" s="5" t="s">
        <v>23</v>
      </c>
      <c r="B15" s="232"/>
      <c r="C15" s="232"/>
      <c r="D15" s="232"/>
      <c r="E15" s="232"/>
      <c r="F15" s="232"/>
      <c r="G15" s="34"/>
      <c r="H15" s="33"/>
      <c r="I15" s="13">
        <f t="shared" si="0"/>
        <v>0</v>
      </c>
      <c r="J15" s="13">
        <f t="shared" si="1"/>
        <v>0</v>
      </c>
      <c r="K15" s="13">
        <f t="shared" si="2"/>
        <v>0</v>
      </c>
      <c r="L15" s="13">
        <f t="shared" si="3"/>
        <v>0</v>
      </c>
      <c r="M15" s="13">
        <f t="shared" si="4"/>
        <v>0</v>
      </c>
      <c r="N15" s="19"/>
      <c r="O15" s="18"/>
      <c r="P15" s="20"/>
      <c r="Q15" s="20"/>
      <c r="R15" s="20"/>
      <c r="S15" s="20"/>
      <c r="T15" s="20"/>
    </row>
    <row r="16" spans="1:22" ht="15" x14ac:dyDescent="0.2">
      <c r="A16" s="5" t="s">
        <v>24</v>
      </c>
      <c r="B16" s="233">
        <v>1801.4190000000001</v>
      </c>
      <c r="C16" s="233">
        <v>1571.9639999999999</v>
      </c>
      <c r="D16" s="233">
        <v>2068.482</v>
      </c>
      <c r="E16" s="233">
        <v>1989.4590000000001</v>
      </c>
      <c r="F16" s="233">
        <v>2482.529</v>
      </c>
      <c r="G16" s="32"/>
      <c r="H16" s="31"/>
      <c r="I16" s="13">
        <f t="shared" si="0"/>
        <v>0.32508654927533931</v>
      </c>
      <c r="J16" s="13">
        <f t="shared" si="1"/>
        <v>0.24908121469486058</v>
      </c>
      <c r="K16" s="13">
        <f t="shared" si="2"/>
        <v>0.28970226583176784</v>
      </c>
      <c r="L16" s="13">
        <f t="shared" si="3"/>
        <v>0.26551932018179275</v>
      </c>
      <c r="M16" s="13">
        <f t="shared" si="4"/>
        <v>0.2993038749422347</v>
      </c>
      <c r="N16" s="19"/>
      <c r="O16" s="18"/>
      <c r="P16" s="143">
        <f>B16/$B$16</f>
        <v>1</v>
      </c>
      <c r="Q16" s="143">
        <f t="shared" ref="Q16:T16" si="10">C16/$B$16</f>
        <v>0.87262541363225321</v>
      </c>
      <c r="R16" s="143">
        <f t="shared" si="10"/>
        <v>1.1482514617643091</v>
      </c>
      <c r="S16" s="143">
        <f t="shared" si="10"/>
        <v>1.1043843769828119</v>
      </c>
      <c r="T16" s="143">
        <f t="shared" si="10"/>
        <v>1.3780963784660869</v>
      </c>
    </row>
    <row r="17" spans="1:20" ht="15" x14ac:dyDescent="0.2">
      <c r="A17" s="5" t="s">
        <v>25</v>
      </c>
      <c r="B17" s="232">
        <v>423.94400000000002</v>
      </c>
      <c r="C17" s="232">
        <v>380.34</v>
      </c>
      <c r="D17" s="232">
        <v>437.49400000000003</v>
      </c>
      <c r="E17" s="232">
        <v>480.411</v>
      </c>
      <c r="F17" s="232">
        <v>577.09699999999998</v>
      </c>
      <c r="G17" s="34"/>
      <c r="H17" s="33"/>
      <c r="I17" s="13">
        <f t="shared" si="0"/>
        <v>7.650551706514945E-2</v>
      </c>
      <c r="J17" s="13">
        <f t="shared" si="1"/>
        <v>6.026572440402151E-2</v>
      </c>
      <c r="K17" s="13">
        <f t="shared" si="2"/>
        <v>6.1273437761509869E-2</v>
      </c>
      <c r="L17" s="13">
        <f t="shared" si="3"/>
        <v>6.4117130399699226E-2</v>
      </c>
      <c r="M17" s="13">
        <f t="shared" si="4"/>
        <v>6.9577180495188101E-2</v>
      </c>
      <c r="N17" s="19"/>
      <c r="O17" s="18"/>
      <c r="P17" s="143">
        <f>B17/$B$17</f>
        <v>1</v>
      </c>
      <c r="Q17" s="143">
        <f t="shared" ref="Q17:T17" si="11">C17/$B$17</f>
        <v>0.89714679297265665</v>
      </c>
      <c r="R17" s="143">
        <f t="shared" si="11"/>
        <v>1.031961768535467</v>
      </c>
      <c r="S17" s="143">
        <f t="shared" si="11"/>
        <v>1.1331944785160304</v>
      </c>
      <c r="T17" s="143">
        <f t="shared" si="11"/>
        <v>1.3612576189308021</v>
      </c>
    </row>
    <row r="18" spans="1:20" ht="15" x14ac:dyDescent="0.2">
      <c r="A18" s="5" t="s">
        <v>26</v>
      </c>
      <c r="B18" s="233"/>
      <c r="C18" s="233"/>
      <c r="D18" s="233"/>
      <c r="E18" s="233"/>
      <c r="F18" s="233"/>
      <c r="G18" s="19"/>
      <c r="H18" s="18"/>
      <c r="I18" s="13">
        <f t="shared" si="0"/>
        <v>0</v>
      </c>
      <c r="J18" s="13">
        <f t="shared" si="1"/>
        <v>0</v>
      </c>
      <c r="K18" s="13">
        <f t="shared" si="2"/>
        <v>0</v>
      </c>
      <c r="L18" s="13">
        <f t="shared" si="3"/>
        <v>0</v>
      </c>
      <c r="M18" s="13">
        <f t="shared" si="4"/>
        <v>0</v>
      </c>
      <c r="N18" s="19"/>
      <c r="O18" s="18"/>
      <c r="P18" s="143"/>
      <c r="Q18" s="143"/>
      <c r="R18" s="143"/>
      <c r="S18" s="143"/>
      <c r="T18" s="143"/>
    </row>
    <row r="19" spans="1:20" ht="15" x14ac:dyDescent="0.2">
      <c r="A19" s="10" t="s">
        <v>27</v>
      </c>
      <c r="B19" s="231">
        <v>1377.4749999999999</v>
      </c>
      <c r="C19" s="231">
        <v>1191.624</v>
      </c>
      <c r="D19" s="231">
        <v>1630.9880000000001</v>
      </c>
      <c r="E19" s="231">
        <v>1509.048</v>
      </c>
      <c r="F19" s="231">
        <v>1905.432</v>
      </c>
      <c r="G19" s="38"/>
      <c r="H19" s="37"/>
      <c r="I19" s="13">
        <f t="shared" si="0"/>
        <v>0.24858103221018985</v>
      </c>
      <c r="J19" s="13">
        <f t="shared" si="1"/>
        <v>0.18881549029083908</v>
      </c>
      <c r="K19" s="13">
        <f t="shared" si="2"/>
        <v>0.22842882807025799</v>
      </c>
      <c r="L19" s="13">
        <f t="shared" si="3"/>
        <v>0.20140218978209351</v>
      </c>
      <c r="M19" s="13">
        <f t="shared" si="4"/>
        <v>0.2297266944470466</v>
      </c>
      <c r="N19" s="17"/>
      <c r="O19" s="16"/>
      <c r="P19" s="144">
        <f>B19/$B$19</f>
        <v>1</v>
      </c>
      <c r="Q19" s="144">
        <f t="shared" ref="Q19:T19" si="12">C19/$B$19</f>
        <v>0.86507849507250589</v>
      </c>
      <c r="R19" s="144">
        <f t="shared" si="12"/>
        <v>1.1840418156409374</v>
      </c>
      <c r="S19" s="144">
        <f t="shared" si="12"/>
        <v>1.0955175230040473</v>
      </c>
      <c r="T19" s="144">
        <f t="shared" si="12"/>
        <v>1.3832788253870307</v>
      </c>
    </row>
    <row r="20" spans="1:20" ht="22" customHeight="1" x14ac:dyDescent="0.2">
      <c r="A20" s="5" t="s">
        <v>28</v>
      </c>
      <c r="B20" s="233">
        <f>B21*B22</f>
        <v>22208.046000000002</v>
      </c>
      <c r="C20" s="233">
        <f t="shared" ref="C20:F20" si="13">C21*C22</f>
        <v>23178.275999999998</v>
      </c>
      <c r="D20" s="233">
        <f t="shared" si="13"/>
        <v>45975.027999999998</v>
      </c>
      <c r="E20" s="233">
        <f t="shared" si="13"/>
        <v>55251.130000000005</v>
      </c>
      <c r="F20" s="233">
        <f t="shared" si="13"/>
        <v>77095.072999999989</v>
      </c>
      <c r="G20" s="32"/>
      <c r="H20" s="31"/>
      <c r="I20" s="18"/>
      <c r="J20" s="18"/>
      <c r="K20" s="18"/>
      <c r="L20" s="18"/>
      <c r="M20" s="18"/>
      <c r="N20" s="19"/>
      <c r="O20" s="18"/>
      <c r="P20" s="143"/>
      <c r="Q20" s="143"/>
      <c r="R20" s="143"/>
      <c r="S20" s="143"/>
      <c r="T20" s="143"/>
    </row>
    <row r="21" spans="1:20" ht="15" x14ac:dyDescent="0.2">
      <c r="A21" s="10" t="s">
        <v>29</v>
      </c>
      <c r="B21" s="140">
        <f>'Monster data sheet'!G22/1000</f>
        <v>528.76300000000003</v>
      </c>
      <c r="C21" s="233">
        <f>'Monster data sheet'!F22/1000</f>
        <v>526.779</v>
      </c>
      <c r="D21" s="233">
        <f>'Monster data sheet'!E22/1000</f>
        <v>1044.8869999999999</v>
      </c>
      <c r="E21" s="233">
        <f>'Monster data sheet'!D22/1000</f>
        <v>1004.566</v>
      </c>
      <c r="F21" s="233">
        <f>'Monster data sheet'!C22/1000</f>
        <v>975.88699999999994</v>
      </c>
      <c r="G21" s="40"/>
      <c r="H21" s="39"/>
      <c r="I21" s="18"/>
      <c r="J21" s="18"/>
      <c r="K21" s="18"/>
      <c r="L21" s="18"/>
      <c r="M21" s="18"/>
      <c r="N21" s="19"/>
      <c r="O21" s="18"/>
      <c r="P21" s="143">
        <f>B21/$B$21</f>
        <v>1</v>
      </c>
      <c r="Q21" s="143">
        <f t="shared" ref="Q21:T21" si="14">C21/$B$21</f>
        <v>0.99624784638864661</v>
      </c>
      <c r="R21" s="143">
        <f t="shared" si="14"/>
        <v>1.9760970415857386</v>
      </c>
      <c r="S21" s="143">
        <f t="shared" si="14"/>
        <v>1.899841706019521</v>
      </c>
      <c r="T21" s="143">
        <f t="shared" si="14"/>
        <v>1.845603796029601</v>
      </c>
    </row>
    <row r="22" spans="1:20" ht="16" customHeight="1" x14ac:dyDescent="0.2">
      <c r="A22" s="53" t="s">
        <v>30</v>
      </c>
      <c r="B22" s="233">
        <v>42</v>
      </c>
      <c r="C22" s="233">
        <v>44</v>
      </c>
      <c r="D22" s="233">
        <v>44</v>
      </c>
      <c r="E22" s="233">
        <v>55</v>
      </c>
      <c r="F22" s="233">
        <v>79</v>
      </c>
      <c r="G22" s="42"/>
      <c r="H22" s="41"/>
      <c r="I22" s="18"/>
      <c r="J22" s="18"/>
      <c r="K22" s="18"/>
      <c r="L22" s="18"/>
      <c r="M22" s="18"/>
      <c r="N22" s="19"/>
      <c r="O22" s="18"/>
      <c r="P22" s="143">
        <f>B22/$B$22</f>
        <v>1</v>
      </c>
      <c r="Q22" s="143">
        <f t="shared" ref="Q22:T22" si="15">C22/$B$22</f>
        <v>1.0476190476190477</v>
      </c>
      <c r="R22" s="143">
        <f t="shared" si="15"/>
        <v>1.0476190476190477</v>
      </c>
      <c r="S22" s="143">
        <f t="shared" si="15"/>
        <v>1.3095238095238095</v>
      </c>
      <c r="T22" s="143">
        <f t="shared" si="15"/>
        <v>1.8809523809523809</v>
      </c>
    </row>
    <row r="23" spans="1:20" ht="15" x14ac:dyDescent="0.2">
      <c r="A23" t="s">
        <v>31</v>
      </c>
      <c r="B23">
        <v>5.1550000000000002</v>
      </c>
      <c r="C23">
        <v>61.241</v>
      </c>
      <c r="D23">
        <v>68.897999999999996</v>
      </c>
      <c r="E23">
        <v>80.433999999999997</v>
      </c>
      <c r="F23">
        <v>114.441</v>
      </c>
    </row>
    <row r="24" spans="1:20" ht="15" x14ac:dyDescent="0.2">
      <c r="A24"/>
    </row>
    <row r="25" spans="1:20" ht="15" x14ac:dyDescent="0.2">
      <c r="A25"/>
    </row>
    <row r="26" spans="1:20" ht="15" x14ac:dyDescent="0.2">
      <c r="A26"/>
    </row>
    <row r="27" spans="1:20" ht="15" x14ac:dyDescent="0.2">
      <c r="A27"/>
    </row>
    <row r="28" spans="1:20" ht="15" x14ac:dyDescent="0.2">
      <c r="A28"/>
    </row>
    <row r="29" spans="1:20" ht="15" x14ac:dyDescent="0.2">
      <c r="A29"/>
    </row>
    <row r="30" spans="1:20" ht="15" x14ac:dyDescent="0.2">
      <c r="A30"/>
    </row>
    <row r="31" spans="1:20" ht="15" x14ac:dyDescent="0.2">
      <c r="A31"/>
    </row>
    <row r="32" spans="1:20" ht="15" x14ac:dyDescent="0.2">
      <c r="A32"/>
    </row>
    <row r="33" spans="1:21" ht="15" x14ac:dyDescent="0.2">
      <c r="A33"/>
    </row>
    <row r="34" spans="1:21" ht="15" x14ac:dyDescent="0.2">
      <c r="A34"/>
    </row>
    <row r="35" spans="1:21" ht="15" x14ac:dyDescent="0.2">
      <c r="A35"/>
    </row>
    <row r="36" spans="1:21" ht="17.25" customHeight="1" x14ac:dyDescent="0.25"/>
    <row r="37" spans="1:21" ht="17.25" customHeight="1" x14ac:dyDescent="0.25"/>
    <row r="38" spans="1:21" ht="16" customHeight="1" x14ac:dyDescent="0.25"/>
    <row r="39" spans="1:21" ht="17.25" customHeight="1" x14ac:dyDescent="0.25"/>
    <row r="40" spans="1:21" ht="18" x14ac:dyDescent="0.2">
      <c r="A40" s="667" t="s">
        <v>0</v>
      </c>
      <c r="B40" s="667"/>
      <c r="C40" s="667"/>
      <c r="D40" s="667"/>
      <c r="E40" s="667"/>
      <c r="F40" s="667"/>
      <c r="G40" s="667"/>
      <c r="H40" s="667"/>
      <c r="I40" s="667"/>
      <c r="J40" s="667"/>
      <c r="K40" s="667"/>
      <c r="L40" s="667"/>
      <c r="M40" s="667"/>
      <c r="N40" s="667"/>
      <c r="O40" s="667"/>
      <c r="P40" s="667"/>
      <c r="Q40" s="667"/>
      <c r="R40" s="667"/>
      <c r="S40" s="667"/>
      <c r="T40" s="667"/>
      <c r="U40" s="667"/>
    </row>
    <row r="41" spans="1:21" ht="14.25" customHeight="1" x14ac:dyDescent="0.2">
      <c r="A41" s="670" t="s">
        <v>32</v>
      </c>
      <c r="B41" s="671"/>
      <c r="C41" s="671"/>
      <c r="D41" s="671"/>
      <c r="E41" s="671"/>
      <c r="F41" s="671"/>
      <c r="G41" s="671"/>
      <c r="H41" s="671"/>
      <c r="I41" s="671"/>
      <c r="J41" s="671"/>
      <c r="K41" s="671"/>
      <c r="L41" s="671"/>
      <c r="M41" s="671"/>
      <c r="N41" s="671"/>
      <c r="O41" s="671"/>
      <c r="P41" s="671"/>
      <c r="Q41" s="671"/>
      <c r="R41" s="671"/>
      <c r="S41" s="671"/>
      <c r="T41" s="671"/>
      <c r="U41" s="671"/>
    </row>
    <row r="42" spans="1:21" ht="16" x14ac:dyDescent="0.2">
      <c r="A42" s="664" t="s">
        <v>33</v>
      </c>
      <c r="B42" s="665"/>
      <c r="C42" s="665"/>
      <c r="D42" s="665"/>
      <c r="E42" s="665"/>
      <c r="F42" s="665"/>
      <c r="G42" s="665"/>
      <c r="H42" s="665"/>
      <c r="I42" s="665"/>
      <c r="J42" s="665"/>
      <c r="K42" s="665"/>
      <c r="L42" s="665"/>
      <c r="M42" s="665"/>
      <c r="N42" s="665"/>
      <c r="O42" s="665"/>
      <c r="P42" s="665"/>
      <c r="Q42" s="665"/>
      <c r="R42" s="665"/>
      <c r="S42" s="665"/>
      <c r="T42" s="665"/>
      <c r="U42" s="665"/>
    </row>
    <row r="43" spans="1:21" s="109" customFormat="1" ht="16" x14ac:dyDescent="0.2">
      <c r="A43" s="106" t="s">
        <v>34</v>
      </c>
      <c r="T43" s="616" t="s">
        <v>35</v>
      </c>
      <c r="U43" s="616"/>
    </row>
    <row r="44" spans="1:21" s="109" customFormat="1" ht="16" x14ac:dyDescent="0.2">
      <c r="A44" s="106" t="str">
        <f>A5</f>
        <v>FIN320 Section B</v>
      </c>
    </row>
    <row r="45" spans="1:21" ht="6" customHeight="1" x14ac:dyDescent="0.2">
      <c r="A45" s="1"/>
      <c r="T45" s="613"/>
      <c r="U45" s="613"/>
    </row>
    <row r="46" spans="1:21" ht="15" x14ac:dyDescent="0.2">
      <c r="A46" s="48"/>
      <c r="B46" s="55"/>
      <c r="C46" s="55"/>
      <c r="D46" s="55"/>
      <c r="E46" s="55"/>
      <c r="F46" s="55"/>
      <c r="G46" s="55"/>
      <c r="H46" s="55"/>
      <c r="I46" s="661" t="s">
        <v>7</v>
      </c>
      <c r="J46" s="661"/>
      <c r="K46" s="661"/>
      <c r="L46" s="661"/>
      <c r="M46" s="661"/>
      <c r="N46" s="71"/>
      <c r="O46" s="71"/>
      <c r="P46" s="661" t="s">
        <v>8</v>
      </c>
      <c r="Q46" s="661"/>
      <c r="R46" s="661"/>
      <c r="S46" s="661"/>
      <c r="T46" s="661"/>
      <c r="U46" s="71"/>
    </row>
    <row r="47" spans="1:21" ht="15" x14ac:dyDescent="0.2">
      <c r="A47" s="49"/>
      <c r="B47" s="55"/>
      <c r="C47" s="55"/>
      <c r="D47" s="55"/>
      <c r="E47" s="55"/>
      <c r="F47" s="72"/>
      <c r="G47" s="72"/>
      <c r="H47" s="72"/>
      <c r="I47" s="662" t="s">
        <v>36</v>
      </c>
      <c r="J47" s="662"/>
      <c r="K47" s="662"/>
      <c r="L47" s="662"/>
      <c r="M47" s="662"/>
      <c r="N47" s="73"/>
      <c r="O47" s="73"/>
      <c r="P47" s="662" t="s">
        <v>37</v>
      </c>
      <c r="Q47" s="662"/>
      <c r="R47" s="662"/>
      <c r="S47" s="662"/>
      <c r="T47" s="662"/>
    </row>
    <row r="48" spans="1:21" ht="15" x14ac:dyDescent="0.2">
      <c r="A48" s="246" t="s">
        <v>38</v>
      </c>
      <c r="B48" s="247">
        <v>2021</v>
      </c>
      <c r="C48" s="246">
        <v>2022</v>
      </c>
      <c r="D48" s="246">
        <v>2023</v>
      </c>
      <c r="E48" s="246">
        <v>2024</v>
      </c>
      <c r="F48" s="246">
        <v>2025</v>
      </c>
      <c r="G48" s="244"/>
      <c r="H48" s="242"/>
      <c r="I48" s="242">
        <v>2025</v>
      </c>
      <c r="J48" s="242">
        <v>2024</v>
      </c>
      <c r="K48" s="242">
        <v>2023</v>
      </c>
      <c r="L48" s="242">
        <v>2022</v>
      </c>
      <c r="M48" s="243">
        <v>2021</v>
      </c>
      <c r="N48" s="244"/>
      <c r="O48" s="242"/>
      <c r="P48" s="242">
        <v>2025</v>
      </c>
      <c r="Q48" s="242">
        <v>2024</v>
      </c>
      <c r="R48" s="242">
        <v>2023</v>
      </c>
      <c r="S48" s="242">
        <v>2022</v>
      </c>
      <c r="T48" s="243">
        <v>2021</v>
      </c>
      <c r="U48" s="248"/>
    </row>
    <row r="49" spans="1:20" ht="15" x14ac:dyDescent="0.2">
      <c r="A49" s="50" t="s">
        <v>39</v>
      </c>
      <c r="B49" s="154"/>
      <c r="C49" s="154"/>
      <c r="D49" s="154"/>
      <c r="E49" s="154"/>
      <c r="F49" s="154"/>
      <c r="G49" s="74"/>
      <c r="H49" s="56"/>
      <c r="I49" s="75"/>
      <c r="J49" s="76"/>
      <c r="K49" s="76"/>
      <c r="L49" s="76"/>
      <c r="M49" s="76"/>
      <c r="N49" s="77"/>
      <c r="O49" s="76"/>
      <c r="P49" s="78"/>
      <c r="Q49" s="56"/>
      <c r="R49" s="56"/>
      <c r="S49" s="56"/>
      <c r="T49" s="56"/>
    </row>
    <row r="50" spans="1:20" ht="15" x14ac:dyDescent="0.2">
      <c r="A50" s="51" t="s">
        <v>40</v>
      </c>
      <c r="B50" s="154"/>
      <c r="C50" s="154"/>
      <c r="D50" s="154"/>
      <c r="E50" s="154"/>
      <c r="F50" s="154"/>
      <c r="G50" s="74"/>
      <c r="H50" s="56"/>
      <c r="I50" s="76"/>
      <c r="J50" s="76"/>
      <c r="K50" s="76"/>
      <c r="L50" s="76"/>
      <c r="M50" s="76"/>
      <c r="N50" s="77"/>
      <c r="O50" s="76"/>
      <c r="P50" s="56"/>
      <c r="Q50" s="56"/>
      <c r="R50" s="56"/>
      <c r="S50" s="56"/>
      <c r="T50" s="56"/>
    </row>
    <row r="51" spans="1:20" ht="15" x14ac:dyDescent="0.2">
      <c r="A51" s="51" t="s">
        <v>41</v>
      </c>
      <c r="B51" s="234">
        <v>1326.462</v>
      </c>
      <c r="C51" s="234">
        <v>1307.1410000000001</v>
      </c>
      <c r="D51" s="234">
        <v>2297.6750000000002</v>
      </c>
      <c r="E51" s="234">
        <v>1533.287</v>
      </c>
      <c r="F51" s="234">
        <v>2088.1170000000002</v>
      </c>
      <c r="G51" s="80"/>
      <c r="H51" s="79"/>
      <c r="I51" s="81">
        <f>B51/$B$64</f>
        <v>0.16995499170765008</v>
      </c>
      <c r="J51" s="81">
        <f>C51/$C$64</f>
        <v>0.15761780418793686</v>
      </c>
      <c r="K51" s="81">
        <f>D51/$D$64</f>
        <v>0.23720330165977013</v>
      </c>
      <c r="L51" s="81">
        <f>E51/$E$64</f>
        <v>0.19863574574668075</v>
      </c>
      <c r="M51" s="81">
        <f>F51/$F$64</f>
        <v>0.20904279681187554</v>
      </c>
      <c r="N51" s="82"/>
      <c r="O51" s="81"/>
      <c r="P51" s="147">
        <f>B51/$B$51</f>
        <v>1</v>
      </c>
      <c r="Q51" s="147">
        <f>C51/$B$51</f>
        <v>0.98543418507277258</v>
      </c>
      <c r="R51" s="147">
        <f>D51/$B$51</f>
        <v>1.7321830553758797</v>
      </c>
      <c r="S51" s="147">
        <f t="shared" ref="S51:T51" si="16">E51/$B$51</f>
        <v>1.1559222955501176</v>
      </c>
      <c r="T51" s="147">
        <f t="shared" si="16"/>
        <v>1.5742003917187226</v>
      </c>
    </row>
    <row r="52" spans="1:20" ht="15" x14ac:dyDescent="0.2">
      <c r="A52" s="51" t="s">
        <v>42</v>
      </c>
      <c r="B52" s="235">
        <v>1749.7270000000001</v>
      </c>
      <c r="C52" s="235">
        <v>1362.3140000000001</v>
      </c>
      <c r="D52" s="235">
        <v>955.60500000000002</v>
      </c>
      <c r="E52" s="235">
        <v>0</v>
      </c>
      <c r="F52" s="235">
        <v>677.08399999999995</v>
      </c>
      <c r="G52" s="85"/>
      <c r="H52" s="84"/>
      <c r="I52" s="81">
        <f t="shared" ref="I52:I64" si="17">B52/$B$64</f>
        <v>0.22418647332200356</v>
      </c>
      <c r="J52" s="81">
        <f t="shared" ref="J52:J64" si="18">C52/$C$64</f>
        <v>0.16427068028199332</v>
      </c>
      <c r="K52" s="81">
        <f t="shared" ref="K52:K64" si="19">D52/$D$64</f>
        <v>9.8653056277578255E-2</v>
      </c>
      <c r="L52" s="81">
        <f t="shared" ref="L52:L64" si="20">E52/$E$64</f>
        <v>0</v>
      </c>
      <c r="M52" s="81">
        <f t="shared" ref="M52:M64" si="21">F52/$F$64</f>
        <v>6.7783334476263502E-2</v>
      </c>
      <c r="N52" s="82"/>
      <c r="O52" s="81"/>
      <c r="P52" s="147">
        <f>B52/$B$52</f>
        <v>1</v>
      </c>
      <c r="Q52" s="147">
        <f t="shared" ref="Q52:T52" si="22">C52/$B$52</f>
        <v>0.77858660236711208</v>
      </c>
      <c r="R52" s="147">
        <f t="shared" si="22"/>
        <v>0.54614519865098954</v>
      </c>
      <c r="S52" s="147">
        <f t="shared" si="22"/>
        <v>0</v>
      </c>
      <c r="T52" s="147">
        <f t="shared" si="22"/>
        <v>0.38696550947662117</v>
      </c>
    </row>
    <row r="53" spans="1:20" ht="15" x14ac:dyDescent="0.2">
      <c r="A53" s="51" t="s">
        <v>43</v>
      </c>
      <c r="B53" s="234">
        <v>896.65800000000002</v>
      </c>
      <c r="C53" s="234">
        <v>1016.203</v>
      </c>
      <c r="D53" s="234">
        <v>1193.9639999999999</v>
      </c>
      <c r="E53" s="234">
        <v>1221.646</v>
      </c>
      <c r="F53" s="234">
        <v>1618.0719999999999</v>
      </c>
      <c r="G53" s="86"/>
      <c r="H53" s="61"/>
      <c r="I53" s="81">
        <f t="shared" si="17"/>
        <v>0.11488569062257201</v>
      </c>
      <c r="J53" s="81">
        <f t="shared" si="18"/>
        <v>0.12253588975419942</v>
      </c>
      <c r="K53" s="81">
        <f t="shared" si="19"/>
        <v>0.12326034050198821</v>
      </c>
      <c r="L53" s="81">
        <f t="shared" si="20"/>
        <v>0.15826297636936171</v>
      </c>
      <c r="M53" s="81">
        <f t="shared" si="21"/>
        <v>0.16198627582792777</v>
      </c>
      <c r="N53" s="82"/>
      <c r="O53" s="81"/>
      <c r="P53" s="147">
        <f>B53/$B$53</f>
        <v>1</v>
      </c>
      <c r="Q53" s="147">
        <f t="shared" ref="Q53:T53" si="23">C53/$B$53</f>
        <v>1.1333228499606316</v>
      </c>
      <c r="R53" s="147">
        <f t="shared" si="23"/>
        <v>1.3315712345175084</v>
      </c>
      <c r="S53" s="147">
        <f t="shared" si="23"/>
        <v>1.362443651871728</v>
      </c>
      <c r="T53" s="147">
        <f t="shared" si="23"/>
        <v>1.8045587057718773</v>
      </c>
    </row>
    <row r="54" spans="1:20" ht="15" x14ac:dyDescent="0.2">
      <c r="A54" s="51" t="s">
        <v>44</v>
      </c>
      <c r="B54" s="234">
        <v>593.35699999999997</v>
      </c>
      <c r="C54" s="234">
        <v>935.63099999999997</v>
      </c>
      <c r="D54" s="234">
        <v>971.40599999999995</v>
      </c>
      <c r="E54" s="234">
        <v>737.10699999999997</v>
      </c>
      <c r="F54" s="234">
        <v>799.62300000000005</v>
      </c>
      <c r="G54" s="86"/>
      <c r="H54" s="61"/>
      <c r="I54" s="81">
        <f t="shared" si="17"/>
        <v>7.6024781723619775E-2</v>
      </c>
      <c r="J54" s="81">
        <f t="shared" si="18"/>
        <v>0.11282034895253346</v>
      </c>
      <c r="K54" s="81">
        <f t="shared" si="19"/>
        <v>0.10028429192645202</v>
      </c>
      <c r="L54" s="81">
        <f t="shared" si="20"/>
        <v>9.5491449833004907E-2</v>
      </c>
      <c r="M54" s="81">
        <f t="shared" si="21"/>
        <v>8.0050796155149526E-2</v>
      </c>
      <c r="N54" s="82"/>
      <c r="O54" s="81"/>
      <c r="P54" s="147">
        <f>B54/$B$54</f>
        <v>1</v>
      </c>
      <c r="Q54" s="147">
        <f t="shared" ref="Q54:T54" si="24">C54/$B$54</f>
        <v>1.5768432832173549</v>
      </c>
      <c r="R54" s="147">
        <f t="shared" si="24"/>
        <v>1.6371358221104664</v>
      </c>
      <c r="S54" s="147">
        <f t="shared" si="24"/>
        <v>1.2422656174950326</v>
      </c>
      <c r="T54" s="147">
        <f t="shared" si="24"/>
        <v>1.3476254598833419</v>
      </c>
    </row>
    <row r="55" spans="1:20" ht="15" x14ac:dyDescent="0.2">
      <c r="A55" s="51" t="s">
        <v>45</v>
      </c>
      <c r="B55" s="234">
        <v>33.238</v>
      </c>
      <c r="C55" s="234">
        <v>33.784999999999997</v>
      </c>
      <c r="D55" s="234">
        <v>54.151000000000003</v>
      </c>
      <c r="E55" s="234">
        <v>42.201999999999998</v>
      </c>
      <c r="F55" s="234">
        <v>74.637</v>
      </c>
      <c r="G55" s="86"/>
      <c r="H55" s="61"/>
      <c r="I55" s="81">
        <f t="shared" si="17"/>
        <v>4.2586700669743072E-3</v>
      </c>
      <c r="J55" s="81">
        <f t="shared" si="18"/>
        <v>4.0738661816050806E-3</v>
      </c>
      <c r="K55" s="81">
        <f t="shared" si="19"/>
        <v>5.5903450175408672E-3</v>
      </c>
      <c r="L55" s="81">
        <f t="shared" si="20"/>
        <v>5.4672254718140956E-3</v>
      </c>
      <c r="M55" s="81">
        <f t="shared" si="21"/>
        <v>7.4719602520586514E-3</v>
      </c>
      <c r="N55" s="82"/>
      <c r="O55" s="81"/>
      <c r="P55" s="147">
        <f>B55/$B$55</f>
        <v>1</v>
      </c>
      <c r="Q55" s="147">
        <f t="shared" ref="Q55:T55" si="25">C55/$B$55</f>
        <v>1.0164570672122268</v>
      </c>
      <c r="R55" s="147">
        <f t="shared" si="25"/>
        <v>1.6291894819182864</v>
      </c>
      <c r="S55" s="147">
        <f t="shared" si="25"/>
        <v>1.2696913171670978</v>
      </c>
      <c r="T55" s="147">
        <f t="shared" si="25"/>
        <v>2.2455322221553642</v>
      </c>
    </row>
    <row r="56" spans="1:20" ht="15" x14ac:dyDescent="0.2">
      <c r="A56" s="51" t="s">
        <v>46</v>
      </c>
      <c r="B56" s="234">
        <v>82.668000000000006</v>
      </c>
      <c r="C56" s="234">
        <v>109.82299999999999</v>
      </c>
      <c r="D56" s="234">
        <v>116.19499999999999</v>
      </c>
      <c r="E56" s="234">
        <v>107.262</v>
      </c>
      <c r="F56" s="234">
        <v>103.551</v>
      </c>
      <c r="G56" s="86"/>
      <c r="H56" s="61"/>
      <c r="I56" s="81">
        <f t="shared" si="17"/>
        <v>1.0591965133179856E-2</v>
      </c>
      <c r="J56" s="81">
        <f t="shared" si="18"/>
        <v>1.3242687750848445E-2</v>
      </c>
      <c r="K56" s="81">
        <f t="shared" si="19"/>
        <v>1.1995533587803753E-2</v>
      </c>
      <c r="L56" s="81">
        <f t="shared" si="20"/>
        <v>1.3895681213158702E-2</v>
      </c>
      <c r="M56" s="81">
        <f t="shared" si="21"/>
        <v>1.0366560232336848E-2</v>
      </c>
      <c r="N56" s="82"/>
      <c r="O56" s="81"/>
      <c r="P56" s="147">
        <f>B56/$B$56</f>
        <v>1</v>
      </c>
      <c r="Q56" s="147">
        <f t="shared" ref="Q56:T56" si="26">C56/$B$56</f>
        <v>1.3284826051192722</v>
      </c>
      <c r="R56" s="147">
        <f t="shared" si="26"/>
        <v>1.4055620070644019</v>
      </c>
      <c r="S56" s="147">
        <f t="shared" si="26"/>
        <v>1.2975032660763535</v>
      </c>
      <c r="T56" s="147">
        <f t="shared" si="26"/>
        <v>1.2526128610828857</v>
      </c>
    </row>
    <row r="57" spans="1:20" ht="15" x14ac:dyDescent="0.2">
      <c r="A57" s="121" t="s">
        <v>47</v>
      </c>
      <c r="B57" s="236">
        <v>4682.1099999999997</v>
      </c>
      <c r="C57" s="236">
        <v>4764.8969999999999</v>
      </c>
      <c r="D57" s="236">
        <v>5588.9960000000001</v>
      </c>
      <c r="E57" s="236">
        <v>3641.5039999999999</v>
      </c>
      <c r="F57" s="236">
        <v>5361.0839999999998</v>
      </c>
      <c r="G57" s="88"/>
      <c r="H57" s="87"/>
      <c r="I57" s="81">
        <f t="shared" si="17"/>
        <v>0.59990257257599955</v>
      </c>
      <c r="J57" s="81">
        <f t="shared" si="18"/>
        <v>0.57456127710911653</v>
      </c>
      <c r="K57" s="81">
        <f t="shared" si="19"/>
        <v>0.57698686897113327</v>
      </c>
      <c r="L57" s="81">
        <f t="shared" si="20"/>
        <v>0.47175307863402016</v>
      </c>
      <c r="M57" s="81">
        <f t="shared" si="21"/>
        <v>0.53670172375561187</v>
      </c>
      <c r="N57" s="90"/>
      <c r="O57" s="89"/>
      <c r="P57" s="148">
        <f>B57/$B$57</f>
        <v>1</v>
      </c>
      <c r="Q57" s="148">
        <f t="shared" ref="Q57:T57" si="27">C57/$B$57</f>
        <v>1.0176815581009417</v>
      </c>
      <c r="R57" s="148">
        <f t="shared" si="27"/>
        <v>1.19369173300072</v>
      </c>
      <c r="S57" s="148">
        <f t="shared" si="27"/>
        <v>0.77774849373466237</v>
      </c>
      <c r="T57" s="148">
        <f t="shared" si="27"/>
        <v>1.145014534045548</v>
      </c>
    </row>
    <row r="58" spans="1:20" ht="15" x14ac:dyDescent="0.2">
      <c r="A58" s="146" t="s">
        <v>48</v>
      </c>
      <c r="B58" s="237">
        <v>99.418999999999997</v>
      </c>
      <c r="C58" s="237">
        <v>61.442999999999998</v>
      </c>
      <c r="D58" s="237">
        <v>76.430999999999997</v>
      </c>
      <c r="E58" s="237">
        <v>0</v>
      </c>
      <c r="F58" s="237">
        <v>487.32900000000001</v>
      </c>
      <c r="G58" s="140"/>
      <c r="H58" s="61"/>
      <c r="I58" s="81">
        <f t="shared" si="17"/>
        <v>1.2738212870465089E-2</v>
      </c>
      <c r="J58" s="81">
        <f t="shared" si="18"/>
        <v>7.4089258486417335E-3</v>
      </c>
      <c r="K58" s="81">
        <f t="shared" si="19"/>
        <v>7.8904481918277772E-3</v>
      </c>
      <c r="L58" s="81">
        <f t="shared" si="20"/>
        <v>0</v>
      </c>
      <c r="M58" s="81">
        <f t="shared" si="21"/>
        <v>4.8786833844815448E-2</v>
      </c>
      <c r="N58" s="82"/>
      <c r="O58" s="81"/>
      <c r="P58" s="147">
        <f>B58/$B$58</f>
        <v>1</v>
      </c>
      <c r="Q58" s="147">
        <f t="shared" ref="Q58:T58" si="28">C58/$B$58</f>
        <v>0.61802070026856037</v>
      </c>
      <c r="R58" s="147">
        <f t="shared" si="28"/>
        <v>0.7687765919995172</v>
      </c>
      <c r="S58" s="147">
        <f t="shared" si="28"/>
        <v>0</v>
      </c>
      <c r="T58" s="147">
        <f t="shared" si="28"/>
        <v>4.9017692795139762</v>
      </c>
    </row>
    <row r="59" spans="1:20" ht="15" x14ac:dyDescent="0.2">
      <c r="A59" s="146" t="s">
        <v>49</v>
      </c>
      <c r="B59" s="237">
        <v>313.75299999999999</v>
      </c>
      <c r="C59" s="237">
        <v>516.89700000000005</v>
      </c>
      <c r="D59" s="237">
        <v>890.79600000000005</v>
      </c>
      <c r="E59" s="237">
        <v>1047.0239999999999</v>
      </c>
      <c r="F59" s="237">
        <v>1081.5440000000001</v>
      </c>
      <c r="G59" s="140"/>
      <c r="H59" s="61"/>
      <c r="I59" s="81">
        <f t="shared" si="17"/>
        <v>4.0200087536054807E-2</v>
      </c>
      <c r="J59" s="81">
        <f t="shared" si="18"/>
        <v>6.2328524720234466E-2</v>
      </c>
      <c r="K59" s="81">
        <f t="shared" si="19"/>
        <v>9.196241953510248E-2</v>
      </c>
      <c r="L59" s="81">
        <f t="shared" si="20"/>
        <v>0.13564087679258521</v>
      </c>
      <c r="M59" s="81">
        <f t="shared" si="21"/>
        <v>0.10827409701424927</v>
      </c>
      <c r="N59" s="82"/>
      <c r="O59" s="81"/>
      <c r="P59" s="147">
        <f>B59/$B$59</f>
        <v>1</v>
      </c>
      <c r="Q59" s="147">
        <f t="shared" ref="Q59:T59" si="29">C59/$B$59</f>
        <v>1.6474647254368884</v>
      </c>
      <c r="R59" s="147">
        <f t="shared" si="29"/>
        <v>2.8391632908689322</v>
      </c>
      <c r="S59" s="147">
        <f t="shared" si="29"/>
        <v>3.3370963783613221</v>
      </c>
      <c r="T59" s="147">
        <f t="shared" si="29"/>
        <v>3.4471192307324556</v>
      </c>
    </row>
    <row r="60" spans="1:20" ht="15" x14ac:dyDescent="0.2">
      <c r="A60" s="146" t="s">
        <v>50</v>
      </c>
      <c r="B60" s="237">
        <v>225.221</v>
      </c>
      <c r="C60" s="237">
        <v>177.03899999999999</v>
      </c>
      <c r="D60" s="237">
        <v>175.00299999999999</v>
      </c>
      <c r="E60" s="237">
        <v>184.26</v>
      </c>
      <c r="F60" s="237">
        <v>188.64599999999999</v>
      </c>
      <c r="G60" s="140"/>
      <c r="H60" s="61"/>
      <c r="I60" s="81">
        <f t="shared" si="17"/>
        <v>2.8856788349299611E-2</v>
      </c>
      <c r="J60" s="81">
        <f t="shared" si="18"/>
        <v>2.1347734051359531E-2</v>
      </c>
      <c r="K60" s="81">
        <f t="shared" si="19"/>
        <v>1.8066649722160336E-2</v>
      </c>
      <c r="L60" s="81">
        <f t="shared" si="20"/>
        <v>2.3870692513067279E-2</v>
      </c>
      <c r="M60" s="81">
        <f t="shared" si="21"/>
        <v>1.888547789581382E-2</v>
      </c>
      <c r="N60" s="82"/>
      <c r="O60" s="81"/>
      <c r="P60" s="147">
        <f>B60/$B$60</f>
        <v>1</v>
      </c>
      <c r="Q60" s="147">
        <f t="shared" ref="Q60:T60" si="30">C60/$B$60</f>
        <v>0.78606790663392834</v>
      </c>
      <c r="R60" s="147">
        <f t="shared" si="30"/>
        <v>0.7770278970433484</v>
      </c>
      <c r="S60" s="147">
        <f t="shared" si="30"/>
        <v>0.81812974811407457</v>
      </c>
      <c r="T60" s="147">
        <f t="shared" si="30"/>
        <v>0.83760395345016669</v>
      </c>
    </row>
    <row r="61" spans="1:20" ht="15" x14ac:dyDescent="0.2">
      <c r="A61" s="146" t="s">
        <v>51</v>
      </c>
      <c r="B61" s="237">
        <v>1331.643</v>
      </c>
      <c r="C61" s="237">
        <v>1417.941</v>
      </c>
      <c r="D61" s="237">
        <v>1417.941</v>
      </c>
      <c r="E61" s="237">
        <v>1331.643</v>
      </c>
      <c r="F61" s="237">
        <v>1331.643</v>
      </c>
      <c r="G61" s="140"/>
      <c r="H61" s="61"/>
      <c r="I61" s="81">
        <f t="shared" si="17"/>
        <v>0.17061881533172477</v>
      </c>
      <c r="J61" s="81">
        <f t="shared" si="18"/>
        <v>0.17097830064855082</v>
      </c>
      <c r="K61" s="81">
        <f t="shared" si="19"/>
        <v>0.14638288128597651</v>
      </c>
      <c r="L61" s="81">
        <f t="shared" si="20"/>
        <v>0.17251297400509311</v>
      </c>
      <c r="M61" s="81">
        <f t="shared" si="21"/>
        <v>0.13331167605788199</v>
      </c>
      <c r="N61" s="82"/>
      <c r="O61" s="81"/>
      <c r="P61" s="147">
        <f>B61/$B$61</f>
        <v>1</v>
      </c>
      <c r="Q61" s="147">
        <f t="shared" ref="Q61:T61" si="31">C61/$B$61</f>
        <v>1.0648056573721336</v>
      </c>
      <c r="R61" s="147">
        <f t="shared" si="31"/>
        <v>1.0648056573721336</v>
      </c>
      <c r="S61" s="147">
        <f t="shared" si="31"/>
        <v>1</v>
      </c>
      <c r="T61" s="147">
        <f t="shared" si="31"/>
        <v>1</v>
      </c>
    </row>
    <row r="62" spans="1:20" ht="15" x14ac:dyDescent="0.2">
      <c r="A62" s="146" t="s">
        <v>52</v>
      </c>
      <c r="B62" s="237">
        <v>1072.386</v>
      </c>
      <c r="C62" s="237">
        <v>1220.4100000000001</v>
      </c>
      <c r="D62" s="237">
        <v>1427.1389999999999</v>
      </c>
      <c r="E62" s="237">
        <v>1414.252</v>
      </c>
      <c r="F62" s="237">
        <v>1379.268</v>
      </c>
      <c r="G62" s="140"/>
      <c r="H62" s="61"/>
      <c r="I62" s="81">
        <f t="shared" si="17"/>
        <v>0.1374011119333988</v>
      </c>
      <c r="J62" s="81">
        <f t="shared" si="18"/>
        <v>0.14715959824456584</v>
      </c>
      <c r="K62" s="81">
        <f t="shared" si="19"/>
        <v>0.14733244811708474</v>
      </c>
      <c r="L62" s="81">
        <f t="shared" si="20"/>
        <v>0.18321488455438201</v>
      </c>
      <c r="M62" s="81">
        <f t="shared" si="21"/>
        <v>0.13807944682846887</v>
      </c>
      <c r="N62" s="82"/>
      <c r="O62" s="81"/>
      <c r="P62" s="147">
        <f>B62/$B$62</f>
        <v>1</v>
      </c>
      <c r="Q62" s="147">
        <f t="shared" ref="Q62:T62" si="32">C62/$B$62</f>
        <v>1.1380323875917815</v>
      </c>
      <c r="R62" s="147">
        <f t="shared" si="32"/>
        <v>1.3308071906943955</v>
      </c>
      <c r="S62" s="147">
        <f t="shared" si="32"/>
        <v>1.3187900625334534</v>
      </c>
      <c r="T62" s="147">
        <f t="shared" si="32"/>
        <v>1.2861674807392116</v>
      </c>
    </row>
    <row r="63" spans="1:20" ht="15" x14ac:dyDescent="0.2">
      <c r="A63" s="146" t="s">
        <v>53</v>
      </c>
      <c r="B63" s="237">
        <v>80.251999999999995</v>
      </c>
      <c r="C63" s="237">
        <v>134.47800000000001</v>
      </c>
      <c r="D63" s="237">
        <v>110.21599999999999</v>
      </c>
      <c r="E63" s="237">
        <v>100.40600000000001</v>
      </c>
      <c r="F63" s="237">
        <v>159.43100000000001</v>
      </c>
      <c r="G63" s="140"/>
      <c r="H63" s="61"/>
      <c r="I63" s="81">
        <f t="shared" si="17"/>
        <v>1.0282411403057407E-2</v>
      </c>
      <c r="J63" s="81">
        <f t="shared" si="18"/>
        <v>1.6215639377531097E-2</v>
      </c>
      <c r="K63" s="81">
        <f t="shared" si="19"/>
        <v>1.1378284176714819E-2</v>
      </c>
      <c r="L63" s="81">
        <f t="shared" si="20"/>
        <v>1.3007493500852238E-2</v>
      </c>
      <c r="M63" s="81">
        <f t="shared" si="21"/>
        <v>1.5960744603158793E-2</v>
      </c>
      <c r="N63" s="82"/>
      <c r="O63" s="81"/>
      <c r="P63" s="147">
        <f>B63/$B$63</f>
        <v>1</v>
      </c>
      <c r="Q63" s="147">
        <f t="shared" ref="Q63:T63" si="33">C63/$B$63</f>
        <v>1.6756965558490755</v>
      </c>
      <c r="R63" s="147">
        <f t="shared" si="33"/>
        <v>1.3733738723022479</v>
      </c>
      <c r="S63" s="147">
        <f t="shared" si="33"/>
        <v>1.251133928126402</v>
      </c>
      <c r="T63" s="147">
        <f t="shared" si="33"/>
        <v>1.986629616707372</v>
      </c>
    </row>
    <row r="64" spans="1:20" ht="15" x14ac:dyDescent="0.2">
      <c r="A64" s="121" t="s">
        <v>54</v>
      </c>
      <c r="B64" s="236">
        <v>7804.7839999999997</v>
      </c>
      <c r="C64" s="236">
        <v>8293.1049999999996</v>
      </c>
      <c r="D64" s="236">
        <v>9686.5220000000008</v>
      </c>
      <c r="E64" s="236">
        <v>7719.0889999999999</v>
      </c>
      <c r="F64" s="236">
        <v>9988.9449999999997</v>
      </c>
      <c r="G64" s="88"/>
      <c r="H64" s="87"/>
      <c r="I64" s="81">
        <f t="shared" si="17"/>
        <v>1</v>
      </c>
      <c r="J64" s="81">
        <f t="shared" si="18"/>
        <v>1</v>
      </c>
      <c r="K64" s="81">
        <f t="shared" si="19"/>
        <v>1</v>
      </c>
      <c r="L64" s="81">
        <f t="shared" si="20"/>
        <v>1</v>
      </c>
      <c r="M64" s="81">
        <f t="shared" si="21"/>
        <v>1</v>
      </c>
      <c r="N64" s="90"/>
      <c r="O64" s="89"/>
      <c r="P64" s="148">
        <f>B64/$B$64</f>
        <v>1</v>
      </c>
      <c r="Q64" s="148">
        <f t="shared" ref="Q64:T64" si="34">C64/$B$64</f>
        <v>1.0625668820559289</v>
      </c>
      <c r="R64" s="148">
        <f t="shared" si="34"/>
        <v>1.2411005865120677</v>
      </c>
      <c r="S64" s="148">
        <f t="shared" si="34"/>
        <v>0.98902019581835965</v>
      </c>
      <c r="T64" s="148">
        <f t="shared" si="34"/>
        <v>1.2798490003054537</v>
      </c>
    </row>
    <row r="65" spans="1:20" ht="8.25" customHeight="1" x14ac:dyDescent="0.2">
      <c r="A65" s="111"/>
      <c r="B65" s="238"/>
      <c r="C65" s="238"/>
      <c r="D65" s="238"/>
      <c r="E65" s="238"/>
      <c r="F65" s="238"/>
      <c r="G65" s="118"/>
      <c r="H65" s="113"/>
      <c r="I65" s="114"/>
      <c r="J65" s="114"/>
      <c r="K65" s="114"/>
      <c r="L65" s="114"/>
      <c r="M65" s="114"/>
      <c r="N65" s="119"/>
      <c r="O65" s="114"/>
      <c r="P65" s="149"/>
      <c r="Q65" s="149"/>
      <c r="R65" s="149"/>
      <c r="S65" s="149"/>
      <c r="T65" s="149"/>
    </row>
    <row r="66" spans="1:20" ht="15" x14ac:dyDescent="0.2">
      <c r="A66" s="50" t="s">
        <v>55</v>
      </c>
      <c r="B66" s="234"/>
      <c r="C66" s="234"/>
      <c r="D66" s="234"/>
      <c r="E66" s="234"/>
      <c r="F66" s="234"/>
      <c r="G66" s="86"/>
      <c r="H66" s="61"/>
      <c r="I66" s="81"/>
      <c r="J66" s="81"/>
      <c r="K66" s="81"/>
      <c r="L66" s="81"/>
      <c r="M66" s="81"/>
      <c r="N66" s="82"/>
      <c r="O66" s="81"/>
      <c r="P66" s="147"/>
      <c r="Q66" s="147"/>
      <c r="R66" s="147"/>
      <c r="S66" s="147"/>
      <c r="T66" s="147"/>
    </row>
    <row r="67" spans="1:20" ht="15" x14ac:dyDescent="0.2">
      <c r="A67" s="51" t="s">
        <v>56</v>
      </c>
      <c r="B67" s="234"/>
      <c r="C67" s="234"/>
      <c r="D67" s="234"/>
      <c r="E67" s="234"/>
      <c r="F67" s="234"/>
      <c r="G67" s="86"/>
      <c r="H67" s="61"/>
      <c r="I67" s="81"/>
      <c r="J67" s="81"/>
      <c r="K67" s="81"/>
      <c r="L67" s="81"/>
      <c r="M67" s="81"/>
      <c r="N67" s="82"/>
      <c r="O67" s="81"/>
      <c r="P67" s="147"/>
      <c r="Q67" s="147"/>
      <c r="R67" s="147"/>
      <c r="S67" s="147"/>
      <c r="T67" s="147"/>
    </row>
    <row r="68" spans="1:20" ht="15" x14ac:dyDescent="0.2">
      <c r="A68" s="146" t="s">
        <v>57</v>
      </c>
      <c r="B68" s="237">
        <v>404.26299999999998</v>
      </c>
      <c r="C68" s="237">
        <v>444.26499999999999</v>
      </c>
      <c r="D68" s="237">
        <v>564.37900000000002</v>
      </c>
      <c r="E68" s="237">
        <v>466.77499999999998</v>
      </c>
      <c r="F68" s="237">
        <v>565.97400000000005</v>
      </c>
      <c r="G68" s="86"/>
      <c r="H68" s="61"/>
      <c r="I68" s="81">
        <f>B68/$B$78</f>
        <v>0.32658928950835853</v>
      </c>
      <c r="J68" s="81">
        <f>C68/$C$78</f>
        <v>0.3503490360108007</v>
      </c>
      <c r="K68" s="81">
        <f>D68/$D$78</f>
        <v>0.38715016964174243</v>
      </c>
      <c r="L68" s="81">
        <f>E68/$E$78</f>
        <v>0.26500663403678154</v>
      </c>
      <c r="M68" s="81">
        <f>F68/$F$78</f>
        <v>0.32624044794986506</v>
      </c>
      <c r="N68" s="82"/>
      <c r="O68" s="81"/>
      <c r="P68" s="147">
        <f>B68/$B$68</f>
        <v>1</v>
      </c>
      <c r="Q68" s="147">
        <f t="shared" ref="Q68:T68" si="35">C68/$B$68</f>
        <v>1.0989504357311948</v>
      </c>
      <c r="R68" s="147">
        <f t="shared" si="35"/>
        <v>1.3960688957436125</v>
      </c>
      <c r="S68" s="147">
        <f t="shared" si="35"/>
        <v>1.1546320093602431</v>
      </c>
      <c r="T68" s="147">
        <f t="shared" si="35"/>
        <v>1.4000143470958264</v>
      </c>
    </row>
    <row r="69" spans="1:20" ht="15" x14ac:dyDescent="0.2">
      <c r="A69" s="146" t="s">
        <v>58</v>
      </c>
      <c r="B69" s="237">
        <v>210.964</v>
      </c>
      <c r="C69" s="237">
        <v>172.99100000000001</v>
      </c>
      <c r="D69" s="237">
        <v>183.988</v>
      </c>
      <c r="E69" s="237">
        <v>220.76400000000001</v>
      </c>
      <c r="F69" s="237">
        <v>306.08499999999998</v>
      </c>
      <c r="G69" s="86"/>
      <c r="H69" s="61"/>
      <c r="I69" s="81">
        <f t="shared" ref="I69:I78" si="36">B69/$B$78</f>
        <v>0.17043009840584311</v>
      </c>
      <c r="J69" s="81">
        <f t="shared" ref="J69:J78" si="37">C69/$C$78</f>
        <v>0.13642134781840665</v>
      </c>
      <c r="K69" s="81">
        <f t="shared" ref="K69:K78" si="38">D69/$D$78</f>
        <v>0.12621126124828336</v>
      </c>
      <c r="L69" s="81">
        <f t="shared" ref="L69:L78" si="39">E69/$E$78</f>
        <v>0.12533645665791024</v>
      </c>
      <c r="M69" s="81">
        <f t="shared" ref="M69:M78" si="40">F69/$F$78</f>
        <v>0.17643444312059287</v>
      </c>
      <c r="N69" s="82"/>
      <c r="O69" s="81"/>
      <c r="P69" s="147">
        <f>B69/$B$69</f>
        <v>1</v>
      </c>
      <c r="Q69" s="147">
        <f t="shared" ref="Q69:T69" si="41">C69/$B$69</f>
        <v>0.82000246487552386</v>
      </c>
      <c r="R69" s="147">
        <f t="shared" si="41"/>
        <v>0.87212984205836064</v>
      </c>
      <c r="S69" s="147">
        <f t="shared" si="41"/>
        <v>1.046453423332891</v>
      </c>
      <c r="T69" s="147">
        <f t="shared" si="41"/>
        <v>1.4508873551885628</v>
      </c>
    </row>
    <row r="70" spans="1:20" ht="15" x14ac:dyDescent="0.2">
      <c r="A70" s="146" t="s">
        <v>59</v>
      </c>
      <c r="B70" s="237">
        <v>211.46100000000001</v>
      </c>
      <c r="C70" s="237">
        <v>255.631</v>
      </c>
      <c r="D70" s="237">
        <v>269.06099999999998</v>
      </c>
      <c r="E70" s="237">
        <v>267.71100000000001</v>
      </c>
      <c r="F70" s="237">
        <v>384.07</v>
      </c>
      <c r="G70" s="86"/>
      <c r="H70" s="61"/>
      <c r="I70" s="81">
        <f t="shared" si="36"/>
        <v>0.1708316065252744</v>
      </c>
      <c r="J70" s="81">
        <f t="shared" si="37"/>
        <v>0.20159156004744239</v>
      </c>
      <c r="K70" s="81">
        <f t="shared" si="38"/>
        <v>0.18456925540102812</v>
      </c>
      <c r="L70" s="81">
        <f t="shared" si="39"/>
        <v>0.15199012587353827</v>
      </c>
      <c r="M70" s="81">
        <f t="shared" si="40"/>
        <v>0.22138679311082252</v>
      </c>
      <c r="N70" s="82"/>
      <c r="O70" s="81"/>
      <c r="P70" s="147">
        <f>B70/$B$70</f>
        <v>1</v>
      </c>
      <c r="Q70" s="147">
        <f t="shared" ref="Q70:T70" si="42">C70/$B$70</f>
        <v>1.2088801244673959</v>
      </c>
      <c r="R70" s="147">
        <f t="shared" si="42"/>
        <v>1.2723906535956984</v>
      </c>
      <c r="S70" s="147">
        <f t="shared" si="42"/>
        <v>1.2660064976520493</v>
      </c>
      <c r="T70" s="147">
        <f t="shared" si="42"/>
        <v>1.816268720946179</v>
      </c>
    </row>
    <row r="71" spans="1:20" ht="15" x14ac:dyDescent="0.2">
      <c r="A71" s="146" t="s">
        <v>60</v>
      </c>
      <c r="B71" s="237">
        <v>42.53</v>
      </c>
      <c r="C71" s="237">
        <v>43.311</v>
      </c>
      <c r="D71" s="237">
        <v>41.914000000000001</v>
      </c>
      <c r="E71" s="237">
        <v>45.808999999999997</v>
      </c>
      <c r="F71" s="237">
        <v>45.323</v>
      </c>
      <c r="G71" s="86"/>
      <c r="H71" s="61"/>
      <c r="I71" s="81">
        <f t="shared" si="36"/>
        <v>3.4358431226183178E-2</v>
      </c>
      <c r="J71" s="81">
        <f t="shared" si="37"/>
        <v>3.4155216140510258E-2</v>
      </c>
      <c r="K71" s="81">
        <f t="shared" si="38"/>
        <v>2.8751977324393701E-2</v>
      </c>
      <c r="L71" s="81">
        <f t="shared" si="39"/>
        <v>2.6007581594110495E-2</v>
      </c>
      <c r="M71" s="81">
        <f t="shared" si="40"/>
        <v>2.6125220986179105E-2</v>
      </c>
      <c r="N71" s="82"/>
      <c r="O71" s="81"/>
      <c r="P71" s="147">
        <f>B71/$B$71</f>
        <v>1</v>
      </c>
      <c r="Q71" s="147">
        <f t="shared" ref="Q71:T71" si="43">C71/$B$71</f>
        <v>1.0183635081119209</v>
      </c>
      <c r="R71" s="147">
        <f t="shared" si="43"/>
        <v>0.98551610627792152</v>
      </c>
      <c r="S71" s="147">
        <f t="shared" si="43"/>
        <v>1.0770985186926874</v>
      </c>
      <c r="T71" s="147">
        <f t="shared" si="43"/>
        <v>1.0656712908535151</v>
      </c>
    </row>
    <row r="72" spans="1:20" ht="15" x14ac:dyDescent="0.2">
      <c r="A72" s="146" t="s">
        <v>61</v>
      </c>
      <c r="B72" s="237">
        <v>65.459000000000003</v>
      </c>
      <c r="C72" s="237">
        <v>72.462999999999994</v>
      </c>
      <c r="D72" s="237">
        <v>87.391999999999996</v>
      </c>
      <c r="E72" s="237">
        <v>92.453999999999994</v>
      </c>
      <c r="F72" s="237">
        <v>114.023</v>
      </c>
      <c r="G72" s="86"/>
      <c r="H72" s="61"/>
      <c r="I72" s="81">
        <f t="shared" si="36"/>
        <v>5.2881931569121195E-2</v>
      </c>
      <c r="J72" s="81">
        <f t="shared" si="37"/>
        <v>5.714459207106265E-2</v>
      </c>
      <c r="K72" s="81">
        <f t="shared" si="38"/>
        <v>5.9948771349272657E-2</v>
      </c>
      <c r="L72" s="81">
        <f t="shared" si="39"/>
        <v>5.2489793462024745E-2</v>
      </c>
      <c r="M72" s="81">
        <f t="shared" si="40"/>
        <v>6.572548314337312E-2</v>
      </c>
      <c r="N72" s="82"/>
      <c r="O72" s="81"/>
      <c r="P72" s="147">
        <f>B72/$B$72</f>
        <v>1</v>
      </c>
      <c r="Q72" s="147">
        <f t="shared" ref="Q72:T72" si="44">C72/$B$72</f>
        <v>1.1069982737285933</v>
      </c>
      <c r="R72" s="147">
        <f t="shared" si="44"/>
        <v>1.3350646969858995</v>
      </c>
      <c r="S72" s="147">
        <f t="shared" si="44"/>
        <v>1.4123955453031667</v>
      </c>
      <c r="T72" s="147">
        <f t="shared" si="44"/>
        <v>1.7418995096167065</v>
      </c>
    </row>
    <row r="73" spans="1:20" ht="15" x14ac:dyDescent="0.2">
      <c r="A73" s="146" t="s">
        <v>62</v>
      </c>
      <c r="B73" s="237">
        <v>30.399000000000001</v>
      </c>
      <c r="C73" s="237">
        <v>13.317</v>
      </c>
      <c r="D73" s="237">
        <v>14.955</v>
      </c>
      <c r="E73" s="237">
        <v>4.0060000000000002</v>
      </c>
      <c r="F73" s="237">
        <v>32.305</v>
      </c>
      <c r="G73" s="86"/>
      <c r="H73" s="61"/>
      <c r="I73" s="81">
        <f t="shared" si="36"/>
        <v>2.4558240085698152E-2</v>
      </c>
      <c r="J73" s="81">
        <f t="shared" si="37"/>
        <v>1.0501835869482928E-2</v>
      </c>
      <c r="K73" s="81">
        <f t="shared" si="38"/>
        <v>1.0258763680066512E-2</v>
      </c>
      <c r="L73" s="81">
        <f t="shared" si="39"/>
        <v>2.2743646852366709E-3</v>
      </c>
      <c r="M73" s="81">
        <f t="shared" si="40"/>
        <v>1.8621345982360302E-2</v>
      </c>
      <c r="N73" s="82"/>
      <c r="O73" s="81"/>
      <c r="P73" s="147">
        <f>B73/$B$73</f>
        <v>1</v>
      </c>
      <c r="Q73" s="147">
        <f t="shared" ref="Q73:T73" si="45">C73/$B$73</f>
        <v>0.43807362084279089</v>
      </c>
      <c r="R73" s="147">
        <f t="shared" si="45"/>
        <v>0.49195697226882462</v>
      </c>
      <c r="S73" s="147">
        <f t="shared" si="45"/>
        <v>0.13178065067929867</v>
      </c>
      <c r="T73" s="147">
        <f t="shared" si="45"/>
        <v>1.0626994309023323</v>
      </c>
    </row>
    <row r="74" spans="1:20" ht="15" x14ac:dyDescent="0.2">
      <c r="A74" s="121" t="s">
        <v>63</v>
      </c>
      <c r="B74" s="236">
        <v>965.07600000000002</v>
      </c>
      <c r="C74" s="236">
        <v>1001.978</v>
      </c>
      <c r="D74" s="236">
        <v>1161.6890000000001</v>
      </c>
      <c r="E74" s="236">
        <v>1097.519</v>
      </c>
      <c r="F74" s="236">
        <v>1447.78</v>
      </c>
      <c r="G74" s="88"/>
      <c r="H74" s="87"/>
      <c r="I74" s="81">
        <f t="shared" si="36"/>
        <v>0.77964959732047856</v>
      </c>
      <c r="J74" s="81">
        <f t="shared" si="37"/>
        <v>0.79016358795770547</v>
      </c>
      <c r="K74" s="81">
        <f t="shared" si="38"/>
        <v>0.79689019864478683</v>
      </c>
      <c r="L74" s="81">
        <f t="shared" si="39"/>
        <v>0.62310495630960194</v>
      </c>
      <c r="M74" s="81">
        <f t="shared" si="40"/>
        <v>0.834533734293193</v>
      </c>
      <c r="N74" s="90"/>
      <c r="O74" s="89"/>
      <c r="P74" s="148">
        <f>B74/$B$74</f>
        <v>1</v>
      </c>
      <c r="Q74" s="148">
        <f t="shared" ref="Q74:T74" si="46">C74/$B$74</f>
        <v>1.0382374030646291</v>
      </c>
      <c r="R74" s="148">
        <f t="shared" si="46"/>
        <v>1.203727996551567</v>
      </c>
      <c r="S74" s="148">
        <f t="shared" si="46"/>
        <v>1.137235823914386</v>
      </c>
      <c r="T74" s="148">
        <f t="shared" si="46"/>
        <v>1.5001720071787092</v>
      </c>
    </row>
    <row r="75" spans="1:20" ht="15" x14ac:dyDescent="0.2">
      <c r="A75" s="146" t="s">
        <v>64</v>
      </c>
      <c r="B75" s="237">
        <v>243.249</v>
      </c>
      <c r="C75" s="237">
        <v>223.8</v>
      </c>
      <c r="D75" s="237">
        <v>204.251</v>
      </c>
      <c r="E75" s="237">
        <v>179.00800000000001</v>
      </c>
      <c r="F75" s="237">
        <v>159.99100000000001</v>
      </c>
      <c r="G75" s="86"/>
      <c r="H75" s="61"/>
      <c r="I75" s="81">
        <f t="shared" si="36"/>
        <v>0.1965119689004898</v>
      </c>
      <c r="J75" s="81">
        <f t="shared" si="37"/>
        <v>0.17648951472480884</v>
      </c>
      <c r="K75" s="81">
        <f t="shared" si="38"/>
        <v>0.14011118290988064</v>
      </c>
      <c r="L75" s="81">
        <f t="shared" si="39"/>
        <v>0.10162992350844882</v>
      </c>
      <c r="M75" s="81">
        <f t="shared" si="40"/>
        <v>9.2222496983866503E-2</v>
      </c>
      <c r="N75" s="93"/>
      <c r="O75" s="92"/>
      <c r="P75" s="150">
        <f>B75/$B$75</f>
        <v>1</v>
      </c>
      <c r="Q75" s="150">
        <f t="shared" ref="Q75:T75" si="47">C75/$B$75</f>
        <v>0.92004489227088304</v>
      </c>
      <c r="R75" s="150">
        <f t="shared" si="47"/>
        <v>0.83967868316005412</v>
      </c>
      <c r="S75" s="150">
        <f t="shared" si="47"/>
        <v>0.73590436137455861</v>
      </c>
      <c r="T75" s="150">
        <f t="shared" si="47"/>
        <v>0.65772521161443631</v>
      </c>
    </row>
    <row r="76" spans="1:20" ht="15" x14ac:dyDescent="0.2">
      <c r="A76" s="146" t="s">
        <v>65</v>
      </c>
      <c r="B76" s="237">
        <v>29.507999999999999</v>
      </c>
      <c r="C76" s="237">
        <v>42.286000000000001</v>
      </c>
      <c r="D76" s="237">
        <v>91.837999999999994</v>
      </c>
      <c r="E76" s="237">
        <v>110.893</v>
      </c>
      <c r="F76" s="237">
        <v>127.066</v>
      </c>
      <c r="G76" s="86"/>
      <c r="H76" s="61"/>
      <c r="I76" s="81">
        <f t="shared" si="36"/>
        <v>2.3838433779031578E-2</v>
      </c>
      <c r="J76" s="81">
        <f t="shared" si="37"/>
        <v>3.3346897317485552E-2</v>
      </c>
      <c r="K76" s="81">
        <f t="shared" si="38"/>
        <v>6.2998618445332555E-2</v>
      </c>
      <c r="L76" s="81">
        <f t="shared" si="39"/>
        <v>6.2958343245119855E-2</v>
      </c>
      <c r="M76" s="81">
        <f t="shared" si="40"/>
        <v>7.3243768722940542E-2</v>
      </c>
      <c r="N76" s="82"/>
      <c r="O76" s="81"/>
      <c r="P76" s="147">
        <f>B76/$B$76</f>
        <v>1</v>
      </c>
      <c r="Q76" s="147">
        <f t="shared" ref="Q76:T76" si="48">C76/$B$76</f>
        <v>1.4330351091229498</v>
      </c>
      <c r="R76" s="147">
        <f t="shared" si="48"/>
        <v>3.1123085265012875</v>
      </c>
      <c r="S76" s="147">
        <f t="shared" si="48"/>
        <v>3.7580656093262848</v>
      </c>
      <c r="T76" s="147">
        <f t="shared" si="48"/>
        <v>4.3061542632506438</v>
      </c>
    </row>
    <row r="77" spans="1:20" ht="15" x14ac:dyDescent="0.2">
      <c r="A77" s="146" t="s">
        <v>66</v>
      </c>
      <c r="B77" s="237"/>
      <c r="C77" s="237"/>
      <c r="D77" s="237"/>
      <c r="E77" s="237">
        <v>373.95100000000002</v>
      </c>
      <c r="F77" s="237"/>
      <c r="G77" s="86"/>
      <c r="H77" s="61"/>
      <c r="I77" s="81">
        <f t="shared" si="36"/>
        <v>0</v>
      </c>
      <c r="J77" s="81">
        <f t="shared" si="37"/>
        <v>0</v>
      </c>
      <c r="K77" s="81">
        <f t="shared" si="38"/>
        <v>0</v>
      </c>
      <c r="L77" s="81">
        <f t="shared" si="39"/>
        <v>0.21230677693682931</v>
      </c>
      <c r="M77" s="81">
        <f t="shared" si="40"/>
        <v>0</v>
      </c>
      <c r="N77" s="82"/>
      <c r="O77" s="81"/>
      <c r="P77" s="147"/>
      <c r="Q77" s="147"/>
      <c r="R77" s="147"/>
      <c r="S77" s="147"/>
      <c r="T77" s="147"/>
    </row>
    <row r="78" spans="1:20" ht="15" x14ac:dyDescent="0.2">
      <c r="A78" s="121" t="s">
        <v>67</v>
      </c>
      <c r="B78" s="236">
        <v>1237.8330000000001</v>
      </c>
      <c r="C78" s="236">
        <v>1268.0640000000001</v>
      </c>
      <c r="D78" s="236">
        <v>1457.778</v>
      </c>
      <c r="E78" s="236">
        <v>1761.3710000000001</v>
      </c>
      <c r="F78" s="236">
        <v>1734.837</v>
      </c>
      <c r="G78" s="88"/>
      <c r="H78" s="87"/>
      <c r="I78" s="81">
        <f t="shared" si="36"/>
        <v>1</v>
      </c>
      <c r="J78" s="81">
        <f t="shared" si="37"/>
        <v>1</v>
      </c>
      <c r="K78" s="81">
        <f t="shared" si="38"/>
        <v>1</v>
      </c>
      <c r="L78" s="81">
        <f t="shared" si="39"/>
        <v>1</v>
      </c>
      <c r="M78" s="81">
        <f t="shared" si="40"/>
        <v>1</v>
      </c>
      <c r="N78" s="90"/>
      <c r="O78" s="89"/>
      <c r="P78" s="148">
        <f>B78/$B$78</f>
        <v>1</v>
      </c>
      <c r="Q78" s="148">
        <f t="shared" ref="Q78:T78" si="49">C78/$B$78</f>
        <v>1.0244225190312426</v>
      </c>
      <c r="R78" s="148">
        <f t="shared" si="49"/>
        <v>1.1776855197752847</v>
      </c>
      <c r="S78" s="148">
        <f t="shared" si="49"/>
        <v>1.4229471988547728</v>
      </c>
      <c r="T78" s="148">
        <f t="shared" si="49"/>
        <v>1.4015113508849739</v>
      </c>
    </row>
    <row r="79" spans="1:20" ht="15" x14ac:dyDescent="0.2">
      <c r="A79" s="51" t="s">
        <v>68</v>
      </c>
      <c r="B79" s="234"/>
      <c r="C79" s="234"/>
      <c r="D79" s="234"/>
      <c r="E79" s="234"/>
      <c r="F79" s="234"/>
      <c r="G79" s="86"/>
      <c r="H79" s="61"/>
      <c r="I79" s="81"/>
      <c r="J79" s="81"/>
      <c r="K79" s="81"/>
      <c r="L79" s="81"/>
      <c r="M79" s="81"/>
      <c r="N79" s="82"/>
      <c r="O79" s="81"/>
      <c r="P79" s="83"/>
      <c r="Q79" s="83"/>
      <c r="R79" s="83"/>
      <c r="S79" s="83"/>
      <c r="T79" s="83"/>
    </row>
    <row r="80" spans="1:20" ht="15" x14ac:dyDescent="0.2">
      <c r="A80" s="146" t="s">
        <v>69</v>
      </c>
      <c r="B80" s="237">
        <v>3.2</v>
      </c>
      <c r="C80" s="237">
        <v>3.2090000000000001</v>
      </c>
      <c r="D80" s="237">
        <v>5.6130000000000004</v>
      </c>
      <c r="E80" s="237">
        <v>5.6319999999999997</v>
      </c>
      <c r="F80" s="237">
        <v>5.665</v>
      </c>
      <c r="G80" s="86"/>
      <c r="H80" s="61"/>
      <c r="I80" s="81"/>
      <c r="J80" s="81"/>
      <c r="K80" s="81"/>
      <c r="L80" s="81"/>
      <c r="M80" s="81"/>
      <c r="N80" s="82"/>
      <c r="O80" s="81"/>
      <c r="P80" s="151">
        <f>B80/$B$80</f>
        <v>1</v>
      </c>
      <c r="Q80" s="151">
        <f t="shared" ref="Q80:T80" si="50">C80/$B$80</f>
        <v>1.0028124999999999</v>
      </c>
      <c r="R80" s="151">
        <f t="shared" si="50"/>
        <v>1.7540625000000001</v>
      </c>
      <c r="S80" s="151">
        <f t="shared" si="50"/>
        <v>1.7599999999999998</v>
      </c>
      <c r="T80" s="151">
        <f t="shared" si="50"/>
        <v>1.7703125</v>
      </c>
    </row>
    <row r="81" spans="1:21" ht="15" x14ac:dyDescent="0.2">
      <c r="A81" s="146" t="s">
        <v>70</v>
      </c>
      <c r="B81" s="237">
        <v>4652.62</v>
      </c>
      <c r="C81" s="237">
        <v>4780.0129999999999</v>
      </c>
      <c r="D81" s="237">
        <v>4975.1149999999998</v>
      </c>
      <c r="E81" s="237">
        <v>5144.9219999999996</v>
      </c>
      <c r="F81" s="237">
        <v>5430.8469999999998</v>
      </c>
      <c r="G81" s="86"/>
      <c r="H81" s="61"/>
      <c r="I81" s="81">
        <f>B81/$B$85</f>
        <v>0.70849013491953872</v>
      </c>
      <c r="J81" s="81">
        <f>C81/$C$85</f>
        <v>0.6804249256338859</v>
      </c>
      <c r="K81" s="81">
        <f>D81/$D$85</f>
        <v>0.60460199029159245</v>
      </c>
      <c r="L81" s="81">
        <f>E81/$E$85</f>
        <v>0.86357259608460823</v>
      </c>
      <c r="M81" s="81">
        <f>F81/$F$85</f>
        <v>0.657956862207279</v>
      </c>
      <c r="N81" s="82"/>
      <c r="O81" s="81"/>
      <c r="P81" s="151">
        <f>B81/$B$81</f>
        <v>1</v>
      </c>
      <c r="Q81" s="151">
        <f t="shared" ref="Q81:T81" si="51">C81/$B$81</f>
        <v>1.0273809165588421</v>
      </c>
      <c r="R81" s="151">
        <f t="shared" si="51"/>
        <v>1.0693147087017638</v>
      </c>
      <c r="S81" s="151">
        <f t="shared" si="51"/>
        <v>1.1058117791695861</v>
      </c>
      <c r="T81" s="151">
        <f t="shared" si="51"/>
        <v>1.1672664004367432</v>
      </c>
    </row>
    <row r="82" spans="1:21" ht="15" x14ac:dyDescent="0.2">
      <c r="A82" s="146" t="s">
        <v>71</v>
      </c>
      <c r="B82" s="237">
        <v>7809.549</v>
      </c>
      <c r="C82" s="237">
        <v>9001.1730000000007</v>
      </c>
      <c r="D82" s="237">
        <v>5939.7359999999999</v>
      </c>
      <c r="E82" s="237">
        <v>7448.7839999999997</v>
      </c>
      <c r="F82" s="237">
        <v>9354.2160000000003</v>
      </c>
      <c r="G82" s="86"/>
      <c r="H82" s="61"/>
      <c r="I82" s="81">
        <f t="shared" ref="I82:I85" si="52">B82/$B$85</f>
        <v>1.1892199287005492</v>
      </c>
      <c r="J82" s="81">
        <f t="shared" ref="J82:J85" si="53">C82/$C$85</f>
        <v>1.2812982870847303</v>
      </c>
      <c r="K82" s="81">
        <f t="shared" ref="K82:K85" si="54">D82/$D$85</f>
        <v>0.72182777833409317</v>
      </c>
      <c r="L82" s="81">
        <f t="shared" ref="L82:L85" si="55">E82/$E$85</f>
        <v>1.2502746857101998</v>
      </c>
      <c r="M82" s="81">
        <f t="shared" ref="M82:M85" si="56">F82/$F$85</f>
        <v>1.1332800588506959</v>
      </c>
      <c r="N82" s="82"/>
      <c r="O82" s="81"/>
      <c r="P82" s="151">
        <f>B82/$B$82</f>
        <v>1</v>
      </c>
      <c r="Q82" s="151">
        <f t="shared" ref="Q82:T82" si="57">C82/$B$82</f>
        <v>1.1525855078186975</v>
      </c>
      <c r="R82" s="151">
        <f t="shared" si="57"/>
        <v>0.76057349790621709</v>
      </c>
      <c r="S82" s="151">
        <f t="shared" si="57"/>
        <v>0.95380463071555088</v>
      </c>
      <c r="T82" s="151">
        <f t="shared" si="57"/>
        <v>1.1977920876096686</v>
      </c>
    </row>
    <row r="83" spans="1:21" ht="15" x14ac:dyDescent="0.2">
      <c r="A83" s="146" t="s">
        <v>72</v>
      </c>
      <c r="B83" s="237">
        <v>-69.165000000000006</v>
      </c>
      <c r="C83" s="237">
        <v>-159.07300000000001</v>
      </c>
      <c r="D83" s="237">
        <v>-125.337</v>
      </c>
      <c r="E83" s="237">
        <v>-269.48700000000002</v>
      </c>
      <c r="F83" s="237">
        <v>-60.841000000000001</v>
      </c>
      <c r="G83" s="86"/>
      <c r="H83" s="61"/>
      <c r="I83" s="81">
        <f t="shared" si="52"/>
        <v>-1.0532285074153897E-2</v>
      </c>
      <c r="J83" s="81">
        <f t="shared" si="53"/>
        <v>-2.2643711260902252E-2</v>
      </c>
      <c r="K83" s="81">
        <f t="shared" si="54"/>
        <v>-1.523160764267305E-2</v>
      </c>
      <c r="L83" s="81">
        <f t="shared" si="55"/>
        <v>-4.5233258774584499E-2</v>
      </c>
      <c r="M83" s="81">
        <f t="shared" si="56"/>
        <v>-7.3709963572078287E-3</v>
      </c>
      <c r="N83" s="82"/>
      <c r="O83" s="81"/>
      <c r="P83" s="151">
        <f>B83/$B$83</f>
        <v>1</v>
      </c>
      <c r="Q83" s="151">
        <f t="shared" ref="Q83:T83" si="58">C83/$B$83</f>
        <v>2.2999060218318514</v>
      </c>
      <c r="R83" s="151">
        <f t="shared" si="58"/>
        <v>1.8121448709607459</v>
      </c>
      <c r="S83" s="151">
        <f t="shared" si="58"/>
        <v>3.8962914769030581</v>
      </c>
      <c r="T83" s="151">
        <f t="shared" si="58"/>
        <v>0.87965011205089272</v>
      </c>
    </row>
    <row r="84" spans="1:21" ht="15" x14ac:dyDescent="0.2">
      <c r="A84" s="146" t="s">
        <v>73</v>
      </c>
      <c r="B84" s="237">
        <v>-5829.2529999999997</v>
      </c>
      <c r="C84" s="237">
        <v>-6600.2809999999999</v>
      </c>
      <c r="D84" s="237">
        <v>-2566.3829999999998</v>
      </c>
      <c r="E84" s="237">
        <v>-6372.1329999999998</v>
      </c>
      <c r="F84" s="237">
        <v>-6475.7790000000005</v>
      </c>
      <c r="G84" s="86"/>
      <c r="H84" s="61"/>
      <c r="I84" s="81">
        <f t="shared" si="52"/>
        <v>-0.88766506709125736</v>
      </c>
      <c r="J84" s="81">
        <f t="shared" si="53"/>
        <v>-0.93953629594474963</v>
      </c>
      <c r="K84" s="81">
        <f t="shared" si="54"/>
        <v>-0.3118802820940838</v>
      </c>
      <c r="L84" s="81">
        <f t="shared" si="55"/>
        <v>-1.0695593514160959</v>
      </c>
      <c r="M84" s="81">
        <f t="shared" si="56"/>
        <v>-0.78455224961921999</v>
      </c>
      <c r="N84" s="82"/>
      <c r="O84" s="81"/>
      <c r="P84" s="151">
        <f>B84/$B$84</f>
        <v>1</v>
      </c>
      <c r="Q84" s="151">
        <f t="shared" ref="Q84:T84" si="59">C84/$B$84</f>
        <v>1.1322687486715708</v>
      </c>
      <c r="R84" s="151">
        <f t="shared" si="59"/>
        <v>0.44025932653806582</v>
      </c>
      <c r="S84" s="151">
        <f t="shared" si="59"/>
        <v>1.0931302861618803</v>
      </c>
      <c r="T84" s="151">
        <f t="shared" si="59"/>
        <v>1.1109106089579575</v>
      </c>
    </row>
    <row r="85" spans="1:21" ht="15" x14ac:dyDescent="0.2">
      <c r="A85" s="121" t="s">
        <v>74</v>
      </c>
      <c r="B85" s="236">
        <v>6566.951</v>
      </c>
      <c r="C85" s="236">
        <v>7025.0410000000002</v>
      </c>
      <c r="D85" s="236">
        <v>8228.7440000000006</v>
      </c>
      <c r="E85" s="236">
        <v>5957.7179999999998</v>
      </c>
      <c r="F85" s="236">
        <v>8254.1080000000002</v>
      </c>
      <c r="G85" s="88"/>
      <c r="H85" s="87"/>
      <c r="I85" s="81">
        <f t="shared" si="52"/>
        <v>1</v>
      </c>
      <c r="J85" s="81">
        <f t="shared" si="53"/>
        <v>1</v>
      </c>
      <c r="K85" s="81">
        <f t="shared" si="54"/>
        <v>1</v>
      </c>
      <c r="L85" s="81">
        <f t="shared" si="55"/>
        <v>1</v>
      </c>
      <c r="M85" s="81">
        <f t="shared" si="56"/>
        <v>1</v>
      </c>
      <c r="N85" s="90"/>
      <c r="O85" s="89"/>
      <c r="P85" s="152">
        <f>B85/$B$85</f>
        <v>1</v>
      </c>
      <c r="Q85" s="152">
        <f t="shared" ref="Q85:T85" si="60">C85/$B$85</f>
        <v>1.0697568780397479</v>
      </c>
      <c r="R85" s="152">
        <f t="shared" si="60"/>
        <v>1.2530539667495617</v>
      </c>
      <c r="S85" s="152">
        <f t="shared" si="60"/>
        <v>0.90722741802093543</v>
      </c>
      <c r="T85" s="152">
        <f t="shared" si="60"/>
        <v>1.2569163375819312</v>
      </c>
    </row>
    <row r="86" spans="1:21" ht="15" x14ac:dyDescent="0.2">
      <c r="A86" s="122" t="s">
        <v>75</v>
      </c>
      <c r="B86" s="239">
        <v>7804.7839999999997</v>
      </c>
      <c r="C86" s="239">
        <v>8293.1049999999996</v>
      </c>
      <c r="D86" s="239">
        <v>9686.5220000000008</v>
      </c>
      <c r="E86" s="239">
        <v>7719.0889999999999</v>
      </c>
      <c r="F86" s="239">
        <v>9988.9449999999997</v>
      </c>
      <c r="G86" s="97"/>
      <c r="H86" s="96"/>
      <c r="I86" s="98"/>
      <c r="J86" s="89"/>
      <c r="K86" s="89"/>
      <c r="L86" s="89"/>
      <c r="M86" s="98"/>
      <c r="N86" s="99"/>
      <c r="O86" s="89"/>
      <c r="P86" s="152">
        <f>B86/$B$86</f>
        <v>1</v>
      </c>
      <c r="Q86" s="152">
        <f t="shared" ref="Q86:T86" si="61">C86/$B$86</f>
        <v>1.0625668820559289</v>
      </c>
      <c r="R86" s="152">
        <f t="shared" si="61"/>
        <v>1.2411005865120677</v>
      </c>
      <c r="S86" s="152">
        <f t="shared" si="61"/>
        <v>0.98902019581835965</v>
      </c>
      <c r="T86" s="152">
        <f t="shared" si="61"/>
        <v>1.2798490003054537</v>
      </c>
    </row>
    <row r="87" spans="1:21" ht="15" x14ac:dyDescent="0.2">
      <c r="A87" s="51"/>
      <c r="B87" s="115"/>
      <c r="C87" s="115"/>
      <c r="D87" s="56"/>
      <c r="E87" s="56"/>
      <c r="F87" s="56"/>
      <c r="G87" s="56"/>
      <c r="H87" s="56"/>
      <c r="I87" s="76"/>
      <c r="J87" s="76"/>
      <c r="K87" s="76"/>
      <c r="L87" s="76"/>
      <c r="M87" s="76"/>
      <c r="N87" s="76"/>
      <c r="O87" s="76"/>
      <c r="P87" s="116"/>
      <c r="Q87" s="116"/>
      <c r="R87" s="116"/>
      <c r="S87" s="116"/>
      <c r="T87" s="116"/>
      <c r="U87" s="117"/>
    </row>
    <row r="88" spans="1:21" ht="15" x14ac:dyDescent="0.2">
      <c r="A88" s="51"/>
      <c r="B88" s="115"/>
      <c r="C88" s="115"/>
      <c r="D88" s="56"/>
      <c r="E88" s="56"/>
      <c r="F88" s="56"/>
      <c r="G88" s="56"/>
      <c r="H88" s="56"/>
      <c r="I88" s="76"/>
      <c r="J88" s="76"/>
      <c r="K88" s="76"/>
      <c r="L88" s="76"/>
      <c r="M88" s="76"/>
      <c r="N88" s="76"/>
      <c r="O88" s="76"/>
      <c r="P88" s="116"/>
      <c r="Q88" s="116"/>
      <c r="R88" s="116"/>
      <c r="S88" s="116"/>
      <c r="T88" s="116"/>
      <c r="U88" s="117"/>
    </row>
    <row r="89" spans="1:21" ht="17.25" customHeight="1" x14ac:dyDescent="0.25">
      <c r="G89" s="56"/>
      <c r="H89" s="56"/>
      <c r="I89" s="76"/>
      <c r="J89" s="76"/>
      <c r="K89" s="76"/>
      <c r="L89" s="76"/>
      <c r="M89" s="76"/>
      <c r="N89" s="76"/>
      <c r="O89" s="76"/>
      <c r="P89" s="116"/>
      <c r="Q89" s="116"/>
      <c r="R89" s="116"/>
      <c r="S89" s="116"/>
      <c r="T89" s="116"/>
      <c r="U89" s="117"/>
    </row>
    <row r="90" spans="1:21" ht="21" customHeight="1" x14ac:dyDescent="0.25">
      <c r="G90" s="56"/>
      <c r="H90" s="56"/>
      <c r="I90" s="76"/>
      <c r="J90" s="76"/>
      <c r="K90" s="76"/>
      <c r="L90" s="606"/>
      <c r="M90" s="76"/>
      <c r="N90" s="76"/>
      <c r="O90" s="76"/>
      <c r="P90" s="116"/>
      <c r="Q90" s="116"/>
      <c r="R90" s="116"/>
      <c r="S90" s="116"/>
      <c r="T90" s="116"/>
      <c r="U90" s="117"/>
    </row>
    <row r="91" spans="1:21" x14ac:dyDescent="0.25">
      <c r="G91" s="258"/>
      <c r="H91" s="258"/>
      <c r="I91" s="258"/>
      <c r="J91" s="258"/>
      <c r="K91" s="258"/>
      <c r="L91" s="258"/>
      <c r="M91" s="258"/>
      <c r="N91" s="258"/>
      <c r="O91" s="258"/>
      <c r="P91" s="258"/>
      <c r="Q91" s="258"/>
      <c r="R91" s="258"/>
      <c r="S91" s="258"/>
      <c r="T91" s="258"/>
      <c r="U91" s="258"/>
    </row>
    <row r="92" spans="1:21" ht="14.25" customHeight="1" x14ac:dyDescent="0.25">
      <c r="G92" s="296"/>
      <c r="H92" s="257"/>
      <c r="I92" s="257"/>
      <c r="J92" s="257"/>
      <c r="K92" s="257"/>
      <c r="L92" s="257"/>
      <c r="M92" s="257"/>
      <c r="N92" s="257"/>
      <c r="O92" s="257"/>
      <c r="P92" s="257"/>
      <c r="Q92" s="257"/>
      <c r="R92" s="257"/>
      <c r="S92" s="257"/>
      <c r="T92" s="257"/>
      <c r="U92" s="257"/>
    </row>
    <row r="93" spans="1:21" x14ac:dyDescent="0.25">
      <c r="G93" s="297"/>
      <c r="H93" s="259"/>
      <c r="I93" s="259"/>
      <c r="J93" s="259"/>
      <c r="K93" s="259"/>
      <c r="L93" s="259"/>
      <c r="M93" s="259"/>
      <c r="N93" s="259"/>
      <c r="O93" s="259"/>
      <c r="P93" s="259"/>
      <c r="Q93" s="259"/>
      <c r="R93" s="259"/>
      <c r="S93" s="259"/>
      <c r="T93" s="259"/>
      <c r="U93" s="259"/>
    </row>
    <row r="94" spans="1:21" s="109" customFormat="1" ht="16" x14ac:dyDescent="0.2">
      <c r="G94" s="298"/>
      <c r="T94" s="155"/>
      <c r="U94" s="155"/>
    </row>
    <row r="95" spans="1:21" s="109" customFormat="1" ht="16" x14ac:dyDescent="0.2">
      <c r="G95" s="298"/>
    </row>
    <row r="96" spans="1:21" x14ac:dyDescent="0.25">
      <c r="G96" s="299"/>
      <c r="K96" s="1"/>
    </row>
    <row r="97" spans="7:21" ht="23.25" customHeight="1" x14ac:dyDescent="0.25"/>
    <row r="106" spans="7:21" x14ac:dyDescent="0.25">
      <c r="G106" s="101"/>
      <c r="H106" s="101"/>
      <c r="I106" s="127"/>
      <c r="J106" s="127"/>
      <c r="K106" s="127"/>
      <c r="L106" s="127"/>
      <c r="M106" s="127"/>
      <c r="N106" s="127"/>
      <c r="O106" s="127"/>
      <c r="P106" s="127"/>
      <c r="Q106" s="127"/>
      <c r="R106" s="127"/>
      <c r="S106" s="127"/>
      <c r="T106" s="127"/>
      <c r="U106" s="127"/>
    </row>
    <row r="107" spans="7:21" x14ac:dyDescent="0.25">
      <c r="G107" s="100"/>
      <c r="H107" s="65"/>
    </row>
    <row r="108" spans="7:21" x14ac:dyDescent="0.25">
      <c r="G108" s="100"/>
      <c r="H108" s="65"/>
    </row>
    <row r="109" spans="7:21" x14ac:dyDescent="0.25">
      <c r="G109" s="100"/>
      <c r="H109" s="65"/>
    </row>
    <row r="110" spans="7:21" x14ac:dyDescent="0.25">
      <c r="G110" s="100"/>
      <c r="H110" s="65"/>
    </row>
    <row r="111" spans="7:21" x14ac:dyDescent="0.25">
      <c r="G111" s="64"/>
      <c r="H111" s="66"/>
    </row>
    <row r="112" spans="7:21" x14ac:dyDescent="0.25">
      <c r="G112" s="64"/>
      <c r="H112" s="66"/>
    </row>
    <row r="113" spans="1:8" x14ac:dyDescent="0.25">
      <c r="G113" s="64"/>
      <c r="H113" s="66"/>
    </row>
    <row r="114" spans="1:8" x14ac:dyDescent="0.25">
      <c r="G114" s="100"/>
      <c r="H114" s="65"/>
    </row>
    <row r="115" spans="1:8" x14ac:dyDescent="0.25">
      <c r="G115" s="100"/>
      <c r="H115" s="65"/>
    </row>
    <row r="116" spans="1:8" x14ac:dyDescent="0.25">
      <c r="G116" s="100"/>
      <c r="H116" s="65"/>
    </row>
    <row r="117" spans="1:8" x14ac:dyDescent="0.25">
      <c r="G117" s="100"/>
      <c r="H117" s="65"/>
    </row>
    <row r="118" spans="1:8" x14ac:dyDescent="0.25">
      <c r="G118" s="103"/>
      <c r="H118" s="67"/>
    </row>
    <row r="119" spans="1:8" x14ac:dyDescent="0.25">
      <c r="G119" s="103"/>
      <c r="H119" s="67"/>
    </row>
    <row r="120" spans="1:8" x14ac:dyDescent="0.25">
      <c r="G120" s="103"/>
      <c r="H120" s="67"/>
    </row>
    <row r="121" spans="1:8" x14ac:dyDescent="0.25">
      <c r="G121" s="64"/>
      <c r="H121" s="66"/>
    </row>
    <row r="122" spans="1:8" x14ac:dyDescent="0.25">
      <c r="G122" s="100"/>
      <c r="H122" s="65"/>
    </row>
    <row r="123" spans="1:8" ht="15" x14ac:dyDescent="0.2">
      <c r="A123" s="5"/>
      <c r="B123" s="64"/>
      <c r="C123" s="64"/>
      <c r="D123" s="64"/>
      <c r="E123" s="64"/>
      <c r="F123" s="64"/>
      <c r="G123" s="64"/>
      <c r="H123" s="66"/>
    </row>
    <row r="124" spans="1:8" ht="15" x14ac:dyDescent="0.2">
      <c r="A124" s="5"/>
      <c r="B124" s="100"/>
      <c r="C124" s="100"/>
      <c r="D124" s="100"/>
      <c r="E124" s="100"/>
      <c r="F124" s="100"/>
      <c r="G124" s="100"/>
      <c r="H124" s="65"/>
    </row>
    <row r="125" spans="1:8" ht="15" x14ac:dyDescent="0.2">
      <c r="A125" s="5"/>
      <c r="B125" s="64"/>
      <c r="C125" s="64"/>
      <c r="D125" s="64"/>
      <c r="E125" s="64"/>
      <c r="F125" s="64"/>
      <c r="G125" s="64"/>
      <c r="H125" s="66"/>
    </row>
    <row r="126" spans="1:8" ht="15" x14ac:dyDescent="0.2">
      <c r="A126" s="5"/>
      <c r="B126" s="100"/>
      <c r="C126" s="100"/>
      <c r="D126" s="100"/>
      <c r="E126" s="100"/>
      <c r="F126" s="100"/>
      <c r="G126" s="100"/>
      <c r="H126" s="65"/>
    </row>
    <row r="127" spans="1:8" ht="15" x14ac:dyDescent="0.2">
      <c r="A127" s="5"/>
      <c r="B127" s="100"/>
      <c r="C127" s="100"/>
      <c r="D127" s="100"/>
      <c r="E127" s="100"/>
      <c r="F127" s="100"/>
      <c r="G127" s="100"/>
      <c r="H127" s="65"/>
    </row>
    <row r="128" spans="1:8" ht="15" x14ac:dyDescent="0.2">
      <c r="A128" s="5"/>
      <c r="B128" s="100"/>
      <c r="C128" s="100"/>
      <c r="D128" s="100"/>
      <c r="E128" s="100"/>
      <c r="F128" s="100"/>
      <c r="G128" s="100"/>
      <c r="H128" s="65"/>
    </row>
    <row r="129" spans="1:21" ht="6.75" customHeight="1" x14ac:dyDescent="0.2">
      <c r="A129" s="5"/>
      <c r="B129" s="100"/>
      <c r="C129" s="100"/>
      <c r="D129" s="100"/>
      <c r="E129" s="100"/>
      <c r="F129" s="100"/>
      <c r="G129" s="100"/>
      <c r="H129" s="65"/>
    </row>
    <row r="130" spans="1:21" ht="15" x14ac:dyDescent="0.2">
      <c r="A130" s="10"/>
      <c r="B130" s="100"/>
      <c r="C130" s="100"/>
      <c r="D130" s="100"/>
      <c r="E130" s="100"/>
      <c r="F130" s="100"/>
      <c r="G130" s="100"/>
      <c r="H130" s="65"/>
    </row>
    <row r="131" spans="1:21" ht="15" x14ac:dyDescent="0.2">
      <c r="A131" s="5"/>
      <c r="B131" s="128"/>
      <c r="C131" s="128"/>
      <c r="D131" s="128"/>
      <c r="E131" s="128"/>
      <c r="F131" s="128"/>
      <c r="G131" s="100"/>
      <c r="H131" s="65"/>
    </row>
    <row r="132" spans="1:21" ht="15" x14ac:dyDescent="0.2">
      <c r="A132" s="5"/>
      <c r="B132" s="128"/>
      <c r="C132" s="128"/>
      <c r="D132" s="128"/>
      <c r="E132" s="128"/>
      <c r="F132" s="128"/>
      <c r="G132" s="100"/>
      <c r="H132" s="65"/>
    </row>
    <row r="133" spans="1:21" ht="15" x14ac:dyDescent="0.2">
      <c r="A133" s="5"/>
      <c r="B133" s="128"/>
      <c r="C133" s="128"/>
      <c r="D133" s="128"/>
      <c r="E133" s="128"/>
      <c r="F133" s="128"/>
      <c r="G133" s="100"/>
      <c r="H133" s="65"/>
    </row>
    <row r="134" spans="1:21" ht="15" x14ac:dyDescent="0.2">
      <c r="A134" s="5"/>
      <c r="B134" s="128"/>
      <c r="C134" s="128"/>
      <c r="D134" s="128"/>
      <c r="E134" s="128"/>
      <c r="F134" s="128"/>
      <c r="G134" s="100"/>
      <c r="H134" s="65"/>
    </row>
    <row r="135" spans="1:21" ht="8.25" customHeight="1" x14ac:dyDescent="0.2">
      <c r="A135" s="30"/>
      <c r="B135" s="128"/>
      <c r="C135" s="64"/>
      <c r="D135" s="64"/>
      <c r="E135" s="64"/>
      <c r="F135" s="64"/>
      <c r="G135" s="64"/>
      <c r="H135" s="66"/>
    </row>
    <row r="136" spans="1:21" ht="15" x14ac:dyDescent="0.2">
      <c r="A136" s="53"/>
      <c r="B136" s="64"/>
      <c r="C136" s="64"/>
      <c r="D136" s="64"/>
      <c r="E136" s="64"/>
      <c r="F136" s="64"/>
      <c r="G136" s="64"/>
      <c r="H136" s="66"/>
    </row>
    <row r="137" spans="1:21" ht="15" x14ac:dyDescent="0.2">
      <c r="A137" s="5"/>
      <c r="B137" s="128"/>
      <c r="C137" s="128"/>
      <c r="D137" s="128"/>
      <c r="E137" s="128"/>
      <c r="F137" s="128"/>
      <c r="G137" s="104"/>
      <c r="H137" s="133"/>
    </row>
    <row r="138" spans="1:21" ht="15" x14ac:dyDescent="0.2">
      <c r="A138" s="5"/>
      <c r="B138" s="100"/>
      <c r="C138" s="100"/>
      <c r="D138" s="100"/>
      <c r="E138" s="100"/>
      <c r="F138" s="100"/>
      <c r="G138" s="104"/>
      <c r="H138" s="133"/>
    </row>
    <row r="139" spans="1:21" ht="15" x14ac:dyDescent="0.2">
      <c r="A139" s="126"/>
      <c r="B139" s="128"/>
      <c r="C139" s="128"/>
      <c r="D139" s="128"/>
      <c r="E139" s="128"/>
      <c r="F139" s="128"/>
      <c r="G139" s="104"/>
      <c r="H139" s="68"/>
    </row>
    <row r="140" spans="1:21" ht="15" x14ac:dyDescent="0.2">
      <c r="A140" s="52"/>
      <c r="B140" s="100"/>
      <c r="C140" s="100"/>
      <c r="D140" s="100"/>
      <c r="E140" s="100"/>
      <c r="F140" s="100"/>
      <c r="G140" s="104"/>
      <c r="H140" s="68"/>
    </row>
    <row r="141" spans="1:21" ht="15" x14ac:dyDescent="0.2">
      <c r="A141" s="126"/>
      <c r="B141" s="128"/>
      <c r="C141" s="128"/>
      <c r="D141" s="128"/>
      <c r="E141" s="128"/>
      <c r="F141" s="128"/>
      <c r="G141" s="104"/>
      <c r="H141" s="68"/>
    </row>
    <row r="142" spans="1:21" ht="11.25" customHeight="1" x14ac:dyDescent="0.25">
      <c r="A142" s="129"/>
      <c r="B142" s="130"/>
      <c r="C142" s="130"/>
      <c r="D142" s="130"/>
      <c r="E142" s="130"/>
      <c r="F142" s="130"/>
      <c r="G142" s="130"/>
      <c r="H142" s="130"/>
      <c r="I142" s="105"/>
      <c r="J142" s="105"/>
      <c r="K142" s="105"/>
      <c r="L142" s="105"/>
      <c r="M142" s="105"/>
      <c r="N142" s="105"/>
      <c r="O142" s="105"/>
      <c r="P142" s="105"/>
      <c r="Q142" s="105"/>
      <c r="R142" s="105"/>
      <c r="S142" s="105"/>
      <c r="T142" s="105"/>
      <c r="U142" s="105"/>
    </row>
    <row r="143" spans="1:21" x14ac:dyDescent="0.25">
      <c r="B143" s="128"/>
    </row>
  </sheetData>
  <mergeCells count="17">
    <mergeCell ref="P6:T6"/>
    <mergeCell ref="T45:U45"/>
    <mergeCell ref="I6:M6"/>
    <mergeCell ref="A1:U1"/>
    <mergeCell ref="A2:U2"/>
    <mergeCell ref="A3:U3"/>
    <mergeCell ref="A40:U40"/>
    <mergeCell ref="A41:U41"/>
    <mergeCell ref="T4:U4"/>
    <mergeCell ref="P7:T7"/>
    <mergeCell ref="I46:M46"/>
    <mergeCell ref="P46:T46"/>
    <mergeCell ref="I47:M47"/>
    <mergeCell ref="T43:U43"/>
    <mergeCell ref="I7:M7"/>
    <mergeCell ref="A42:U42"/>
    <mergeCell ref="P47:T47"/>
  </mergeCells>
  <phoneticPr fontId="2" type="noConversion"/>
  <hyperlinks>
    <hyperlink ref="A58" r:id="rId1" display="javascript:void(0);" xr:uid="{7BAB39D1-9505-E246-91B4-424D71FBBA22}"/>
    <hyperlink ref="A59" r:id="rId2" display="javascript:void(0);" xr:uid="{7822D88D-60CA-3141-9222-2ABE4939F9AA}"/>
    <hyperlink ref="A60" r:id="rId3" display="javascript:void(0);" xr:uid="{A0CF2BC6-3513-C44E-A6AC-BD96C1D497D3}"/>
    <hyperlink ref="A61" r:id="rId4" display="javascript:void(0);" xr:uid="{EC95E0D1-1BD7-4449-AA8F-D684AA557B48}"/>
    <hyperlink ref="A62" r:id="rId5" display="javascript:void(0);" xr:uid="{1E1BB43C-3337-FD4A-A40F-29277CBE812F}"/>
    <hyperlink ref="A63" r:id="rId6" display="javascript:void(0);" xr:uid="{F5E3D785-4412-2F48-A5A1-EB4BABB46288}"/>
    <hyperlink ref="A68" r:id="rId7" display="javascript:void(0);" xr:uid="{09D6B9C9-F8C4-DC45-9911-2DD0F40233B0}"/>
    <hyperlink ref="A69" r:id="rId8" display="javascript:void(0);" xr:uid="{E1706FC7-7DE4-3E46-B2F3-0D4EDABBED93}"/>
    <hyperlink ref="A70" r:id="rId9" display="javascript:void(0);" xr:uid="{C01E32BF-43EA-7944-87A5-40316F2A0A74}"/>
    <hyperlink ref="A71" r:id="rId10" display="javascript:void(0);" xr:uid="{A7B67B3A-BA60-C141-B788-9DFBB4A57C1C}"/>
    <hyperlink ref="A72" r:id="rId11" display="javascript:void(0);" xr:uid="{A9155740-9301-014A-A998-794AFAC7B78D}"/>
    <hyperlink ref="A73" r:id="rId12" display="javascript:void(0);" xr:uid="{F4E02D18-0143-4240-8EA3-4CD9BEB487C0}"/>
    <hyperlink ref="A75" r:id="rId13" display="javascript:void(0);" xr:uid="{67794FCA-D471-1948-843B-C9FB085E2F5F}"/>
    <hyperlink ref="A76" r:id="rId14" display="javascript:void(0);" xr:uid="{4C443FCF-ABCE-C14F-BD66-C8F7BA4D7BAE}"/>
    <hyperlink ref="A77" r:id="rId15" display="javascript:void(0);" xr:uid="{FF0FCC32-C221-284C-9D96-5307B4A67AC2}"/>
    <hyperlink ref="A80" r:id="rId16" display="javascript:void(0);" xr:uid="{8B428669-5E6C-0542-8EEA-BDD9F98FF347}"/>
    <hyperlink ref="A81" r:id="rId17" display="javascript:void(0);" xr:uid="{C546AA00-8014-8742-8DA4-AC5C02C48F3C}"/>
    <hyperlink ref="A82" r:id="rId18" display="javascript:void(0);" xr:uid="{C42DF880-F39B-C247-BACA-BC55931BA293}"/>
    <hyperlink ref="A83" r:id="rId19" display="javascript:void(0);" xr:uid="{56AF0AB1-0683-2342-883C-BA00B27EE604}"/>
    <hyperlink ref="A84" r:id="rId20" display="javascript:void(0);" xr:uid="{88EF0219-E2F8-384D-9EC1-0DBC55394D27}"/>
  </hyperlinks>
  <printOptions horizontalCentered="1"/>
  <pageMargins left="0.5" right="0.5" top="0.5" bottom="0.5" header="0.5" footer="0.3"/>
  <pageSetup scale="76" fitToHeight="3" orientation="landscape" verticalDpi="300" r:id="rId21"/>
  <headerFooter alignWithMargins="0"/>
  <rowBreaks count="1" manualBreakCount="1">
    <brk id="39" max="16383" man="1"/>
  </rowBreaks>
  <legacyDrawing r:id="rId2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1959CEF60B4D44AFCDA7F18884A2BA" ma:contentTypeVersion="4" ma:contentTypeDescription="Create a new document." ma:contentTypeScope="" ma:versionID="9e5650b6100ccd20c7e766bd8ed9433f">
  <xsd:schema xmlns:xsd="http://www.w3.org/2001/XMLSchema" xmlns:xs="http://www.w3.org/2001/XMLSchema" xmlns:p="http://schemas.microsoft.com/office/2006/metadata/properties" xmlns:ns2="583ad50b-d991-4051-ab34-1a6d381d7cd8" targetNamespace="http://schemas.microsoft.com/office/2006/metadata/properties" ma:root="true" ma:fieldsID="88e9c9385079b8d436e2e553d5c3e646" ns2:_="">
    <xsd:import namespace="583ad50b-d991-4051-ab34-1a6d381d7cd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ad50b-d991-4051-ab34-1a6d381d7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5571AD-298B-47E3-ABE9-D2881C5FBC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3ad50b-d991-4051-ab34-1a6d381d7c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C5B7B4-002F-4D9A-A56C-DED0857D82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MONSTER (MNST)</vt:lpstr>
      <vt:lpstr>Monster data sheet</vt:lpstr>
      <vt:lpstr>PepsiCo (PEP)</vt:lpstr>
      <vt:lpstr>Pepsi data sheet</vt:lpstr>
      <vt:lpstr>Coca Cola (KO)</vt:lpstr>
      <vt:lpstr>CELSIUS (CELH)</vt:lpstr>
      <vt:lpstr>K.Dr Paper (KDP)</vt:lpstr>
      <vt:lpstr>KDP</vt:lpstr>
      <vt:lpstr>Celsius Holdings, Inc.</vt:lpstr>
      <vt:lpstr>Company 5</vt:lpstr>
      <vt:lpstr>FINANCIAL RATIOS</vt:lpstr>
      <vt:lpstr>GRAPHS</vt:lpstr>
      <vt:lpstr>Monster</vt:lpstr>
      <vt:lpstr>Monster!Print_Area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dc:creator>
  <cp:keywords/>
  <dc:description/>
  <cp:lastModifiedBy>Shobitha Mahadesh Sajjehundi</cp:lastModifiedBy>
  <cp:revision/>
  <dcterms:created xsi:type="dcterms:W3CDTF">2013-10-14T00:48:58Z</dcterms:created>
  <dcterms:modified xsi:type="dcterms:W3CDTF">2026-04-24T07:04:23Z</dcterms:modified>
  <cp:category/>
  <cp:contentStatus/>
</cp:coreProperties>
</file>