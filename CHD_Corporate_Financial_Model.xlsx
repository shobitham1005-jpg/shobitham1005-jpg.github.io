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defaultThemeVersion="202300"/>
  <mc:AlternateContent xmlns:mc="http://schemas.openxmlformats.org/markup-compatibility/2006">
    <mc:Choice Requires="x15">
      <x15ac:absPath xmlns:x15ac="http://schemas.microsoft.com/office/spreadsheetml/2010/11/ac" url="/Users/shobithakiran/Desktop/2026 - 2027/1st Sem/CHD - Modelling /Project/"/>
    </mc:Choice>
  </mc:AlternateContent>
  <xr:revisionPtr revIDLastSave="0" documentId="13_ncr:1_{E08BAB57-994B-E548-AC9F-491DA156994F}" xr6:coauthVersionLast="47" xr6:coauthVersionMax="47" xr10:uidLastSave="{00000000-0000-0000-0000-000000000000}"/>
  <bookViews>
    <workbookView xWindow="4420" yWindow="660" windowWidth="25820" windowHeight="18980" xr2:uid="{C402A137-F7C6-8F41-A2E5-4A3432494628}"/>
  </bookViews>
  <sheets>
    <sheet name="Cover letter" sheetId="8" r:id="rId1"/>
    <sheet name="Summary Results Table" sheetId="9" r:id="rId2"/>
    <sheet name="Assumption table" sheetId="3" r:id="rId3"/>
    <sheet name="Model" sheetId="2" r:id="rId4"/>
    <sheet name="Scenarios Table" sheetId="4" r:id="rId5"/>
    <sheet name="WACC Model" sheetId="6" r:id="rId6"/>
    <sheet name="DCF" sheetId="10" r:id="rId7"/>
    <sheet name="Multiples Valuation" sheetId="7" r:id="rId8"/>
    <sheet name="Data Source" sheetId="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7" l="1"/>
  <c r="E5" i="7"/>
  <c r="E6" i="7"/>
  <c r="E7" i="7"/>
  <c r="B30" i="7"/>
  <c r="B2" i="3"/>
  <c r="B2" i="9"/>
  <c r="B4" i="8"/>
  <c r="J140" i="1"/>
  <c r="J139" i="1"/>
  <c r="J138" i="1"/>
  <c r="J137" i="1"/>
  <c r="J136" i="1"/>
  <c r="J135" i="1"/>
  <c r="J134" i="1"/>
  <c r="J133" i="1"/>
  <c r="J132" i="1"/>
  <c r="J131" i="1"/>
  <c r="J130" i="1"/>
  <c r="J129" i="1"/>
  <c r="K144" i="4"/>
  <c r="J144" i="4"/>
  <c r="I144" i="4"/>
  <c r="H144" i="4"/>
  <c r="G144" i="4"/>
  <c r="F3" i="10"/>
  <c r="G44" i="7"/>
  <c r="F44" i="7"/>
  <c r="E44" i="7"/>
  <c r="D44" i="7"/>
  <c r="C44" i="7"/>
  <c r="B44" i="7"/>
  <c r="G43" i="7"/>
  <c r="F43" i="7"/>
  <c r="E43" i="7"/>
  <c r="D43" i="7"/>
  <c r="C43" i="7"/>
  <c r="B43" i="7"/>
  <c r="G42" i="7"/>
  <c r="F42" i="7"/>
  <c r="E42" i="7"/>
  <c r="D42" i="7"/>
  <c r="C42" i="7"/>
  <c r="B42" i="7"/>
  <c r="G41" i="7"/>
  <c r="F41" i="7"/>
  <c r="E41" i="7"/>
  <c r="D41" i="7"/>
  <c r="C41" i="7"/>
  <c r="B41" i="7"/>
  <c r="G40" i="7"/>
  <c r="F40" i="7"/>
  <c r="E40" i="7"/>
  <c r="D40" i="7"/>
  <c r="C40" i="7"/>
  <c r="B40" i="7"/>
  <c r="G39" i="7"/>
  <c r="F39" i="7"/>
  <c r="E39" i="7"/>
  <c r="D39" i="7"/>
  <c r="C39" i="7"/>
  <c r="B39" i="7"/>
  <c r="G38" i="7"/>
  <c r="F38" i="7"/>
  <c r="E38" i="7"/>
  <c r="D38" i="7"/>
  <c r="C38" i="7"/>
  <c r="B38" i="7"/>
  <c r="G37" i="7"/>
  <c r="F37" i="7"/>
  <c r="E37" i="7"/>
  <c r="D37" i="7"/>
  <c r="C37" i="7"/>
  <c r="B37" i="7"/>
  <c r="K60" i="3"/>
  <c r="D22" i="9" s="1"/>
  <c r="K59" i="3"/>
  <c r="D21" i="9" s="1"/>
  <c r="K58" i="3"/>
  <c r="D20" i="9" s="1"/>
  <c r="K56" i="3"/>
  <c r="C22" i="9" s="1"/>
  <c r="K55" i="3"/>
  <c r="C21" i="9" s="1"/>
  <c r="K54" i="3"/>
  <c r="B5" i="7" s="1"/>
  <c r="D30" i="10"/>
  <c r="D21" i="10"/>
  <c r="D32" i="10" s="1"/>
  <c r="B15" i="7" s="1"/>
  <c r="E15" i="7" s="1"/>
  <c r="B208" i="2"/>
  <c r="B203" i="2"/>
  <c r="B198" i="2"/>
  <c r="B172" i="2"/>
  <c r="B161" i="2"/>
  <c r="B150" i="2"/>
  <c r="B139" i="2"/>
  <c r="K74" i="4"/>
  <c r="J74" i="4"/>
  <c r="J75" i="4" s="1"/>
  <c r="I74" i="4"/>
  <c r="H74" i="4"/>
  <c r="G74" i="4"/>
  <c r="G76" i="4" s="1"/>
  <c r="K14" i="4"/>
  <c r="J14" i="4"/>
  <c r="I14" i="4"/>
  <c r="I16" i="4" s="1"/>
  <c r="H14" i="4"/>
  <c r="H16" i="4" s="1"/>
  <c r="G14" i="4"/>
  <c r="G15" i="4" s="1"/>
  <c r="J32" i="3"/>
  <c r="K48" i="3"/>
  <c r="M643" i="1"/>
  <c r="H400" i="1"/>
  <c r="F84" i="3" s="1"/>
  <c r="B22" i="6"/>
  <c r="D9" i="6"/>
  <c r="C9" i="6"/>
  <c r="D8" i="6"/>
  <c r="C8" i="6"/>
  <c r="D7" i="6"/>
  <c r="C7" i="6"/>
  <c r="D6" i="6"/>
  <c r="C6" i="6"/>
  <c r="D5" i="6"/>
  <c r="C5" i="6"/>
  <c r="D4" i="6"/>
  <c r="C4" i="6"/>
  <c r="G656" i="1"/>
  <c r="E726" i="1"/>
  <c r="D726" i="1"/>
  <c r="E725" i="1"/>
  <c r="D725" i="1"/>
  <c r="E724" i="1"/>
  <c r="D724" i="1"/>
  <c r="E723" i="1"/>
  <c r="D723" i="1"/>
  <c r="E722" i="1"/>
  <c r="D722" i="1"/>
  <c r="E721" i="1"/>
  <c r="D721" i="1"/>
  <c r="E720" i="1"/>
  <c r="D720" i="1"/>
  <c r="E719" i="1"/>
  <c r="D719" i="1"/>
  <c r="E718" i="1"/>
  <c r="D718" i="1"/>
  <c r="E717" i="1"/>
  <c r="D717" i="1"/>
  <c r="E716" i="1"/>
  <c r="D716" i="1"/>
  <c r="E715" i="1"/>
  <c r="D715" i="1"/>
  <c r="E714" i="1"/>
  <c r="D714" i="1"/>
  <c r="E713" i="1"/>
  <c r="D713" i="1"/>
  <c r="E712" i="1"/>
  <c r="D712" i="1"/>
  <c r="E711" i="1"/>
  <c r="D711" i="1"/>
  <c r="E710" i="1"/>
  <c r="D710" i="1"/>
  <c r="E709" i="1"/>
  <c r="D709" i="1"/>
  <c r="E708" i="1"/>
  <c r="D708" i="1"/>
  <c r="E707" i="1"/>
  <c r="D707" i="1"/>
  <c r="E706" i="1"/>
  <c r="D706" i="1"/>
  <c r="E705" i="1"/>
  <c r="D705" i="1"/>
  <c r="E704" i="1"/>
  <c r="D704" i="1"/>
  <c r="E703" i="1"/>
  <c r="D703" i="1"/>
  <c r="E702" i="1"/>
  <c r="D702" i="1"/>
  <c r="E701" i="1"/>
  <c r="D701" i="1"/>
  <c r="E700" i="1"/>
  <c r="D700" i="1"/>
  <c r="E699" i="1"/>
  <c r="D699" i="1"/>
  <c r="E698" i="1"/>
  <c r="D698" i="1"/>
  <c r="E697" i="1"/>
  <c r="D697" i="1"/>
  <c r="E696" i="1"/>
  <c r="D696" i="1"/>
  <c r="E695" i="1"/>
  <c r="D695" i="1"/>
  <c r="E694" i="1"/>
  <c r="D694" i="1"/>
  <c r="E693" i="1"/>
  <c r="D693" i="1"/>
  <c r="E692" i="1"/>
  <c r="D692" i="1"/>
  <c r="E691" i="1"/>
  <c r="D691" i="1"/>
  <c r="E690" i="1"/>
  <c r="D690" i="1"/>
  <c r="E689" i="1"/>
  <c r="D689" i="1"/>
  <c r="E688" i="1"/>
  <c r="D688" i="1"/>
  <c r="E687" i="1"/>
  <c r="D687" i="1"/>
  <c r="E686" i="1"/>
  <c r="D686" i="1"/>
  <c r="E685" i="1"/>
  <c r="D685" i="1"/>
  <c r="E684" i="1"/>
  <c r="D684" i="1"/>
  <c r="E683" i="1"/>
  <c r="D683" i="1"/>
  <c r="E682" i="1"/>
  <c r="D682" i="1"/>
  <c r="E681" i="1"/>
  <c r="D681" i="1"/>
  <c r="E680" i="1"/>
  <c r="D680" i="1"/>
  <c r="E679" i="1"/>
  <c r="D679" i="1"/>
  <c r="E678" i="1"/>
  <c r="D678" i="1"/>
  <c r="E677" i="1"/>
  <c r="D677" i="1"/>
  <c r="E676" i="1"/>
  <c r="D676" i="1"/>
  <c r="E675" i="1"/>
  <c r="D675" i="1"/>
  <c r="E674" i="1"/>
  <c r="D674" i="1"/>
  <c r="E673" i="1"/>
  <c r="D673" i="1"/>
  <c r="E672" i="1"/>
  <c r="D672" i="1"/>
  <c r="E671" i="1"/>
  <c r="D671" i="1"/>
  <c r="E670" i="1"/>
  <c r="D670" i="1"/>
  <c r="E669" i="1"/>
  <c r="D669" i="1"/>
  <c r="E668" i="1"/>
  <c r="D668" i="1"/>
  <c r="E667" i="1"/>
  <c r="D667" i="1"/>
  <c r="E666" i="1"/>
  <c r="D666" i="1"/>
  <c r="E665" i="1"/>
  <c r="D665" i="1"/>
  <c r="E664" i="1"/>
  <c r="D664" i="1"/>
  <c r="E663" i="1"/>
  <c r="D663" i="1"/>
  <c r="E662" i="1"/>
  <c r="D662" i="1"/>
  <c r="E661" i="1"/>
  <c r="D661" i="1"/>
  <c r="E660" i="1"/>
  <c r="D660" i="1"/>
  <c r="E659" i="1"/>
  <c r="D659" i="1"/>
  <c r="E658" i="1"/>
  <c r="D658" i="1"/>
  <c r="E657" i="1"/>
  <c r="D657" i="1"/>
  <c r="E656" i="1"/>
  <c r="D656" i="1"/>
  <c r="H202" i="1"/>
  <c r="E27" i="3" s="1"/>
  <c r="G58" i="4" s="1"/>
  <c r="G59" i="4" s="1"/>
  <c r="B341" i="2"/>
  <c r="C341" i="2"/>
  <c r="D341" i="2"/>
  <c r="B342" i="2"/>
  <c r="C342" i="2"/>
  <c r="D342" i="2"/>
  <c r="B343" i="2"/>
  <c r="C343" i="2"/>
  <c r="D343" i="2"/>
  <c r="B344" i="2"/>
  <c r="C344" i="2"/>
  <c r="D344" i="2"/>
  <c r="B345" i="2"/>
  <c r="C345" i="2"/>
  <c r="D345" i="2"/>
  <c r="B346" i="2"/>
  <c r="C346" i="2"/>
  <c r="D346" i="2"/>
  <c r="E346" i="2" s="1"/>
  <c r="F346" i="2" s="1"/>
  <c r="G346" i="2" s="1"/>
  <c r="B347" i="2"/>
  <c r="C347" i="2"/>
  <c r="D347" i="2"/>
  <c r="B348" i="2"/>
  <c r="C348" i="2"/>
  <c r="D348" i="2"/>
  <c r="B349" i="2"/>
  <c r="C349" i="2"/>
  <c r="D349" i="2"/>
  <c r="B350" i="2"/>
  <c r="C350" i="2"/>
  <c r="D350" i="2"/>
  <c r="B351" i="2"/>
  <c r="C351" i="2"/>
  <c r="D351" i="2"/>
  <c r="B352" i="2"/>
  <c r="C352" i="2"/>
  <c r="D352" i="2"/>
  <c r="B354" i="2"/>
  <c r="C354" i="2"/>
  <c r="D354" i="2"/>
  <c r="E354" i="2" s="1"/>
  <c r="F354" i="2" s="1"/>
  <c r="G354" i="2" s="1"/>
  <c r="H354" i="2" s="1"/>
  <c r="B355" i="2"/>
  <c r="C355" i="2"/>
  <c r="D355" i="2"/>
  <c r="B356" i="2"/>
  <c r="C356" i="2"/>
  <c r="D356" i="2"/>
  <c r="B357" i="2"/>
  <c r="C357" i="2"/>
  <c r="D357" i="2"/>
  <c r="E357" i="2" s="1"/>
  <c r="F357" i="2" s="1"/>
  <c r="G357" i="2" s="1"/>
  <c r="H357" i="2" s="1"/>
  <c r="I357" i="2" s="1"/>
  <c r="B358" i="2"/>
  <c r="C358" i="2"/>
  <c r="D358" i="2"/>
  <c r="B359" i="2"/>
  <c r="C359" i="2"/>
  <c r="D359" i="2"/>
  <c r="B360" i="2"/>
  <c r="C360" i="2"/>
  <c r="D360" i="2"/>
  <c r="B328" i="2"/>
  <c r="C328" i="2"/>
  <c r="D328" i="2"/>
  <c r="B329" i="2"/>
  <c r="C329" i="2"/>
  <c r="D329" i="2"/>
  <c r="B330" i="2"/>
  <c r="C330" i="2"/>
  <c r="D330" i="2"/>
  <c r="B331" i="2"/>
  <c r="C331" i="2"/>
  <c r="D331" i="2"/>
  <c r="B332" i="2"/>
  <c r="C332" i="2"/>
  <c r="D332" i="2"/>
  <c r="B333" i="2"/>
  <c r="C333" i="2"/>
  <c r="D333" i="2"/>
  <c r="B334" i="2"/>
  <c r="C334" i="2"/>
  <c r="D334" i="2"/>
  <c r="B335" i="2"/>
  <c r="C335" i="2"/>
  <c r="D335" i="2"/>
  <c r="E335" i="2" s="1"/>
  <c r="F335" i="2" s="1"/>
  <c r="G335" i="2" s="1"/>
  <c r="H335" i="2" s="1"/>
  <c r="I335" i="2" s="1"/>
  <c r="B336" i="2"/>
  <c r="C336" i="2"/>
  <c r="D336" i="2"/>
  <c r="B337" i="2"/>
  <c r="C337" i="2"/>
  <c r="D337" i="2"/>
  <c r="C327" i="2"/>
  <c r="D327" i="2"/>
  <c r="B327" i="2"/>
  <c r="D297" i="2"/>
  <c r="B274" i="2"/>
  <c r="C274" i="2"/>
  <c r="D274" i="2"/>
  <c r="B275" i="2"/>
  <c r="C275" i="2"/>
  <c r="D275" i="2"/>
  <c r="B276" i="2"/>
  <c r="C276" i="2"/>
  <c r="D276" i="2"/>
  <c r="B277" i="2"/>
  <c r="C277" i="2"/>
  <c r="D277" i="2"/>
  <c r="B278" i="2"/>
  <c r="C278" i="2"/>
  <c r="E278" i="2" s="1"/>
  <c r="F278" i="2" s="1"/>
  <c r="G278" i="2" s="1"/>
  <c r="H278" i="2" s="1"/>
  <c r="I278" i="2" s="1"/>
  <c r="D278" i="2"/>
  <c r="B279" i="2"/>
  <c r="C279" i="2"/>
  <c r="D279" i="2"/>
  <c r="E279" i="2" s="1"/>
  <c r="F279" i="2" s="1"/>
  <c r="G279" i="2" s="1"/>
  <c r="H279" i="2" s="1"/>
  <c r="I279" i="2" s="1"/>
  <c r="B280" i="2"/>
  <c r="C280" i="2"/>
  <c r="E280" i="2" s="1"/>
  <c r="F280" i="2" s="1"/>
  <c r="G280" i="2" s="1"/>
  <c r="H280" i="2" s="1"/>
  <c r="I280" i="2" s="1"/>
  <c r="D280" i="2"/>
  <c r="B281" i="2"/>
  <c r="C281" i="2"/>
  <c r="D281" i="2"/>
  <c r="E281" i="2" s="1"/>
  <c r="F281" i="2" s="1"/>
  <c r="G281" i="2" s="1"/>
  <c r="H281" i="2" s="1"/>
  <c r="I281" i="2" s="1"/>
  <c r="B282" i="2"/>
  <c r="C282" i="2"/>
  <c r="E282" i="2" s="1"/>
  <c r="F282" i="2" s="1"/>
  <c r="G282" i="2" s="1"/>
  <c r="H282" i="2" s="1"/>
  <c r="I282" i="2" s="1"/>
  <c r="D282" i="2"/>
  <c r="B283" i="2"/>
  <c r="C283" i="2"/>
  <c r="D283" i="2"/>
  <c r="B284" i="2"/>
  <c r="C284" i="2"/>
  <c r="D284" i="2"/>
  <c r="E284" i="2" s="1"/>
  <c r="F284" i="2" s="1"/>
  <c r="G284" i="2" s="1"/>
  <c r="H284" i="2" s="1"/>
  <c r="I284" i="2" s="1"/>
  <c r="B285" i="2"/>
  <c r="C285" i="2"/>
  <c r="D285" i="2"/>
  <c r="E285" i="2" s="1"/>
  <c r="F285" i="2" s="1"/>
  <c r="G285" i="2" s="1"/>
  <c r="H285" i="2" s="1"/>
  <c r="I285" i="2" s="1"/>
  <c r="B286" i="2"/>
  <c r="C286" i="2"/>
  <c r="D286" i="2"/>
  <c r="E286" i="2" s="1"/>
  <c r="F286" i="2" s="1"/>
  <c r="G286" i="2" s="1"/>
  <c r="H286" i="2" s="1"/>
  <c r="I286" i="2" s="1"/>
  <c r="B287" i="2"/>
  <c r="C287" i="2"/>
  <c r="D287" i="2"/>
  <c r="E287" i="2" s="1"/>
  <c r="F287" i="2" s="1"/>
  <c r="G287" i="2" s="1"/>
  <c r="H287" i="2" s="1"/>
  <c r="I287" i="2" s="1"/>
  <c r="B288" i="2"/>
  <c r="C288" i="2"/>
  <c r="D288" i="2"/>
  <c r="B289" i="2"/>
  <c r="C289" i="2"/>
  <c r="D289" i="2"/>
  <c r="B290" i="2"/>
  <c r="C290" i="2"/>
  <c r="D290" i="2"/>
  <c r="B291" i="2"/>
  <c r="C291" i="2"/>
  <c r="D291" i="2"/>
  <c r="B292" i="2"/>
  <c r="C292" i="2"/>
  <c r="D292" i="2"/>
  <c r="B293" i="2"/>
  <c r="C293" i="2"/>
  <c r="D293" i="2"/>
  <c r="B294" i="2"/>
  <c r="C294" i="2"/>
  <c r="D294" i="2"/>
  <c r="B295" i="2"/>
  <c r="C295" i="2"/>
  <c r="D295" i="2"/>
  <c r="B296" i="2"/>
  <c r="C296" i="2"/>
  <c r="D296" i="2"/>
  <c r="B297" i="2"/>
  <c r="C297" i="2"/>
  <c r="B298" i="2"/>
  <c r="C298" i="2"/>
  <c r="D298" i="2"/>
  <c r="B299" i="2"/>
  <c r="C299" i="2"/>
  <c r="D299" i="2"/>
  <c r="B300" i="2"/>
  <c r="C300" i="2"/>
  <c r="D300" i="2"/>
  <c r="B301" i="2"/>
  <c r="C301" i="2"/>
  <c r="D301" i="2"/>
  <c r="B302" i="2"/>
  <c r="C302" i="2"/>
  <c r="D302" i="2"/>
  <c r="B303" i="2"/>
  <c r="C303" i="2"/>
  <c r="D303" i="2"/>
  <c r="B304" i="2"/>
  <c r="C304" i="2"/>
  <c r="D304" i="2"/>
  <c r="B305" i="2"/>
  <c r="C305" i="2"/>
  <c r="D305" i="2"/>
  <c r="B306" i="2"/>
  <c r="C306" i="2"/>
  <c r="D306" i="2"/>
  <c r="B307" i="2"/>
  <c r="C307" i="2"/>
  <c r="D307" i="2"/>
  <c r="B308" i="2"/>
  <c r="C308" i="2"/>
  <c r="D308" i="2"/>
  <c r="B309" i="2"/>
  <c r="C309" i="2"/>
  <c r="D309" i="2"/>
  <c r="B310" i="2"/>
  <c r="C310" i="2"/>
  <c r="D310" i="2"/>
  <c r="B311" i="2"/>
  <c r="C311" i="2"/>
  <c r="D311" i="2"/>
  <c r="B312" i="2"/>
  <c r="C312" i="2"/>
  <c r="D312" i="2"/>
  <c r="B313" i="2"/>
  <c r="C313" i="2"/>
  <c r="D313" i="2"/>
  <c r="B314" i="2"/>
  <c r="C314" i="2"/>
  <c r="D314" i="2"/>
  <c r="B315" i="2"/>
  <c r="C315" i="2"/>
  <c r="D315" i="2"/>
  <c r="B316" i="2"/>
  <c r="C316" i="2"/>
  <c r="D316" i="2"/>
  <c r="B317" i="2"/>
  <c r="C317" i="2"/>
  <c r="D317" i="2"/>
  <c r="B318" i="2"/>
  <c r="C318" i="2"/>
  <c r="D318" i="2"/>
  <c r="B319" i="2"/>
  <c r="C319" i="2"/>
  <c r="D319" i="2"/>
  <c r="B320" i="2"/>
  <c r="C320" i="2"/>
  <c r="D320" i="2"/>
  <c r="B321" i="2"/>
  <c r="C321" i="2"/>
  <c r="D321" i="2"/>
  <c r="E320" i="2" s="1"/>
  <c r="C273" i="2"/>
  <c r="D273" i="2"/>
  <c r="B273" i="2"/>
  <c r="B399" i="1"/>
  <c r="K397" i="1"/>
  <c r="L397" i="1"/>
  <c r="M397" i="1"/>
  <c r="N397" i="1"/>
  <c r="J397" i="1"/>
  <c r="C399" i="1"/>
  <c r="D399" i="1"/>
  <c r="E399" i="1"/>
  <c r="F399" i="1"/>
  <c r="G399" i="1"/>
  <c r="C260" i="2"/>
  <c r="D260" i="2"/>
  <c r="C261" i="2"/>
  <c r="D261" i="2"/>
  <c r="C262" i="2"/>
  <c r="D262" i="2"/>
  <c r="C263" i="2"/>
  <c r="D263" i="2"/>
  <c r="C264" i="2"/>
  <c r="D264" i="2"/>
  <c r="C265" i="2"/>
  <c r="D265" i="2"/>
  <c r="C266" i="2"/>
  <c r="D266" i="2"/>
  <c r="B261" i="2"/>
  <c r="B262" i="2"/>
  <c r="B263" i="2"/>
  <c r="B264" i="2"/>
  <c r="B265" i="2"/>
  <c r="B266" i="2"/>
  <c r="B260" i="2"/>
  <c r="C79" i="2"/>
  <c r="D79" i="2"/>
  <c r="C80" i="2"/>
  <c r="D80" i="2"/>
  <c r="B80" i="2"/>
  <c r="B79" i="2"/>
  <c r="C63" i="2"/>
  <c r="D63" i="2"/>
  <c r="C66" i="2"/>
  <c r="D66" i="2"/>
  <c r="C67" i="2"/>
  <c r="D67" i="2"/>
  <c r="C71" i="2"/>
  <c r="D71" i="2"/>
  <c r="E71" i="2" s="1"/>
  <c r="F71" i="2" s="1"/>
  <c r="G71" i="2" s="1"/>
  <c r="H71" i="2" s="1"/>
  <c r="I71" i="2" s="1"/>
  <c r="B63" i="2"/>
  <c r="B71" i="2"/>
  <c r="B67" i="2"/>
  <c r="B66" i="2"/>
  <c r="C233" i="2"/>
  <c r="D233" i="2"/>
  <c r="C234" i="2"/>
  <c r="D234" i="2"/>
  <c r="C235" i="2"/>
  <c r="D235" i="2"/>
  <c r="C236" i="2"/>
  <c r="D236" i="2"/>
  <c r="C237" i="2"/>
  <c r="D237" i="2"/>
  <c r="B236" i="2"/>
  <c r="B237" i="2"/>
  <c r="B235" i="2"/>
  <c r="B234" i="2"/>
  <c r="B233" i="2"/>
  <c r="C229" i="2"/>
  <c r="D229" i="2"/>
  <c r="C230" i="2"/>
  <c r="D230" i="2"/>
  <c r="C231" i="2"/>
  <c r="D231" i="2"/>
  <c r="B231" i="2"/>
  <c r="B230" i="2"/>
  <c r="B229" i="2"/>
  <c r="B53" i="2"/>
  <c r="C53" i="2"/>
  <c r="D53" i="2"/>
  <c r="B54" i="2"/>
  <c r="C54" i="2"/>
  <c r="D54" i="2"/>
  <c r="B58" i="2"/>
  <c r="C58" i="2"/>
  <c r="D58" i="2"/>
  <c r="G287" i="1"/>
  <c r="F287" i="1"/>
  <c r="E287" i="1"/>
  <c r="D287" i="1"/>
  <c r="G285" i="1"/>
  <c r="F285" i="1"/>
  <c r="E285" i="1"/>
  <c r="D285" i="1"/>
  <c r="C285" i="1"/>
  <c r="B285" i="1"/>
  <c r="G271" i="1"/>
  <c r="F271" i="1"/>
  <c r="E271" i="1"/>
  <c r="D271" i="1"/>
  <c r="G269" i="1"/>
  <c r="F269" i="1"/>
  <c r="E269" i="1"/>
  <c r="D269" i="1"/>
  <c r="C269" i="1"/>
  <c r="B269" i="1"/>
  <c r="B252" i="1"/>
  <c r="C252" i="1"/>
  <c r="E252" i="1"/>
  <c r="F252" i="1"/>
  <c r="G252" i="1"/>
  <c r="D252" i="1"/>
  <c r="E254" i="1"/>
  <c r="F254" i="1"/>
  <c r="G254" i="1"/>
  <c r="D254" i="1"/>
  <c r="N36" i="3"/>
  <c r="N38" i="3" s="1"/>
  <c r="I220" i="2" s="1"/>
  <c r="I310" i="2" s="1"/>
  <c r="M36" i="3"/>
  <c r="M38" i="3" s="1"/>
  <c r="H220" i="2" s="1"/>
  <c r="G235" i="2" s="1"/>
  <c r="L36" i="3"/>
  <c r="L38" i="3" s="1"/>
  <c r="G220" i="2" s="1"/>
  <c r="F235" i="2" s="1"/>
  <c r="K36" i="3"/>
  <c r="K38" i="3" s="1"/>
  <c r="F220" i="2" s="1"/>
  <c r="E235" i="2" s="1"/>
  <c r="J36" i="3"/>
  <c r="J38" i="3" s="1"/>
  <c r="E220" i="2" s="1"/>
  <c r="C315" i="1"/>
  <c r="D315" i="1"/>
  <c r="E315" i="1"/>
  <c r="B258" i="2" s="1"/>
  <c r="F315" i="1"/>
  <c r="C258" i="2" s="1"/>
  <c r="G315" i="1"/>
  <c r="D258" i="2" s="1"/>
  <c r="B315" i="1"/>
  <c r="B310" i="1"/>
  <c r="C310" i="1"/>
  <c r="D310" i="1"/>
  <c r="E310" i="1"/>
  <c r="B253" i="2" s="1"/>
  <c r="F310" i="1"/>
  <c r="C253" i="2" s="1"/>
  <c r="G310" i="1"/>
  <c r="D253" i="2" s="1"/>
  <c r="B311" i="1"/>
  <c r="C311" i="1"/>
  <c r="D311" i="1"/>
  <c r="E311" i="1"/>
  <c r="B254" i="2" s="1"/>
  <c r="F311" i="1"/>
  <c r="C254" i="2" s="1"/>
  <c r="G311" i="1"/>
  <c r="D254" i="2" s="1"/>
  <c r="C307" i="1"/>
  <c r="L568" i="1" s="1"/>
  <c r="D307" i="1"/>
  <c r="M568" i="1" s="1"/>
  <c r="E307" i="1"/>
  <c r="N568" i="1" s="1"/>
  <c r="F307" i="1"/>
  <c r="O568" i="1" s="1"/>
  <c r="G307" i="1"/>
  <c r="P568" i="1" s="1"/>
  <c r="B307" i="1"/>
  <c r="K549" i="1" s="1"/>
  <c r="K550" i="1" s="1"/>
  <c r="D624" i="1"/>
  <c r="C624" i="1"/>
  <c r="L623" i="1" s="1"/>
  <c r="M623" i="1" s="1"/>
  <c r="B42" i="2"/>
  <c r="E192" i="2"/>
  <c r="E193" i="2"/>
  <c r="F193" i="2"/>
  <c r="G193" i="2"/>
  <c r="H193" i="2"/>
  <c r="I193" i="2"/>
  <c r="E194" i="2"/>
  <c r="F194" i="2"/>
  <c r="G194" i="2"/>
  <c r="H194" i="2"/>
  <c r="I194" i="2"/>
  <c r="F192" i="2"/>
  <c r="G192" i="2"/>
  <c r="H192" i="2"/>
  <c r="I192" i="2"/>
  <c r="C364" i="1"/>
  <c r="D364" i="1"/>
  <c r="E364" i="1"/>
  <c r="F364" i="1"/>
  <c r="G364" i="1"/>
  <c r="B364" i="1"/>
  <c r="G360" i="1"/>
  <c r="G339" i="1"/>
  <c r="C185" i="2"/>
  <c r="D185" i="2"/>
  <c r="C186" i="2"/>
  <c r="D186" i="2"/>
  <c r="D204" i="2" s="1"/>
  <c r="C187" i="2"/>
  <c r="D187" i="2"/>
  <c r="D209" i="2" s="1"/>
  <c r="B186" i="2"/>
  <c r="B187" i="2"/>
  <c r="B185" i="2"/>
  <c r="C116" i="2"/>
  <c r="D116" i="2"/>
  <c r="D130" i="2" s="1"/>
  <c r="C114" i="2"/>
  <c r="D114" i="2"/>
  <c r="D129" i="2" s="1"/>
  <c r="D173" i="2" s="1"/>
  <c r="C112" i="2"/>
  <c r="D112" i="2"/>
  <c r="D128" i="2" s="1"/>
  <c r="D162" i="2" s="1"/>
  <c r="C110" i="2"/>
  <c r="D110" i="2"/>
  <c r="D127" i="2" s="1"/>
  <c r="D151" i="2" s="1"/>
  <c r="C108" i="2"/>
  <c r="D108" i="2"/>
  <c r="D126" i="2" s="1"/>
  <c r="D140" i="2" s="1"/>
  <c r="C106" i="2"/>
  <c r="D106" i="2"/>
  <c r="D125" i="2" s="1"/>
  <c r="B116" i="2"/>
  <c r="B114" i="2"/>
  <c r="B112" i="2"/>
  <c r="B110" i="2"/>
  <c r="B108" i="2"/>
  <c r="B106" i="2"/>
  <c r="G328" i="1"/>
  <c r="G335" i="1" s="1"/>
  <c r="C121" i="2"/>
  <c r="D121" i="2"/>
  <c r="B121" i="2"/>
  <c r="B375" i="1"/>
  <c r="C375" i="1"/>
  <c r="E375" i="1"/>
  <c r="F375" i="1"/>
  <c r="B376" i="1"/>
  <c r="C376" i="1"/>
  <c r="D376" i="1"/>
  <c r="E376" i="1"/>
  <c r="F376" i="1"/>
  <c r="B377" i="1"/>
  <c r="C377" i="1"/>
  <c r="D377" i="1"/>
  <c r="E377" i="1"/>
  <c r="F377" i="1"/>
  <c r="G376" i="1"/>
  <c r="G377" i="1"/>
  <c r="G375" i="1"/>
  <c r="C120" i="2"/>
  <c r="D120" i="2"/>
  <c r="B120" i="2"/>
  <c r="B393" i="1"/>
  <c r="C393" i="1"/>
  <c r="D393" i="1"/>
  <c r="E393" i="1"/>
  <c r="F393" i="1"/>
  <c r="B394" i="1"/>
  <c r="C394" i="1"/>
  <c r="D394" i="1"/>
  <c r="E394" i="1"/>
  <c r="F394" i="1"/>
  <c r="G394" i="1"/>
  <c r="G393" i="1"/>
  <c r="C44" i="2"/>
  <c r="D44" i="2"/>
  <c r="B44" i="2"/>
  <c r="C42" i="2"/>
  <c r="D42" i="2"/>
  <c r="C37" i="2"/>
  <c r="D37" i="2"/>
  <c r="C39" i="2"/>
  <c r="D39" i="2"/>
  <c r="C41" i="2"/>
  <c r="D41" i="2"/>
  <c r="B41" i="2"/>
  <c r="B39" i="2"/>
  <c r="B37" i="2"/>
  <c r="F28" i="3"/>
  <c r="C26" i="2"/>
  <c r="D26" i="2"/>
  <c r="B26" i="2"/>
  <c r="C25" i="2"/>
  <c r="C76" i="2" s="1"/>
  <c r="D25" i="2"/>
  <c r="D76" i="2" s="1"/>
  <c r="B25" i="2"/>
  <c r="B76" i="2" s="1"/>
  <c r="C14" i="2"/>
  <c r="D14" i="2"/>
  <c r="B14" i="2"/>
  <c r="H183" i="1"/>
  <c r="C4" i="2"/>
  <c r="C50" i="2" s="1"/>
  <c r="D4" i="2"/>
  <c r="D50" i="2" s="1"/>
  <c r="B4" i="2"/>
  <c r="B50" i="2" s="1"/>
  <c r="F36" i="3"/>
  <c r="E36" i="3"/>
  <c r="D220" i="1"/>
  <c r="E220" i="1"/>
  <c r="B27" i="2" s="1"/>
  <c r="F220" i="1"/>
  <c r="C27" i="2" s="1"/>
  <c r="G220" i="1"/>
  <c r="D27" i="2" s="1"/>
  <c r="C221" i="1"/>
  <c r="D221" i="1"/>
  <c r="E221" i="1"/>
  <c r="B28" i="2" s="1"/>
  <c r="F221" i="1"/>
  <c r="C28" i="2" s="1"/>
  <c r="G221" i="1"/>
  <c r="D28" i="2" s="1"/>
  <c r="C222" i="1"/>
  <c r="D222" i="1"/>
  <c r="E222" i="1"/>
  <c r="B29" i="2" s="1"/>
  <c r="F222" i="1"/>
  <c r="C29" i="2" s="1"/>
  <c r="G222" i="1"/>
  <c r="D29" i="2" s="1"/>
  <c r="C223" i="1"/>
  <c r="D223" i="1"/>
  <c r="E223" i="1"/>
  <c r="B30" i="2" s="1"/>
  <c r="F223" i="1"/>
  <c r="C30" i="2" s="1"/>
  <c r="G223" i="1"/>
  <c r="D30" i="2" s="1"/>
  <c r="C224" i="1"/>
  <c r="D224" i="1"/>
  <c r="E224" i="1"/>
  <c r="B31" i="2" s="1"/>
  <c r="F224" i="1"/>
  <c r="C31" i="2" s="1"/>
  <c r="G224" i="1"/>
  <c r="D31" i="2" s="1"/>
  <c r="C220" i="1"/>
  <c r="D206" i="1"/>
  <c r="E206" i="1"/>
  <c r="B18" i="2" s="1"/>
  <c r="F206" i="1"/>
  <c r="C18" i="2" s="1"/>
  <c r="G206" i="1"/>
  <c r="D18" i="2" s="1"/>
  <c r="D207" i="1"/>
  <c r="E207" i="1"/>
  <c r="B19" i="2" s="1"/>
  <c r="F207" i="1"/>
  <c r="C19" i="2" s="1"/>
  <c r="G207" i="1"/>
  <c r="D19" i="2" s="1"/>
  <c r="D208" i="1"/>
  <c r="E208" i="1"/>
  <c r="B21" i="2" s="1"/>
  <c r="F208" i="1"/>
  <c r="C21" i="2" s="1"/>
  <c r="G208" i="1"/>
  <c r="D21" i="2" s="1"/>
  <c r="D209" i="1"/>
  <c r="E209" i="1"/>
  <c r="B20" i="2" s="1"/>
  <c r="F209" i="1"/>
  <c r="C20" i="2" s="1"/>
  <c r="G209" i="1"/>
  <c r="D20" i="2" s="1"/>
  <c r="G205" i="1"/>
  <c r="D17" i="2" s="1"/>
  <c r="F205" i="1"/>
  <c r="C17" i="2" s="1"/>
  <c r="E205" i="1"/>
  <c r="B17" i="2" s="1"/>
  <c r="D205" i="1"/>
  <c r="C206" i="1"/>
  <c r="C207" i="1"/>
  <c r="C208" i="1"/>
  <c r="C209" i="1"/>
  <c r="C205" i="1"/>
  <c r="A171" i="2"/>
  <c r="A160" i="2"/>
  <c r="D189" i="1"/>
  <c r="E189" i="1"/>
  <c r="B7" i="2" s="1"/>
  <c r="F189" i="1"/>
  <c r="C7" i="2" s="1"/>
  <c r="G189" i="1"/>
  <c r="D7" i="2" s="1"/>
  <c r="D190" i="1"/>
  <c r="E190" i="1"/>
  <c r="B8" i="2" s="1"/>
  <c r="F190" i="1"/>
  <c r="C8" i="2" s="1"/>
  <c r="G190" i="1"/>
  <c r="D8" i="2" s="1"/>
  <c r="D191" i="1"/>
  <c r="E191" i="1"/>
  <c r="B9" i="2" s="1"/>
  <c r="F191" i="1"/>
  <c r="C9" i="2" s="1"/>
  <c r="G191" i="1"/>
  <c r="D9" i="2" s="1"/>
  <c r="D192" i="1"/>
  <c r="E192" i="1"/>
  <c r="B10" i="2" s="1"/>
  <c r="F192" i="1"/>
  <c r="C10" i="2" s="1"/>
  <c r="G192" i="1"/>
  <c r="D10" i="2" s="1"/>
  <c r="A149" i="2"/>
  <c r="A138" i="2"/>
  <c r="C190" i="1"/>
  <c r="C191" i="1"/>
  <c r="C192" i="1"/>
  <c r="C189" i="1"/>
  <c r="C203" i="1"/>
  <c r="C204" i="1" s="1"/>
  <c r="D203" i="1"/>
  <c r="D204" i="1" s="1"/>
  <c r="E203" i="1"/>
  <c r="F203" i="1"/>
  <c r="G203" i="1"/>
  <c r="B203" i="1"/>
  <c r="C187" i="1"/>
  <c r="C188" i="1" s="1"/>
  <c r="D187" i="1"/>
  <c r="D188" i="1" s="1"/>
  <c r="E187" i="1"/>
  <c r="B5" i="2" s="1"/>
  <c r="F187" i="1"/>
  <c r="F188" i="1" s="1"/>
  <c r="C6" i="2" s="1"/>
  <c r="G187" i="1"/>
  <c r="G188" i="1" s="1"/>
  <c r="D6" i="2" s="1"/>
  <c r="B187" i="1"/>
  <c r="F31" i="3"/>
  <c r="K35" i="4" s="1"/>
  <c r="K37" i="4" s="1"/>
  <c r="F32" i="3"/>
  <c r="K65" i="4" s="1"/>
  <c r="E33" i="3"/>
  <c r="F33" i="3" s="1"/>
  <c r="E32" i="3"/>
  <c r="G65" i="4" s="1"/>
  <c r="G67" i="4" s="1"/>
  <c r="E31" i="3"/>
  <c r="G35" i="4" s="1"/>
  <c r="C242" i="1"/>
  <c r="D242" i="1"/>
  <c r="E242" i="1"/>
  <c r="F242" i="1"/>
  <c r="G242" i="1"/>
  <c r="H242" i="1"/>
  <c r="B242" i="1"/>
  <c r="F26" i="3"/>
  <c r="H28" i="4" s="1"/>
  <c r="H30" i="4" s="1"/>
  <c r="F27" i="3"/>
  <c r="H58" i="4" s="1"/>
  <c r="H60" i="4" s="1"/>
  <c r="C232" i="1"/>
  <c r="D232" i="1"/>
  <c r="E232" i="1"/>
  <c r="F232" i="1"/>
  <c r="G232" i="1"/>
  <c r="C230" i="1"/>
  <c r="D230" i="1"/>
  <c r="E230" i="1"/>
  <c r="F230" i="1"/>
  <c r="G230" i="1"/>
  <c r="B232" i="1"/>
  <c r="B230" i="1"/>
  <c r="D250" i="2" l="1"/>
  <c r="C250" i="2"/>
  <c r="B250" i="2"/>
  <c r="B46" i="7"/>
  <c r="B49" i="7" s="1"/>
  <c r="D47" i="7"/>
  <c r="D46" i="7"/>
  <c r="D49" i="7" s="1"/>
  <c r="B47" i="7"/>
  <c r="E47" i="7"/>
  <c r="F47" i="7"/>
  <c r="C47" i="7"/>
  <c r="G46" i="7"/>
  <c r="G49" i="7" s="1"/>
  <c r="C46" i="7"/>
  <c r="C49" i="7" s="1"/>
  <c r="G47" i="7"/>
  <c r="E46" i="7"/>
  <c r="E49" i="7" s="1"/>
  <c r="F46" i="7"/>
  <c r="F49" i="7" s="1"/>
  <c r="B14" i="6"/>
  <c r="B17" i="6" s="1"/>
  <c r="K152" i="4" s="1"/>
  <c r="K153" i="4" s="1"/>
  <c r="P549" i="1"/>
  <c r="P571" i="1" s="1"/>
  <c r="K568" i="1"/>
  <c r="K571" i="1" s="1"/>
  <c r="K76" i="4"/>
  <c r="K72" i="4" s="1"/>
  <c r="E151" i="2"/>
  <c r="F151" i="2" s="1"/>
  <c r="G151" i="2" s="1"/>
  <c r="H151" i="2" s="1"/>
  <c r="I151" i="2" s="1"/>
  <c r="J58" i="4"/>
  <c r="J59" i="4" s="1"/>
  <c r="K58" i="4"/>
  <c r="H35" i="4"/>
  <c r="H37" i="4" s="1"/>
  <c r="E162" i="2"/>
  <c r="F162" i="2" s="1"/>
  <c r="E173" i="2"/>
  <c r="F173" i="2" s="1"/>
  <c r="G37" i="4"/>
  <c r="K67" i="4"/>
  <c r="I28" i="4"/>
  <c r="I30" i="4" s="1"/>
  <c r="I58" i="4"/>
  <c r="I60" i="4" s="1"/>
  <c r="J28" i="4"/>
  <c r="K28" i="4"/>
  <c r="H65" i="4"/>
  <c r="H67" i="4" s="1"/>
  <c r="I35" i="4"/>
  <c r="I37" i="4" s="1"/>
  <c r="I65" i="4"/>
  <c r="I67" i="4" s="1"/>
  <c r="J35" i="4"/>
  <c r="J36" i="4" s="1"/>
  <c r="J65" i="4"/>
  <c r="J66" i="4" s="1"/>
  <c r="C20" i="9"/>
  <c r="H76" i="4"/>
  <c r="H72" i="4" s="1"/>
  <c r="H59" i="4"/>
  <c r="H56" i="4" s="1"/>
  <c r="H15" i="4"/>
  <c r="H12" i="4" s="1"/>
  <c r="G66" i="4"/>
  <c r="G63" i="4" s="1"/>
  <c r="E21" i="2" s="1"/>
  <c r="H75" i="4"/>
  <c r="G36" i="4"/>
  <c r="K66" i="4"/>
  <c r="K15" i="4"/>
  <c r="K16" i="4"/>
  <c r="K12" i="4" s="1"/>
  <c r="H29" i="4"/>
  <c r="H26" i="4" s="1"/>
  <c r="K36" i="4"/>
  <c r="K33" i="4" s="1"/>
  <c r="E209" i="2"/>
  <c r="F209" i="2" s="1"/>
  <c r="E204" i="2"/>
  <c r="E205" i="2" s="1"/>
  <c r="E186" i="2" s="1"/>
  <c r="J15" i="4"/>
  <c r="J76" i="4"/>
  <c r="J72" i="4" s="1"/>
  <c r="J16" i="4"/>
  <c r="J12" i="4" s="1"/>
  <c r="K75" i="4"/>
  <c r="G75" i="4"/>
  <c r="G16" i="4"/>
  <c r="G12" i="4" s="1"/>
  <c r="E7" i="2" s="1"/>
  <c r="G60" i="4"/>
  <c r="G56" i="4" s="1"/>
  <c r="E20" i="2" s="1"/>
  <c r="G72" i="4"/>
  <c r="E28" i="2" s="1"/>
  <c r="I15" i="4"/>
  <c r="I76" i="4"/>
  <c r="I72" i="4" s="1"/>
  <c r="I75" i="4"/>
  <c r="I12" i="4"/>
  <c r="C10" i="6"/>
  <c r="E7" i="6" s="1"/>
  <c r="F7" i="6" s="1"/>
  <c r="B7" i="7"/>
  <c r="B6" i="7"/>
  <c r="E336" i="2"/>
  <c r="F336" i="2" s="1"/>
  <c r="G336" i="2" s="1"/>
  <c r="H336" i="2" s="1"/>
  <c r="I336" i="2" s="1"/>
  <c r="E350" i="2"/>
  <c r="F350" i="2" s="1"/>
  <c r="G350" i="2" s="1"/>
  <c r="H350" i="2" s="1"/>
  <c r="I350" i="2" s="1"/>
  <c r="H235" i="2"/>
  <c r="I235" i="2" s="1"/>
  <c r="B101" i="2"/>
  <c r="C225" i="1"/>
  <c r="E314" i="2"/>
  <c r="E358" i="2" s="1"/>
  <c r="D97" i="2"/>
  <c r="C101" i="2"/>
  <c r="D225" i="1"/>
  <c r="C210" i="1"/>
  <c r="C97" i="2"/>
  <c r="E316" i="2"/>
  <c r="F225" i="1"/>
  <c r="E312" i="2"/>
  <c r="E310" i="2"/>
  <c r="E221" i="2"/>
  <c r="E309" i="2" s="1"/>
  <c r="G310" i="2"/>
  <c r="G221" i="2"/>
  <c r="F221" i="2"/>
  <c r="F309" i="2" s="1"/>
  <c r="F310" i="2"/>
  <c r="H263" i="2"/>
  <c r="F263" i="2"/>
  <c r="G263" i="2"/>
  <c r="I263" i="2"/>
  <c r="E263" i="2"/>
  <c r="H310" i="2"/>
  <c r="H221" i="2"/>
  <c r="N549" i="1"/>
  <c r="N553" i="1" s="1"/>
  <c r="C5" i="2"/>
  <c r="D210" i="1"/>
  <c r="H269" i="1"/>
  <c r="F65" i="3" s="1"/>
  <c r="H285" i="1"/>
  <c r="F69" i="3" s="1"/>
  <c r="O397" i="1"/>
  <c r="F82" i="3" s="1"/>
  <c r="E260" i="2" s="1"/>
  <c r="E333" i="2" s="1"/>
  <c r="B97" i="2"/>
  <c r="E225" i="1"/>
  <c r="O549" i="1"/>
  <c r="O555" i="1" s="1"/>
  <c r="H271" i="1"/>
  <c r="F66" i="3" s="1"/>
  <c r="H287" i="1"/>
  <c r="F70" i="3" s="1"/>
  <c r="D96" i="2"/>
  <c r="I221" i="2"/>
  <c r="C96" i="2"/>
  <c r="E188" i="1"/>
  <c r="B6" i="2" s="1"/>
  <c r="G225" i="1"/>
  <c r="M549" i="1"/>
  <c r="M552" i="1" s="1"/>
  <c r="B96" i="2"/>
  <c r="B238" i="2"/>
  <c r="E219" i="2"/>
  <c r="L549" i="1"/>
  <c r="L554" i="1" s="1"/>
  <c r="B232" i="2"/>
  <c r="D5" i="2"/>
  <c r="B43" i="2"/>
  <c r="H254" i="1"/>
  <c r="F62" i="3" s="1"/>
  <c r="I354" i="2"/>
  <c r="H346" i="2"/>
  <c r="I346" i="2" s="1"/>
  <c r="H399" i="1"/>
  <c r="E261" i="2" s="1"/>
  <c r="F261" i="2" s="1"/>
  <c r="G261" i="2" s="1"/>
  <c r="H261" i="2" s="1"/>
  <c r="I261" i="2" s="1"/>
  <c r="H377" i="1"/>
  <c r="F77" i="3" s="1"/>
  <c r="H376" i="1"/>
  <c r="F76" i="3" s="1"/>
  <c r="N449" i="1"/>
  <c r="N453" i="1"/>
  <c r="N452" i="1"/>
  <c r="N451" i="1"/>
  <c r="N450" i="1"/>
  <c r="N448" i="1"/>
  <c r="N434" i="1"/>
  <c r="N435" i="1"/>
  <c r="N436" i="1"/>
  <c r="N433" i="1"/>
  <c r="M449" i="1"/>
  <c r="M453" i="1"/>
  <c r="M452" i="1"/>
  <c r="M451" i="1"/>
  <c r="M450" i="1"/>
  <c r="M448" i="1"/>
  <c r="M434" i="1"/>
  <c r="M435" i="1"/>
  <c r="M436" i="1"/>
  <c r="M433" i="1"/>
  <c r="L449" i="1"/>
  <c r="L453" i="1"/>
  <c r="L452" i="1"/>
  <c r="L451" i="1"/>
  <c r="L450" i="1"/>
  <c r="L448" i="1"/>
  <c r="L434" i="1"/>
  <c r="L435" i="1"/>
  <c r="L436" i="1"/>
  <c r="L433" i="1"/>
  <c r="K449" i="1"/>
  <c r="K453" i="1"/>
  <c r="K452" i="1"/>
  <c r="K451" i="1"/>
  <c r="K450" i="1"/>
  <c r="K448" i="1"/>
  <c r="K433" i="1"/>
  <c r="K434" i="1"/>
  <c r="K435" i="1"/>
  <c r="K436" i="1"/>
  <c r="J449" i="1"/>
  <c r="J453" i="1"/>
  <c r="J452" i="1"/>
  <c r="J451" i="1"/>
  <c r="J450" i="1"/>
  <c r="J448" i="1"/>
  <c r="J434" i="1"/>
  <c r="J435" i="1"/>
  <c r="J436" i="1"/>
  <c r="J433" i="1"/>
  <c r="E58" i="2"/>
  <c r="D101" i="2"/>
  <c r="D232" i="2"/>
  <c r="C232" i="2"/>
  <c r="D238" i="2"/>
  <c r="C238" i="2"/>
  <c r="H252" i="1"/>
  <c r="F61" i="3" s="1"/>
  <c r="L617" i="1"/>
  <c r="M617" i="1" s="1"/>
  <c r="L618" i="1"/>
  <c r="M618" i="1" s="1"/>
  <c r="L619" i="1"/>
  <c r="M619" i="1" s="1"/>
  <c r="L620" i="1"/>
  <c r="M620" i="1" s="1"/>
  <c r="L621" i="1"/>
  <c r="M621" i="1" s="1"/>
  <c r="L622" i="1"/>
  <c r="M622" i="1" s="1"/>
  <c r="L616" i="1"/>
  <c r="M616" i="1" s="1"/>
  <c r="D43" i="2"/>
  <c r="C43" i="2"/>
  <c r="E140" i="2"/>
  <c r="F140" i="2" s="1"/>
  <c r="G140" i="2" s="1"/>
  <c r="H140" i="2" s="1"/>
  <c r="I140" i="2" s="1"/>
  <c r="O570" i="1"/>
  <c r="O571" i="1"/>
  <c r="O569" i="1"/>
  <c r="N570" i="1"/>
  <c r="N571" i="1"/>
  <c r="N569" i="1"/>
  <c r="M571" i="1"/>
  <c r="M570" i="1"/>
  <c r="M569" i="1"/>
  <c r="L570" i="1"/>
  <c r="L571" i="1"/>
  <c r="L569" i="1"/>
  <c r="D194" i="2"/>
  <c r="D193" i="2"/>
  <c r="D192" i="2"/>
  <c r="D199" i="2"/>
  <c r="E199" i="2" s="1"/>
  <c r="F199" i="2" s="1"/>
  <c r="G386" i="1"/>
  <c r="G380" i="1"/>
  <c r="G257" i="1" s="1"/>
  <c r="D56" i="2" s="1"/>
  <c r="G382" i="1"/>
  <c r="G388" i="1"/>
  <c r="G381" i="1"/>
  <c r="G387" i="1"/>
  <c r="F382" i="1"/>
  <c r="F388" i="1"/>
  <c r="E382" i="1"/>
  <c r="E388" i="1"/>
  <c r="D382" i="1"/>
  <c r="D388" i="1"/>
  <c r="C382" i="1"/>
  <c r="C388" i="1"/>
  <c r="B382" i="1"/>
  <c r="B290" i="1" s="1"/>
  <c r="B388" i="1"/>
  <c r="F381" i="1"/>
  <c r="F274" i="1" s="1"/>
  <c r="C69" i="2" s="1"/>
  <c r="F387" i="1"/>
  <c r="E381" i="1"/>
  <c r="E274" i="1" s="1"/>
  <c r="B69" i="2" s="1"/>
  <c r="E387" i="1"/>
  <c r="D381" i="1"/>
  <c r="D274" i="1" s="1"/>
  <c r="D387" i="1"/>
  <c r="C381" i="1"/>
  <c r="C274" i="1" s="1"/>
  <c r="C387" i="1"/>
  <c r="B381" i="1"/>
  <c r="B274" i="1" s="1"/>
  <c r="B387" i="1"/>
  <c r="F380" i="1"/>
  <c r="F257" i="1" s="1"/>
  <c r="C56" i="2" s="1"/>
  <c r="F386" i="1"/>
  <c r="E380" i="1"/>
  <c r="E257" i="1" s="1"/>
  <c r="B56" i="2" s="1"/>
  <c r="E386" i="1"/>
  <c r="C380" i="1"/>
  <c r="C257" i="1" s="1"/>
  <c r="C386" i="1"/>
  <c r="B380" i="1"/>
  <c r="B257" i="1" s="1"/>
  <c r="B386" i="1"/>
  <c r="G204" i="1"/>
  <c r="D15" i="2"/>
  <c r="F204" i="1"/>
  <c r="C15" i="2"/>
  <c r="E204" i="1"/>
  <c r="B15" i="2"/>
  <c r="K555" i="1"/>
  <c r="K554" i="1"/>
  <c r="K553" i="1"/>
  <c r="K552" i="1"/>
  <c r="K551" i="1"/>
  <c r="E19" i="2"/>
  <c r="E31" i="2"/>
  <c r="E30" i="2"/>
  <c r="G193" i="1"/>
  <c r="F193" i="1"/>
  <c r="D193" i="1"/>
  <c r="C193" i="1"/>
  <c r="H230" i="1"/>
  <c r="F46" i="3" s="1"/>
  <c r="H232" i="1"/>
  <c r="F47" i="3" s="1"/>
  <c r="H184" i="1"/>
  <c r="E19" i="3" s="1"/>
  <c r="H185" i="1"/>
  <c r="I200" i="1"/>
  <c r="H216" i="1"/>
  <c r="H215" i="1"/>
  <c r="H199" i="1"/>
  <c r="H198" i="1"/>
  <c r="E15" i="3" s="1"/>
  <c r="G44" i="4" s="1"/>
  <c r="G45" i="4" s="1"/>
  <c r="B2" i="2"/>
  <c r="C2" i="2"/>
  <c r="D2" i="2"/>
  <c r="B35" i="2"/>
  <c r="C35" i="2"/>
  <c r="D35" i="2"/>
  <c r="B36" i="2"/>
  <c r="C36" i="2"/>
  <c r="D36" i="2"/>
  <c r="P554" i="1" l="1"/>
  <c r="K63" i="4"/>
  <c r="G33" i="4"/>
  <c r="E10" i="2" s="1"/>
  <c r="C324" i="2"/>
  <c r="C248" i="2"/>
  <c r="B324" i="2"/>
  <c r="B248" i="2"/>
  <c r="D324" i="2"/>
  <c r="D248" i="2"/>
  <c r="D272" i="2"/>
  <c r="C272" i="2"/>
  <c r="B272" i="2"/>
  <c r="D215" i="2"/>
  <c r="D227" i="2"/>
  <c r="C215" i="2"/>
  <c r="C227" i="2"/>
  <c r="B215" i="2"/>
  <c r="B227" i="2"/>
  <c r="B190" i="2"/>
  <c r="B196" i="2"/>
  <c r="D190" i="2"/>
  <c r="D196" i="2"/>
  <c r="C190" i="2"/>
  <c r="C196" i="2"/>
  <c r="D137" i="2"/>
  <c r="D183" i="2"/>
  <c r="C137" i="2"/>
  <c r="C183" i="2"/>
  <c r="B137" i="2"/>
  <c r="B183" i="2"/>
  <c r="D94" i="2"/>
  <c r="D104" i="2"/>
  <c r="D123" i="2"/>
  <c r="C94" i="2"/>
  <c r="C104" i="2"/>
  <c r="C123" i="2"/>
  <c r="B94" i="2"/>
  <c r="B104" i="2"/>
  <c r="B123" i="2"/>
  <c r="P553" i="1"/>
  <c r="P552" i="1"/>
  <c r="P551" i="1"/>
  <c r="P570" i="1"/>
  <c r="K569" i="1"/>
  <c r="I152" i="4"/>
  <c r="I154" i="4" s="1"/>
  <c r="K154" i="4"/>
  <c r="L551" i="1"/>
  <c r="K570" i="1"/>
  <c r="P550" i="1"/>
  <c r="P569" i="1"/>
  <c r="P555" i="1"/>
  <c r="D48" i="2"/>
  <c r="B48" i="2"/>
  <c r="C48" i="2"/>
  <c r="G152" i="4"/>
  <c r="G154" i="4" s="1"/>
  <c r="H152" i="4"/>
  <c r="H154" i="4" s="1"/>
  <c r="J152" i="4"/>
  <c r="J154" i="4" s="1"/>
  <c r="M550" i="1"/>
  <c r="M555" i="1"/>
  <c r="E193" i="1"/>
  <c r="O551" i="1"/>
  <c r="J60" i="4"/>
  <c r="J56" i="4" s="1"/>
  <c r="H66" i="4"/>
  <c r="H63" i="4" s="1"/>
  <c r="K60" i="4"/>
  <c r="E258" i="2"/>
  <c r="F58" i="2"/>
  <c r="G58" i="2" s="1"/>
  <c r="H58" i="2" s="1"/>
  <c r="I58" i="2" s="1"/>
  <c r="K59" i="4"/>
  <c r="K29" i="4"/>
  <c r="K30" i="4"/>
  <c r="J29" i="4"/>
  <c r="E8" i="6"/>
  <c r="F8" i="6" s="1"/>
  <c r="E9" i="6"/>
  <c r="F9" i="6" s="1"/>
  <c r="H36" i="4"/>
  <c r="H33" i="4" s="1"/>
  <c r="E4" i="6"/>
  <c r="F4" i="6" s="1"/>
  <c r="E5" i="6"/>
  <c r="F5" i="6" s="1"/>
  <c r="E6" i="6"/>
  <c r="F6" i="6" s="1"/>
  <c r="B23" i="6"/>
  <c r="B25" i="6" s="1"/>
  <c r="I66" i="4"/>
  <c r="I63" i="4" s="1"/>
  <c r="I36" i="4"/>
  <c r="I33" i="4" s="1"/>
  <c r="F204" i="2"/>
  <c r="G204" i="2" s="1"/>
  <c r="H204" i="2" s="1"/>
  <c r="I204" i="2" s="1"/>
  <c r="J67" i="4"/>
  <c r="J63" i="4" s="1"/>
  <c r="I29" i="4"/>
  <c r="I26" i="4" s="1"/>
  <c r="J37" i="4"/>
  <c r="J33" i="4" s="1"/>
  <c r="G112" i="4"/>
  <c r="K112" i="4"/>
  <c r="J112" i="4"/>
  <c r="I112" i="4"/>
  <c r="H112" i="4"/>
  <c r="G21" i="4"/>
  <c r="H127" i="4"/>
  <c r="G127" i="4"/>
  <c r="K127" i="4"/>
  <c r="J127" i="4"/>
  <c r="I127" i="4"/>
  <c r="I59" i="4"/>
  <c r="I56" i="4" s="1"/>
  <c r="J30" i="4"/>
  <c r="G46" i="4"/>
  <c r="G42" i="4" s="1"/>
  <c r="E17" i="2" s="1"/>
  <c r="E210" i="2"/>
  <c r="E187" i="2" s="1"/>
  <c r="O451" i="1"/>
  <c r="F95" i="3" s="1"/>
  <c r="F312" i="2"/>
  <c r="G312" i="2" s="1"/>
  <c r="H312" i="2" s="1"/>
  <c r="I312" i="2" s="1"/>
  <c r="E355" i="2"/>
  <c r="F316" i="2"/>
  <c r="G316" i="2" s="1"/>
  <c r="H316" i="2" s="1"/>
  <c r="I316" i="2" s="1"/>
  <c r="E351" i="2"/>
  <c r="F314" i="2"/>
  <c r="G314" i="2" s="1"/>
  <c r="H314" i="2" s="1"/>
  <c r="I314" i="2" s="1"/>
  <c r="O550" i="1"/>
  <c r="O554" i="1"/>
  <c r="O436" i="1"/>
  <c r="F93" i="3" s="1"/>
  <c r="B239" i="2"/>
  <c r="O553" i="1"/>
  <c r="O552" i="1"/>
  <c r="M554" i="1"/>
  <c r="M553" i="1"/>
  <c r="M551" i="1"/>
  <c r="L553" i="1"/>
  <c r="L552" i="1"/>
  <c r="O433" i="1"/>
  <c r="F90" i="3" s="1"/>
  <c r="F48" i="3"/>
  <c r="L550" i="1"/>
  <c r="L555" i="1"/>
  <c r="N552" i="1"/>
  <c r="N551" i="1"/>
  <c r="H203" i="1"/>
  <c r="O452" i="1"/>
  <c r="O453" i="1"/>
  <c r="O449" i="1"/>
  <c r="F96" i="3" s="1"/>
  <c r="O434" i="1"/>
  <c r="F91" i="3" s="1"/>
  <c r="O435" i="1"/>
  <c r="F92" i="3" s="1"/>
  <c r="N555" i="1"/>
  <c r="N554" i="1"/>
  <c r="O448" i="1"/>
  <c r="F97" i="3" s="1"/>
  <c r="N550" i="1"/>
  <c r="B313" i="1"/>
  <c r="O450" i="1"/>
  <c r="F94" i="3" s="1"/>
  <c r="E222" i="2"/>
  <c r="E349" i="2" s="1"/>
  <c r="F260" i="2"/>
  <c r="F333" i="2" s="1"/>
  <c r="E283" i="2"/>
  <c r="E101" i="2"/>
  <c r="C239" i="2"/>
  <c r="D239" i="2"/>
  <c r="B363" i="1"/>
  <c r="B288" i="1" s="1"/>
  <c r="B289" i="1" s="1"/>
  <c r="B291" i="1"/>
  <c r="C363" i="1"/>
  <c r="C288" i="1" s="1"/>
  <c r="C289" i="1" s="1"/>
  <c r="C291" i="1"/>
  <c r="C338" i="1"/>
  <c r="C281" i="1" s="1"/>
  <c r="C282" i="1" s="1"/>
  <c r="C283" i="1" s="1"/>
  <c r="C290" i="1"/>
  <c r="C313" i="1" s="1"/>
  <c r="D363" i="1"/>
  <c r="D288" i="1" s="1"/>
  <c r="D289" i="1" s="1"/>
  <c r="D291" i="1"/>
  <c r="D338" i="1"/>
  <c r="D281" i="1" s="1"/>
  <c r="D282" i="1" s="1"/>
  <c r="D283" i="1" s="1"/>
  <c r="D290" i="1"/>
  <c r="E363" i="1"/>
  <c r="E288" i="1" s="1"/>
  <c r="E291" i="1"/>
  <c r="B83" i="2" s="1"/>
  <c r="E338" i="1"/>
  <c r="E281" i="1" s="1"/>
  <c r="E290" i="1"/>
  <c r="F363" i="1"/>
  <c r="F288" i="1" s="1"/>
  <c r="F291" i="1"/>
  <c r="C83" i="2" s="1"/>
  <c r="F338" i="1"/>
  <c r="F281" i="1" s="1"/>
  <c r="F290" i="1"/>
  <c r="G363" i="1"/>
  <c r="G288" i="1" s="1"/>
  <c r="G291" i="1"/>
  <c r="D83" i="2" s="1"/>
  <c r="G338" i="1"/>
  <c r="G281" i="1" s="1"/>
  <c r="G290" i="1"/>
  <c r="D82" i="2" s="1"/>
  <c r="B362" i="1"/>
  <c r="B272" i="1" s="1"/>
  <c r="B273" i="1" s="1"/>
  <c r="B275" i="1"/>
  <c r="C362" i="1"/>
  <c r="C272" i="1" s="1"/>
  <c r="C273" i="1" s="1"/>
  <c r="C275" i="1"/>
  <c r="D362" i="1"/>
  <c r="D272" i="1" s="1"/>
  <c r="D273" i="1" s="1"/>
  <c r="D275" i="1"/>
  <c r="E362" i="1"/>
  <c r="E272" i="1" s="1"/>
  <c r="E275" i="1"/>
  <c r="B70" i="2" s="1"/>
  <c r="F362" i="1"/>
  <c r="F272" i="1" s="1"/>
  <c r="F275" i="1"/>
  <c r="C70" i="2" s="1"/>
  <c r="G362" i="1"/>
  <c r="G272" i="1" s="1"/>
  <c r="G275" i="1"/>
  <c r="D70" i="2" s="1"/>
  <c r="G337" i="1"/>
  <c r="G274" i="1"/>
  <c r="L624" i="1"/>
  <c r="M624" i="1"/>
  <c r="J34" i="3" s="1"/>
  <c r="E223" i="2" s="1"/>
  <c r="E224" i="2" s="1"/>
  <c r="Q571" i="1"/>
  <c r="C361" i="1"/>
  <c r="C255" i="1" s="1"/>
  <c r="C256" i="1" s="1"/>
  <c r="C258" i="1"/>
  <c r="E361" i="1"/>
  <c r="E255" i="1" s="1"/>
  <c r="E258" i="1"/>
  <c r="F361" i="1"/>
  <c r="F255" i="1" s="1"/>
  <c r="F258" i="1"/>
  <c r="G361" i="1"/>
  <c r="G255" i="1" s="1"/>
  <c r="G258" i="1"/>
  <c r="B361" i="1"/>
  <c r="B255" i="1" s="1"/>
  <c r="B256" i="1" s="1"/>
  <c r="B258" i="1"/>
  <c r="G209" i="2"/>
  <c r="F210" i="2"/>
  <c r="G336" i="1"/>
  <c r="G248" i="1" s="1"/>
  <c r="D51" i="2" s="1"/>
  <c r="E210" i="1"/>
  <c r="B16" i="2"/>
  <c r="F210" i="1"/>
  <c r="C16" i="2"/>
  <c r="G210" i="1"/>
  <c r="D16" i="2"/>
  <c r="G173" i="2"/>
  <c r="G162" i="2"/>
  <c r="H187" i="1"/>
  <c r="E26" i="3"/>
  <c r="E21" i="3"/>
  <c r="G81" i="4" s="1"/>
  <c r="I199" i="1"/>
  <c r="F20" i="3" s="1"/>
  <c r="E20" i="3"/>
  <c r="I198" i="1"/>
  <c r="F15" i="3" s="1"/>
  <c r="I184" i="1"/>
  <c r="F19" i="3" s="1"/>
  <c r="E2" i="2"/>
  <c r="I183" i="1"/>
  <c r="H219" i="1"/>
  <c r="J598" i="1"/>
  <c r="H598" i="1"/>
  <c r="J26" i="4" l="1"/>
  <c r="K56" i="4"/>
  <c r="K26" i="4"/>
  <c r="Q570" i="1"/>
  <c r="E324" i="2"/>
  <c r="E248" i="2"/>
  <c r="E272" i="2"/>
  <c r="E215" i="2"/>
  <c r="E227" i="2"/>
  <c r="E190" i="2"/>
  <c r="E196" i="2"/>
  <c r="E137" i="2"/>
  <c r="E183" i="2"/>
  <c r="E94" i="2"/>
  <c r="E104" i="2"/>
  <c r="E123" i="2"/>
  <c r="I153" i="4"/>
  <c r="Q569" i="1"/>
  <c r="Q553" i="1"/>
  <c r="J10" i="3" s="1"/>
  <c r="B24" i="6"/>
  <c r="J153" i="4"/>
  <c r="G153" i="4"/>
  <c r="H153" i="4"/>
  <c r="E48" i="2"/>
  <c r="Q552" i="1"/>
  <c r="J9" i="3" s="1"/>
  <c r="Q550" i="1"/>
  <c r="J7" i="3" s="1"/>
  <c r="F258" i="2"/>
  <c r="F10" i="6"/>
  <c r="F358" i="2"/>
  <c r="G358" i="2" s="1"/>
  <c r="H358" i="2" s="1"/>
  <c r="I358" i="2" s="1"/>
  <c r="F187" i="2"/>
  <c r="I129" i="4"/>
  <c r="I128" i="4"/>
  <c r="K21" i="4"/>
  <c r="J21" i="4"/>
  <c r="I21" i="4"/>
  <c r="H21" i="4"/>
  <c r="G51" i="4"/>
  <c r="H44" i="4"/>
  <c r="K44" i="4"/>
  <c r="J44" i="4"/>
  <c r="I44" i="4"/>
  <c r="J128" i="4"/>
  <c r="J129" i="4"/>
  <c r="K129" i="4"/>
  <c r="K128" i="4"/>
  <c r="G129" i="4"/>
  <c r="G128" i="4"/>
  <c r="H129" i="4"/>
  <c r="H128" i="4"/>
  <c r="G22" i="4"/>
  <c r="G23" i="4"/>
  <c r="H114" i="4"/>
  <c r="H113" i="4"/>
  <c r="I114" i="4"/>
  <c r="I113" i="4"/>
  <c r="I110" i="4" s="1"/>
  <c r="J114" i="4"/>
  <c r="J113" i="4"/>
  <c r="K114" i="4"/>
  <c r="K113" i="4"/>
  <c r="K51" i="4"/>
  <c r="J51" i="4"/>
  <c r="I51" i="4"/>
  <c r="H51" i="4"/>
  <c r="G114" i="4"/>
  <c r="G113" i="4"/>
  <c r="G83" i="4"/>
  <c r="G82" i="4"/>
  <c r="G28" i="4"/>
  <c r="F351" i="2"/>
  <c r="G351" i="2" s="1"/>
  <c r="H351" i="2" s="1"/>
  <c r="I351" i="2" s="1"/>
  <c r="F355" i="2"/>
  <c r="G355" i="2" s="1"/>
  <c r="H355" i="2" s="1"/>
  <c r="I355" i="2" s="1"/>
  <c r="B26" i="7"/>
  <c r="E26" i="7" s="1"/>
  <c r="B21" i="7"/>
  <c r="E21" i="7" s="1"/>
  <c r="Q554" i="1"/>
  <c r="J11" i="3" s="1"/>
  <c r="Q551" i="1"/>
  <c r="J8" i="3" s="1"/>
  <c r="Q555" i="1"/>
  <c r="J12" i="3" s="1"/>
  <c r="I187" i="1"/>
  <c r="C314" i="1"/>
  <c r="B314" i="1"/>
  <c r="F219" i="2"/>
  <c r="F224" i="2" s="1"/>
  <c r="F262" i="2" s="1"/>
  <c r="E24" i="10" s="1"/>
  <c r="G260" i="2"/>
  <c r="G333" i="2" s="1"/>
  <c r="F283" i="2"/>
  <c r="G313" i="1"/>
  <c r="D256" i="2" s="1"/>
  <c r="D69" i="2"/>
  <c r="D99" i="2" s="1"/>
  <c r="G273" i="1"/>
  <c r="D68" i="2"/>
  <c r="F273" i="1"/>
  <c r="C68" i="2"/>
  <c r="E273" i="1"/>
  <c r="B68" i="2"/>
  <c r="G282" i="1"/>
  <c r="G292" i="1" s="1"/>
  <c r="D77" i="2"/>
  <c r="G289" i="1"/>
  <c r="D81" i="2"/>
  <c r="F313" i="1"/>
  <c r="C256" i="2" s="1"/>
  <c r="C82" i="2"/>
  <c r="C99" i="2" s="1"/>
  <c r="F282" i="1"/>
  <c r="F292" i="1" s="1"/>
  <c r="C77" i="2"/>
  <c r="F289" i="1"/>
  <c r="C81" i="2"/>
  <c r="E313" i="1"/>
  <c r="B256" i="2" s="1"/>
  <c r="B82" i="2"/>
  <c r="B99" i="2" s="1"/>
  <c r="E282" i="1"/>
  <c r="E292" i="1" s="1"/>
  <c r="B77" i="2"/>
  <c r="E289" i="1"/>
  <c r="B81" i="2"/>
  <c r="G258" i="2"/>
  <c r="F101" i="2"/>
  <c r="E262" i="2"/>
  <c r="D24" i="10" s="1"/>
  <c r="G314" i="1"/>
  <c r="D257" i="2" s="1"/>
  <c r="D57" i="2"/>
  <c r="D100" i="2" s="1"/>
  <c r="G256" i="1"/>
  <c r="D55" i="2"/>
  <c r="F314" i="1"/>
  <c r="C257" i="2" s="1"/>
  <c r="C57" i="2"/>
  <c r="C100" i="2" s="1"/>
  <c r="F256" i="1"/>
  <c r="C55" i="2"/>
  <c r="E314" i="1"/>
  <c r="B257" i="2" s="1"/>
  <c r="B57" i="2"/>
  <c r="B100" i="2" s="1"/>
  <c r="E256" i="1"/>
  <c r="B55" i="2"/>
  <c r="B312" i="1"/>
  <c r="B353" i="1" s="1"/>
  <c r="G312" i="1"/>
  <c r="D255" i="2" s="1"/>
  <c r="F312" i="1"/>
  <c r="C255" i="2" s="1"/>
  <c r="E312" i="1"/>
  <c r="B255" i="2" s="1"/>
  <c r="C312" i="1"/>
  <c r="C353" i="1" s="1"/>
  <c r="D292" i="1"/>
  <c r="C292" i="1"/>
  <c r="G265" i="1"/>
  <c r="D64" i="2" s="1"/>
  <c r="G249" i="1"/>
  <c r="F205" i="2"/>
  <c r="F186" i="2" s="1"/>
  <c r="H209" i="2"/>
  <c r="G210" i="2"/>
  <c r="E40" i="3"/>
  <c r="E15" i="2" s="1"/>
  <c r="E14" i="2" s="1"/>
  <c r="E41" i="3"/>
  <c r="E26" i="2" s="1"/>
  <c r="E25" i="2" s="1"/>
  <c r="F21" i="3"/>
  <c r="H162" i="2"/>
  <c r="H173" i="2"/>
  <c r="E39" i="3"/>
  <c r="E5" i="2" s="1"/>
  <c r="E4" i="2" s="1"/>
  <c r="F40" i="3"/>
  <c r="I203" i="1"/>
  <c r="F39" i="3"/>
  <c r="F2" i="2"/>
  <c r="C506" i="1"/>
  <c r="D506" i="1"/>
  <c r="D368" i="1"/>
  <c r="D375" i="1" s="1"/>
  <c r="H375" i="1" s="1"/>
  <c r="F75" i="3" s="1"/>
  <c r="B347" i="1"/>
  <c r="C347" i="1"/>
  <c r="D347" i="1"/>
  <c r="E347" i="1"/>
  <c r="F347" i="1"/>
  <c r="B337" i="1"/>
  <c r="C337" i="1"/>
  <c r="D337" i="1"/>
  <c r="E337" i="1"/>
  <c r="B338" i="1"/>
  <c r="B281" i="1" s="1"/>
  <c r="B282" i="1" s="1"/>
  <c r="B339" i="1"/>
  <c r="C339" i="1"/>
  <c r="D339" i="1"/>
  <c r="E339" i="1"/>
  <c r="F339" i="1"/>
  <c r="F337" i="1"/>
  <c r="J125" i="4" l="1"/>
  <c r="H125" i="4"/>
  <c r="I125" i="4"/>
  <c r="K125" i="4"/>
  <c r="G79" i="4"/>
  <c r="E29" i="2" s="1"/>
  <c r="E27" i="2" s="1"/>
  <c r="E32" i="2" s="1"/>
  <c r="J110" i="4"/>
  <c r="G125" i="4"/>
  <c r="G19" i="4"/>
  <c r="E8" i="2" s="1"/>
  <c r="K110" i="4"/>
  <c r="G110" i="4"/>
  <c r="H110" i="4"/>
  <c r="F324" i="2"/>
  <c r="F248" i="2"/>
  <c r="F272" i="2"/>
  <c r="F215" i="2"/>
  <c r="F227" i="2"/>
  <c r="F190" i="2"/>
  <c r="F196" i="2"/>
  <c r="F137" i="2"/>
  <c r="F183" i="2"/>
  <c r="F94" i="2"/>
  <c r="F104" i="2"/>
  <c r="F123" i="2"/>
  <c r="B26" i="6"/>
  <c r="F48" i="2"/>
  <c r="H273" i="1"/>
  <c r="F67" i="3" s="1"/>
  <c r="H134" i="4" s="1"/>
  <c r="E76" i="2"/>
  <c r="E80" i="2" s="1"/>
  <c r="F28" i="2"/>
  <c r="E50" i="2"/>
  <c r="E54" i="2" s="1"/>
  <c r="F10" i="2"/>
  <c r="F9" i="2"/>
  <c r="F7" i="2"/>
  <c r="G187" i="2"/>
  <c r="E63" i="2"/>
  <c r="F20" i="2"/>
  <c r="F21" i="2"/>
  <c r="J159" i="4"/>
  <c r="I159" i="4"/>
  <c r="H159" i="4"/>
  <c r="G159" i="4"/>
  <c r="K159" i="4"/>
  <c r="K81" i="4"/>
  <c r="J81" i="4"/>
  <c r="I81" i="4"/>
  <c r="H81" i="4"/>
  <c r="J23" i="4"/>
  <c r="J22" i="4"/>
  <c r="H53" i="4"/>
  <c r="H52" i="4"/>
  <c r="K22" i="4"/>
  <c r="K23" i="4"/>
  <c r="H46" i="4"/>
  <c r="H45" i="4"/>
  <c r="G53" i="4"/>
  <c r="G52" i="4"/>
  <c r="I52" i="4"/>
  <c r="I53" i="4"/>
  <c r="I46" i="4"/>
  <c r="I45" i="4"/>
  <c r="I42" i="4" s="1"/>
  <c r="H22" i="4"/>
  <c r="H23" i="4"/>
  <c r="I23" i="4"/>
  <c r="I22" i="4"/>
  <c r="G29" i="4"/>
  <c r="G30" i="4"/>
  <c r="J53" i="4"/>
  <c r="J52" i="4"/>
  <c r="J46" i="4"/>
  <c r="J45" i="4"/>
  <c r="K52" i="4"/>
  <c r="K53" i="4"/>
  <c r="K46" i="4"/>
  <c r="K45" i="4"/>
  <c r="D98" i="2"/>
  <c r="D102" i="2" s="1"/>
  <c r="F353" i="1"/>
  <c r="F360" i="1" s="1"/>
  <c r="E353" i="1"/>
  <c r="E360" i="1" s="1"/>
  <c r="H289" i="1"/>
  <c r="F71" i="3" s="1"/>
  <c r="C98" i="2"/>
  <c r="C102" i="2" s="1"/>
  <c r="B98" i="2"/>
  <c r="B102" i="2" s="1"/>
  <c r="H260" i="2"/>
  <c r="H333" i="2" s="1"/>
  <c r="G283" i="2"/>
  <c r="E283" i="1"/>
  <c r="B78" i="2"/>
  <c r="B84" i="2" s="1"/>
  <c r="F283" i="1"/>
  <c r="C78" i="2"/>
  <c r="C84" i="2" s="1"/>
  <c r="G283" i="1"/>
  <c r="D78" i="2"/>
  <c r="D84" i="2" s="1"/>
  <c r="H258" i="2"/>
  <c r="G101" i="2"/>
  <c r="B292" i="1"/>
  <c r="B283" i="1"/>
  <c r="D52" i="2"/>
  <c r="D59" i="2" s="1"/>
  <c r="G250" i="1"/>
  <c r="G266" i="1"/>
  <c r="G308" i="1"/>
  <c r="D251" i="2" s="1"/>
  <c r="F265" i="1"/>
  <c r="E265" i="1"/>
  <c r="D265" i="1"/>
  <c r="D266" i="1" s="1"/>
  <c r="C265" i="1"/>
  <c r="C266" i="1" s="1"/>
  <c r="B265" i="1"/>
  <c r="B266" i="1" s="1"/>
  <c r="G260" i="1"/>
  <c r="G205" i="2"/>
  <c r="G186" i="2" s="1"/>
  <c r="I209" i="2"/>
  <c r="I210" i="2" s="1"/>
  <c r="H210" i="2"/>
  <c r="C360" i="1"/>
  <c r="B360" i="1"/>
  <c r="D380" i="1"/>
  <c r="D257" i="1" s="1"/>
  <c r="D313" i="1" s="1"/>
  <c r="D386" i="1"/>
  <c r="G5" i="2"/>
  <c r="H5" i="2"/>
  <c r="I5" i="2"/>
  <c r="F5" i="2"/>
  <c r="F4" i="2" s="1"/>
  <c r="G15" i="2"/>
  <c r="H15" i="2"/>
  <c r="I15" i="2"/>
  <c r="F15" i="2"/>
  <c r="F14" i="2" s="1"/>
  <c r="E37" i="2"/>
  <c r="F41" i="3"/>
  <c r="E41" i="2"/>
  <c r="F30" i="2"/>
  <c r="F31" i="2"/>
  <c r="E39" i="2"/>
  <c r="F19" i="2"/>
  <c r="I173" i="2"/>
  <c r="I162" i="2"/>
  <c r="G2" i="2"/>
  <c r="I49" i="4" l="1"/>
  <c r="K19" i="4"/>
  <c r="G49" i="4"/>
  <c r="E18" i="2" s="1"/>
  <c r="E16" i="2" s="1"/>
  <c r="E22" i="2" s="1"/>
  <c r="E66" i="2"/>
  <c r="G26" i="4"/>
  <c r="E9" i="2" s="1"/>
  <c r="E6" i="2" s="1"/>
  <c r="E11" i="2" s="1"/>
  <c r="I19" i="4"/>
  <c r="K49" i="4"/>
  <c r="H19" i="4"/>
  <c r="G8" i="2" s="1"/>
  <c r="J49" i="4"/>
  <c r="H49" i="4"/>
  <c r="G18" i="2" s="1"/>
  <c r="J19" i="4"/>
  <c r="G324" i="2"/>
  <c r="G248" i="2"/>
  <c r="G272" i="2"/>
  <c r="G215" i="2"/>
  <c r="G227" i="2"/>
  <c r="G190" i="2"/>
  <c r="G196" i="2"/>
  <c r="G137" i="2"/>
  <c r="G183" i="2"/>
  <c r="G94" i="2"/>
  <c r="G104" i="2"/>
  <c r="G123" i="2"/>
  <c r="J134" i="4"/>
  <c r="J136" i="4" s="1"/>
  <c r="I134" i="4"/>
  <c r="I135" i="4" s="1"/>
  <c r="K134" i="4"/>
  <c r="K136" i="4" s="1"/>
  <c r="G134" i="4"/>
  <c r="G135" i="4" s="1"/>
  <c r="G48" i="2"/>
  <c r="K42" i="4"/>
  <c r="H42" i="4"/>
  <c r="F17" i="2" s="1"/>
  <c r="J42" i="4"/>
  <c r="E79" i="2"/>
  <c r="H283" i="1"/>
  <c r="F55" i="3" s="1"/>
  <c r="E81" i="2"/>
  <c r="E53" i="2"/>
  <c r="E67" i="2"/>
  <c r="E254" i="2" s="1"/>
  <c r="F63" i="2"/>
  <c r="G21" i="2"/>
  <c r="G20" i="2"/>
  <c r="H187" i="2"/>
  <c r="I187" i="2" s="1"/>
  <c r="F50" i="2"/>
  <c r="G10" i="2"/>
  <c r="G7" i="2"/>
  <c r="G9" i="2"/>
  <c r="I161" i="4"/>
  <c r="I160" i="4"/>
  <c r="K161" i="4"/>
  <c r="K160" i="4"/>
  <c r="G161" i="4"/>
  <c r="G160" i="4"/>
  <c r="H160" i="4"/>
  <c r="H161" i="4"/>
  <c r="J161" i="4"/>
  <c r="J160" i="4"/>
  <c r="H83" i="4"/>
  <c r="H82" i="4"/>
  <c r="I83" i="4"/>
  <c r="I82" i="4"/>
  <c r="J82" i="4"/>
  <c r="J83" i="4"/>
  <c r="H135" i="4"/>
  <c r="H136" i="4"/>
  <c r="K83" i="4"/>
  <c r="K82" i="4"/>
  <c r="F222" i="2"/>
  <c r="I260" i="2"/>
  <c r="I283" i="2" s="1"/>
  <c r="H283" i="2"/>
  <c r="E266" i="1"/>
  <c r="B65" i="2" s="1"/>
  <c r="B72" i="2" s="1"/>
  <c r="B64" i="2"/>
  <c r="F266" i="1"/>
  <c r="C65" i="2" s="1"/>
  <c r="C72" i="2" s="1"/>
  <c r="C64" i="2"/>
  <c r="G267" i="1"/>
  <c r="D65" i="2"/>
  <c r="D72" i="2" s="1"/>
  <c r="H101" i="2"/>
  <c r="B277" i="1"/>
  <c r="B267" i="1"/>
  <c r="C277" i="1"/>
  <c r="C267" i="1"/>
  <c r="D277" i="1"/>
  <c r="D267" i="1"/>
  <c r="G277" i="1"/>
  <c r="G309" i="1"/>
  <c r="D252" i="2" s="1"/>
  <c r="D361" i="1"/>
  <c r="D255" i="1" s="1"/>
  <c r="D256" i="1" s="1"/>
  <c r="H256" i="1" s="1"/>
  <c r="F63" i="3" s="1"/>
  <c r="D258" i="1"/>
  <c r="D314" i="1" s="1"/>
  <c r="I205" i="2"/>
  <c r="H205" i="2"/>
  <c r="H186" i="2" s="1"/>
  <c r="G199" i="2"/>
  <c r="G19" i="2"/>
  <c r="F39" i="2"/>
  <c r="G14" i="2"/>
  <c r="G26" i="2"/>
  <c r="H26" i="2"/>
  <c r="I26" i="2"/>
  <c r="F26" i="2"/>
  <c r="F25" i="2" s="1"/>
  <c r="F37" i="2"/>
  <c r="G4" i="2"/>
  <c r="E42" i="2"/>
  <c r="E250" i="2" s="1"/>
  <c r="E36" i="2"/>
  <c r="E35" i="2"/>
  <c r="H2" i="2"/>
  <c r="H18" i="2" l="1"/>
  <c r="J79" i="4"/>
  <c r="I79" i="4"/>
  <c r="F18" i="2"/>
  <c r="F16" i="2" s="1"/>
  <c r="F22" i="2" s="1"/>
  <c r="K79" i="4"/>
  <c r="F8" i="2"/>
  <c r="F6" i="2" s="1"/>
  <c r="F11" i="2" s="1"/>
  <c r="H132" i="4"/>
  <c r="H79" i="4"/>
  <c r="G29" i="2" s="1"/>
  <c r="E253" i="2"/>
  <c r="I136" i="4"/>
  <c r="J135" i="4"/>
  <c r="J132" i="4" s="1"/>
  <c r="H324" i="2"/>
  <c r="H248" i="2"/>
  <c r="H272" i="2"/>
  <c r="H215" i="2"/>
  <c r="H227" i="2"/>
  <c r="H190" i="2"/>
  <c r="H196" i="2"/>
  <c r="H137" i="2"/>
  <c r="H183" i="2"/>
  <c r="H94" i="2"/>
  <c r="H123" i="2"/>
  <c r="H104" i="2"/>
  <c r="K135" i="4"/>
  <c r="K132" i="4" s="1"/>
  <c r="I132" i="4"/>
  <c r="G17" i="2"/>
  <c r="G16" i="2" s="1"/>
  <c r="G22" i="2" s="1"/>
  <c r="G136" i="4"/>
  <c r="G132" i="4" s="1"/>
  <c r="F68" i="2" s="1"/>
  <c r="H48" i="2"/>
  <c r="K103" i="4"/>
  <c r="J103" i="4"/>
  <c r="H103" i="4"/>
  <c r="G103" i="4"/>
  <c r="I103" i="4"/>
  <c r="E97" i="2"/>
  <c r="E96" i="2"/>
  <c r="I186" i="2"/>
  <c r="H17" i="2"/>
  <c r="G50" i="2"/>
  <c r="H10" i="2"/>
  <c r="H7" i="2"/>
  <c r="H9" i="2"/>
  <c r="F76" i="2"/>
  <c r="G28" i="2"/>
  <c r="F54" i="2"/>
  <c r="F53" i="2"/>
  <c r="H8" i="2"/>
  <c r="G63" i="2"/>
  <c r="H20" i="2"/>
  <c r="H21" i="2"/>
  <c r="F67" i="2"/>
  <c r="F66" i="2"/>
  <c r="H119" i="4"/>
  <c r="G119" i="4"/>
  <c r="K119" i="4"/>
  <c r="J119" i="4"/>
  <c r="I119" i="4"/>
  <c r="E229" i="2"/>
  <c r="E291" i="2" s="1"/>
  <c r="G219" i="2"/>
  <c r="G224" i="2" s="1"/>
  <c r="G262" i="2" s="1"/>
  <c r="F24" i="10" s="1"/>
  <c r="F349" i="2"/>
  <c r="I333" i="2"/>
  <c r="F277" i="1"/>
  <c r="F267" i="1"/>
  <c r="E267" i="1"/>
  <c r="E277" i="1"/>
  <c r="G309" i="2"/>
  <c r="I101" i="2"/>
  <c r="I258" i="2"/>
  <c r="B12" i="7"/>
  <c r="B25" i="7" s="1"/>
  <c r="E233" i="2"/>
  <c r="E230" i="2"/>
  <c r="E231" i="2"/>
  <c r="E237" i="2"/>
  <c r="E345" i="2" s="1"/>
  <c r="E234" i="2"/>
  <c r="E344" i="2" s="1"/>
  <c r="E342" i="2"/>
  <c r="G316" i="1"/>
  <c r="D259" i="2" s="1"/>
  <c r="D312" i="1"/>
  <c r="D353" i="1" s="1"/>
  <c r="D360" i="1" s="1"/>
  <c r="E43" i="2"/>
  <c r="E106" i="2"/>
  <c r="H199" i="2"/>
  <c r="E116" i="2"/>
  <c r="E117" i="2" s="1"/>
  <c r="E130" i="2" s="1"/>
  <c r="E114" i="2"/>
  <c r="E115" i="2" s="1"/>
  <c r="E129" i="2" s="1"/>
  <c r="E112" i="2"/>
  <c r="E113" i="2" s="1"/>
  <c r="E128" i="2" s="1"/>
  <c r="E110" i="2"/>
  <c r="E111" i="2" s="1"/>
  <c r="E127" i="2" s="1"/>
  <c r="E108" i="2"/>
  <c r="E109" i="2" s="1"/>
  <c r="E44" i="2"/>
  <c r="G37" i="2"/>
  <c r="H4" i="2"/>
  <c r="F36" i="2"/>
  <c r="F35" i="2"/>
  <c r="F41" i="2"/>
  <c r="G25" i="2"/>
  <c r="G30" i="2"/>
  <c r="G31" i="2"/>
  <c r="H19" i="2"/>
  <c r="G39" i="2"/>
  <c r="H14" i="2"/>
  <c r="G6" i="2"/>
  <c r="G11" i="2" s="1"/>
  <c r="I2" i="2"/>
  <c r="H29" i="2" l="1"/>
  <c r="F29" i="2"/>
  <c r="F27" i="2" s="1"/>
  <c r="F32" i="2" s="1"/>
  <c r="I324" i="2"/>
  <c r="I248" i="2"/>
  <c r="I272" i="2"/>
  <c r="I215" i="2"/>
  <c r="I227" i="2"/>
  <c r="I190" i="2"/>
  <c r="I196" i="2"/>
  <c r="I137" i="2"/>
  <c r="I183" i="2"/>
  <c r="I94" i="2"/>
  <c r="I123" i="2"/>
  <c r="I104" i="2"/>
  <c r="E68" i="2"/>
  <c r="H267" i="1"/>
  <c r="F54" i="3" s="1"/>
  <c r="I96" i="4" s="1"/>
  <c r="I48" i="2"/>
  <c r="I104" i="4"/>
  <c r="I105" i="4"/>
  <c r="H105" i="4"/>
  <c r="H104" i="4"/>
  <c r="G105" i="4"/>
  <c r="G104" i="4"/>
  <c r="J105" i="4"/>
  <c r="J104" i="4"/>
  <c r="K105" i="4"/>
  <c r="K104" i="4"/>
  <c r="F81" i="2"/>
  <c r="F80" i="2"/>
  <c r="F254" i="2" s="1"/>
  <c r="F79" i="2"/>
  <c r="F253" i="2" s="1"/>
  <c r="G67" i="2"/>
  <c r="G66" i="2"/>
  <c r="H50" i="2"/>
  <c r="I9" i="2"/>
  <c r="I10" i="2"/>
  <c r="I7" i="2"/>
  <c r="I8" i="2"/>
  <c r="H63" i="2"/>
  <c r="I20" i="2"/>
  <c r="I21" i="2"/>
  <c r="I17" i="2"/>
  <c r="I18" i="2"/>
  <c r="G68" i="2"/>
  <c r="G76" i="2"/>
  <c r="H28" i="2"/>
  <c r="G54" i="2"/>
  <c r="G53" i="2"/>
  <c r="E328" i="2"/>
  <c r="I121" i="4"/>
  <c r="I120" i="4"/>
  <c r="G120" i="4"/>
  <c r="G117" i="4" s="1"/>
  <c r="G121" i="4"/>
  <c r="J121" i="4"/>
  <c r="J120" i="4"/>
  <c r="K121" i="4"/>
  <c r="K120" i="4"/>
  <c r="H121" i="4"/>
  <c r="H120" i="4"/>
  <c r="E12" i="7"/>
  <c r="E25" i="7" s="1"/>
  <c r="H16" i="2"/>
  <c r="H22" i="2" s="1"/>
  <c r="E238" i="2"/>
  <c r="E343" i="2"/>
  <c r="E341" i="2"/>
  <c r="E311" i="2"/>
  <c r="D16" i="10" s="1"/>
  <c r="E329" i="2"/>
  <c r="E126" i="2"/>
  <c r="E330" i="2"/>
  <c r="G222" i="2"/>
  <c r="G349" i="2" s="1"/>
  <c r="E295" i="2"/>
  <c r="E297" i="2"/>
  <c r="E293" i="2"/>
  <c r="E292" i="2"/>
  <c r="E294" i="2"/>
  <c r="F42" i="2"/>
  <c r="F250" i="2" s="1"/>
  <c r="I199" i="2"/>
  <c r="E200" i="2"/>
  <c r="E107" i="2"/>
  <c r="E120" i="2"/>
  <c r="I19" i="2"/>
  <c r="H39" i="2"/>
  <c r="I14" i="2"/>
  <c r="I63" i="2" s="1"/>
  <c r="G27" i="2"/>
  <c r="G32" i="2" s="1"/>
  <c r="G41" i="2"/>
  <c r="G42" i="2" s="1"/>
  <c r="G250" i="2" s="1"/>
  <c r="H25" i="2"/>
  <c r="H30" i="2"/>
  <c r="H31" i="2"/>
  <c r="H37" i="2"/>
  <c r="I4" i="2"/>
  <c r="G36" i="2"/>
  <c r="G35" i="2"/>
  <c r="I101" i="4" l="1"/>
  <c r="K101" i="4"/>
  <c r="G101" i="4"/>
  <c r="E78" i="2" s="1"/>
  <c r="E77" i="2" s="1"/>
  <c r="H101" i="4"/>
  <c r="I117" i="4"/>
  <c r="H117" i="4"/>
  <c r="K117" i="4"/>
  <c r="J117" i="4"/>
  <c r="J101" i="4"/>
  <c r="J96" i="4"/>
  <c r="J98" i="4" s="1"/>
  <c r="K96" i="4"/>
  <c r="K98" i="4" s="1"/>
  <c r="G96" i="4"/>
  <c r="G97" i="4" s="1"/>
  <c r="H96" i="4"/>
  <c r="H97" i="4" s="1"/>
  <c r="F96" i="2"/>
  <c r="G79" i="2"/>
  <c r="G253" i="2" s="1"/>
  <c r="G80" i="2"/>
  <c r="G254" i="2" s="1"/>
  <c r="F97" i="2"/>
  <c r="G81" i="2"/>
  <c r="H67" i="2"/>
  <c r="H66" i="2"/>
  <c r="H68" i="2"/>
  <c r="I67" i="2"/>
  <c r="I66" i="2"/>
  <c r="I68" i="2"/>
  <c r="H54" i="2"/>
  <c r="H53" i="2"/>
  <c r="H76" i="2"/>
  <c r="H78" i="2" s="1"/>
  <c r="H77" i="2" s="1"/>
  <c r="I28" i="2"/>
  <c r="I29" i="2"/>
  <c r="F55" i="2"/>
  <c r="F255" i="2" s="1"/>
  <c r="E55" i="2"/>
  <c r="E255" i="2" s="1"/>
  <c r="G55" i="2"/>
  <c r="H55" i="2"/>
  <c r="I98" i="4"/>
  <c r="I97" i="4"/>
  <c r="E212" i="2"/>
  <c r="E334" i="2" s="1"/>
  <c r="E185" i="2"/>
  <c r="F116" i="2"/>
  <c r="F117" i="2" s="1"/>
  <c r="F130" i="2" s="1"/>
  <c r="E347" i="2"/>
  <c r="E352" i="2" s="1"/>
  <c r="F110" i="2"/>
  <c r="F111" i="2" s="1"/>
  <c r="F127" i="2" s="1"/>
  <c r="I16" i="2"/>
  <c r="I22" i="2" s="1"/>
  <c r="F108" i="2"/>
  <c r="F109" i="2" s="1"/>
  <c r="F126" i="2" s="1"/>
  <c r="F43" i="2"/>
  <c r="E125" i="2"/>
  <c r="E301" i="2"/>
  <c r="D14" i="10" s="1"/>
  <c r="E298" i="2"/>
  <c r="D15" i="10" s="1"/>
  <c r="F114" i="2"/>
  <c r="F115" i="2" s="1"/>
  <c r="F129" i="2" s="1"/>
  <c r="F112" i="2"/>
  <c r="F113" i="2" s="1"/>
  <c r="F128" i="2" s="1"/>
  <c r="F44" i="2"/>
  <c r="F106" i="2"/>
  <c r="F107" i="2" s="1"/>
  <c r="H219" i="2"/>
  <c r="G229" i="2"/>
  <c r="G230" i="2"/>
  <c r="F229" i="2"/>
  <c r="F230" i="2"/>
  <c r="G234" i="2"/>
  <c r="G342" i="2"/>
  <c r="G237" i="2"/>
  <c r="G233" i="2"/>
  <c r="I39" i="2"/>
  <c r="F234" i="2"/>
  <c r="F342" i="2"/>
  <c r="F237" i="2"/>
  <c r="F233" i="2"/>
  <c r="G231" i="2"/>
  <c r="F231" i="2"/>
  <c r="I37" i="2"/>
  <c r="I50" i="2"/>
  <c r="I55" i="2" s="1"/>
  <c r="G43" i="2"/>
  <c r="F200" i="2"/>
  <c r="F212" i="2" s="1"/>
  <c r="G110" i="2"/>
  <c r="G116" i="2"/>
  <c r="G114" i="2"/>
  <c r="G112" i="2"/>
  <c r="G108" i="2"/>
  <c r="G106" i="2"/>
  <c r="G44" i="2"/>
  <c r="H36" i="2"/>
  <c r="H35" i="2"/>
  <c r="H27" i="2"/>
  <c r="H32" i="2" s="1"/>
  <c r="H41" i="2"/>
  <c r="I25" i="2"/>
  <c r="I76" i="2" s="1"/>
  <c r="I30" i="2"/>
  <c r="I31" i="2"/>
  <c r="H6" i="2"/>
  <c r="H11" i="2" s="1"/>
  <c r="F78" i="2" l="1"/>
  <c r="F77" i="2" s="1"/>
  <c r="G78" i="2"/>
  <c r="G77" i="2" s="1"/>
  <c r="I78" i="2"/>
  <c r="I77" i="2" s="1"/>
  <c r="I94" i="4"/>
  <c r="H98" i="4"/>
  <c r="H94" i="4" s="1"/>
  <c r="J97" i="4"/>
  <c r="J94" i="4" s="1"/>
  <c r="G98" i="4"/>
  <c r="G94" i="4" s="1"/>
  <c r="H65" i="2" s="1"/>
  <c r="K97" i="4"/>
  <c r="K94" i="4" s="1"/>
  <c r="G255" i="2"/>
  <c r="H80" i="2"/>
  <c r="H254" i="2" s="1"/>
  <c r="G96" i="2"/>
  <c r="H79" i="2"/>
  <c r="H253" i="2" s="1"/>
  <c r="G97" i="2"/>
  <c r="H81" i="2"/>
  <c r="H255" i="2" s="1"/>
  <c r="E57" i="2"/>
  <c r="F57" i="2"/>
  <c r="F70" i="2"/>
  <c r="I54" i="2"/>
  <c r="I53" i="2"/>
  <c r="G98" i="2"/>
  <c r="E98" i="2"/>
  <c r="F98" i="2"/>
  <c r="E70" i="2"/>
  <c r="E277" i="2"/>
  <c r="E83" i="2"/>
  <c r="F334" i="2"/>
  <c r="G117" i="2"/>
  <c r="G130" i="2" s="1"/>
  <c r="F185" i="2"/>
  <c r="E307" i="2"/>
  <c r="G109" i="2"/>
  <c r="G126" i="2" s="1"/>
  <c r="G111" i="2"/>
  <c r="G127" i="2" s="1"/>
  <c r="F125" i="2"/>
  <c r="F301" i="2"/>
  <c r="E14" i="10" s="1"/>
  <c r="G238" i="2"/>
  <c r="F238" i="2"/>
  <c r="G295" i="2"/>
  <c r="G344" i="2"/>
  <c r="F311" i="2"/>
  <c r="E16" i="10" s="1"/>
  <c r="F341" i="2"/>
  <c r="G292" i="2"/>
  <c r="F329" i="2"/>
  <c r="F292" i="2"/>
  <c r="F294" i="2"/>
  <c r="F343" i="2"/>
  <c r="G329" i="2"/>
  <c r="F345" i="2"/>
  <c r="F297" i="2"/>
  <c r="F344" i="2"/>
  <c r="F295" i="2"/>
  <c r="G293" i="2"/>
  <c r="F330" i="2"/>
  <c r="F293" i="2"/>
  <c r="F328" i="2"/>
  <c r="G291" i="2"/>
  <c r="F291" i="2"/>
  <c r="F120" i="2"/>
  <c r="G113" i="2"/>
  <c r="G128" i="2" s="1"/>
  <c r="G343" i="2"/>
  <c r="G294" i="2"/>
  <c r="G328" i="2"/>
  <c r="G115" i="2"/>
  <c r="G129" i="2" s="1"/>
  <c r="G345" i="2"/>
  <c r="G297" i="2"/>
  <c r="G330" i="2"/>
  <c r="G311" i="2"/>
  <c r="F16" i="10" s="1"/>
  <c r="G341" i="2"/>
  <c r="H224" i="2"/>
  <c r="H262" i="2" s="1"/>
  <c r="G24" i="10" s="1"/>
  <c r="H309" i="2"/>
  <c r="F83" i="2"/>
  <c r="F277" i="2"/>
  <c r="E232" i="2"/>
  <c r="E239" i="2" s="1"/>
  <c r="E240" i="2" s="1"/>
  <c r="I41" i="2"/>
  <c r="I42" i="2" s="1"/>
  <c r="I250" i="2" s="1"/>
  <c r="I36" i="2"/>
  <c r="I35" i="2"/>
  <c r="H42" i="2"/>
  <c r="H250" i="2" s="1"/>
  <c r="G200" i="2"/>
  <c r="G212" i="2" s="1"/>
  <c r="G107" i="2"/>
  <c r="G120" i="2"/>
  <c r="I27" i="2"/>
  <c r="I32" i="2" s="1"/>
  <c r="I65" i="2" l="1"/>
  <c r="E65" i="2"/>
  <c r="E64" i="2" s="1"/>
  <c r="G65" i="2"/>
  <c r="G64" i="2" s="1"/>
  <c r="F65" i="2"/>
  <c r="F64" i="2" s="1"/>
  <c r="H96" i="2"/>
  <c r="H97" i="2"/>
  <c r="H98" i="2"/>
  <c r="E100" i="2"/>
  <c r="E257" i="2"/>
  <c r="G334" i="2"/>
  <c r="G57" i="2"/>
  <c r="G70" i="2"/>
  <c r="I64" i="2"/>
  <c r="H64" i="2"/>
  <c r="G185" i="2"/>
  <c r="H110" i="2"/>
  <c r="H111" i="2" s="1"/>
  <c r="H127" i="2" s="1"/>
  <c r="F307" i="2"/>
  <c r="G125" i="2"/>
  <c r="G301" i="2"/>
  <c r="F14" i="10" s="1"/>
  <c r="I43" i="2"/>
  <c r="I108" i="2"/>
  <c r="F257" i="2"/>
  <c r="I110" i="2"/>
  <c r="I114" i="2"/>
  <c r="I116" i="2"/>
  <c r="I112" i="2"/>
  <c r="I44" i="2"/>
  <c r="I106" i="2"/>
  <c r="H43" i="2"/>
  <c r="H112" i="2"/>
  <c r="H113" i="2" s="1"/>
  <c r="H128" i="2" s="1"/>
  <c r="G347" i="2"/>
  <c r="G352" i="2" s="1"/>
  <c r="H44" i="2"/>
  <c r="H114" i="2"/>
  <c r="H115" i="2" s="1"/>
  <c r="H129" i="2" s="1"/>
  <c r="H106" i="2"/>
  <c r="H116" i="2"/>
  <c r="H117" i="2" s="1"/>
  <c r="H130" i="2" s="1"/>
  <c r="H108" i="2"/>
  <c r="H109" i="2" s="1"/>
  <c r="H126" i="2" s="1"/>
  <c r="G298" i="2"/>
  <c r="F15" i="10" s="1"/>
  <c r="F298" i="2"/>
  <c r="E15" i="10" s="1"/>
  <c r="F347" i="2"/>
  <c r="F352" i="2" s="1"/>
  <c r="H222" i="2"/>
  <c r="H349" i="2" s="1"/>
  <c r="G83" i="2"/>
  <c r="G277" i="2"/>
  <c r="H229" i="2"/>
  <c r="H230" i="2"/>
  <c r="I229" i="2"/>
  <c r="I328" i="2" s="1"/>
  <c r="I230" i="2"/>
  <c r="I329" i="2" s="1"/>
  <c r="F100" i="2"/>
  <c r="F232" i="2"/>
  <c r="F239" i="2" s="1"/>
  <c r="F240" i="2" s="1"/>
  <c r="I79" i="2"/>
  <c r="I253" i="2" s="1"/>
  <c r="I80" i="2"/>
  <c r="I254" i="2" s="1"/>
  <c r="I81" i="2"/>
  <c r="I255" i="2" s="1"/>
  <c r="H234" i="2"/>
  <c r="H342" i="2"/>
  <c r="H237" i="2"/>
  <c r="H233" i="2"/>
  <c r="I234" i="2"/>
  <c r="I342" i="2"/>
  <c r="I237" i="2"/>
  <c r="I233" i="2"/>
  <c r="H231" i="2"/>
  <c r="I231" i="2"/>
  <c r="I330" i="2" s="1"/>
  <c r="I200" i="2"/>
  <c r="I212" i="2" s="1"/>
  <c r="H200" i="2"/>
  <c r="H212" i="2" s="1"/>
  <c r="I6" i="2"/>
  <c r="I11" i="2" s="1"/>
  <c r="H334" i="2" l="1"/>
  <c r="I334" i="2" s="1"/>
  <c r="H57" i="2"/>
  <c r="H70" i="2"/>
  <c r="I57" i="2"/>
  <c r="I70" i="2"/>
  <c r="I111" i="2"/>
  <c r="I127" i="2" s="1"/>
  <c r="B153" i="2" s="1" a="1"/>
  <c r="I157" i="2" s="1"/>
  <c r="H185" i="2"/>
  <c r="I185" i="2" s="1"/>
  <c r="G307" i="2"/>
  <c r="I113" i="2"/>
  <c r="I128" i="2" s="1"/>
  <c r="B164" i="2" s="1" a="1"/>
  <c r="H167" i="2" s="1"/>
  <c r="I167" i="2" s="1"/>
  <c r="I238" i="2"/>
  <c r="H238" i="2"/>
  <c r="I219" i="2"/>
  <c r="I224" i="2" s="1"/>
  <c r="I262" i="2" s="1"/>
  <c r="H24" i="10" s="1"/>
  <c r="I120" i="2"/>
  <c r="I107" i="2"/>
  <c r="G257" i="2"/>
  <c r="I117" i="2"/>
  <c r="I130" i="2" s="1"/>
  <c r="I115" i="2"/>
  <c r="I129" i="2" s="1"/>
  <c r="B175" i="2" s="1" a="1"/>
  <c r="I179" i="2" s="1"/>
  <c r="H120" i="2"/>
  <c r="H107" i="2"/>
  <c r="I109" i="2"/>
  <c r="I126" i="2" s="1"/>
  <c r="B142" i="2" s="1" a="1"/>
  <c r="E142" i="2" s="1"/>
  <c r="I345" i="2"/>
  <c r="I297" i="2"/>
  <c r="I343" i="2"/>
  <c r="I294" i="2"/>
  <c r="I341" i="2"/>
  <c r="I311" i="2"/>
  <c r="H343" i="2"/>
  <c r="H294" i="2"/>
  <c r="H297" i="2"/>
  <c r="H345" i="2"/>
  <c r="H341" i="2"/>
  <c r="H311" i="2"/>
  <c r="G16" i="10" s="1"/>
  <c r="I292" i="2"/>
  <c r="H329" i="2"/>
  <c r="H292" i="2"/>
  <c r="I295" i="2"/>
  <c r="I344" i="2"/>
  <c r="H328" i="2"/>
  <c r="I291" i="2"/>
  <c r="H291" i="2"/>
  <c r="I293" i="2"/>
  <c r="H330" i="2"/>
  <c r="H293" i="2"/>
  <c r="H295" i="2"/>
  <c r="H344" i="2"/>
  <c r="I309" i="2"/>
  <c r="H16" i="10" s="1"/>
  <c r="H83" i="2"/>
  <c r="H277" i="2"/>
  <c r="I83" i="2"/>
  <c r="I277" i="2"/>
  <c r="I98" i="2"/>
  <c r="I97" i="2"/>
  <c r="I96" i="2"/>
  <c r="G100" i="2"/>
  <c r="G232" i="2"/>
  <c r="G239" i="2" s="1"/>
  <c r="G240" i="2" s="1"/>
  <c r="H156" i="2" l="1"/>
  <c r="I156" i="2" s="1"/>
  <c r="E153" i="2" s="1"/>
  <c r="F153" i="2" s="1"/>
  <c r="F154" i="2"/>
  <c r="G154" i="2" s="1"/>
  <c r="H154" i="2" s="1"/>
  <c r="I154" i="2" s="1"/>
  <c r="G155" i="2"/>
  <c r="H155" i="2" s="1"/>
  <c r="I155" i="2" s="1"/>
  <c r="I168" i="2"/>
  <c r="E164" i="2" s="1"/>
  <c r="F164" i="2" s="1"/>
  <c r="F165" i="2"/>
  <c r="G165" i="2" s="1"/>
  <c r="H165" i="2" s="1"/>
  <c r="I165" i="2" s="1"/>
  <c r="G166" i="2"/>
  <c r="H166" i="2" s="1"/>
  <c r="I166" i="2" s="1"/>
  <c r="I125" i="2"/>
  <c r="I301" i="2"/>
  <c r="H14" i="10" s="1"/>
  <c r="H125" i="2"/>
  <c r="H301" i="2"/>
  <c r="G14" i="10" s="1"/>
  <c r="E175" i="2" s="1"/>
  <c r="F175" i="2" s="1"/>
  <c r="H178" i="2"/>
  <c r="I178" i="2" s="1"/>
  <c r="F176" i="2"/>
  <c r="G176" i="2" s="1"/>
  <c r="H176" i="2" s="1"/>
  <c r="I176" i="2" s="1"/>
  <c r="G177" i="2"/>
  <c r="H177" i="2" s="1"/>
  <c r="I177" i="2" s="1"/>
  <c r="I257" i="2"/>
  <c r="H257" i="2"/>
  <c r="G144" i="2"/>
  <c r="H144" i="2" s="1"/>
  <c r="I144" i="2" s="1"/>
  <c r="I347" i="2"/>
  <c r="I298" i="2"/>
  <c r="H15" i="10" s="1"/>
  <c r="I146" i="2"/>
  <c r="F143" i="2"/>
  <c r="G143" i="2" s="1"/>
  <c r="H143" i="2" s="1"/>
  <c r="I143" i="2" s="1"/>
  <c r="H298" i="2"/>
  <c r="G15" i="10" s="1"/>
  <c r="H145" i="2"/>
  <c r="I145" i="2" s="1"/>
  <c r="H347" i="2"/>
  <c r="H352" i="2" s="1"/>
  <c r="I222" i="2"/>
  <c r="I349" i="2" s="1"/>
  <c r="I100" i="2"/>
  <c r="I232" i="2"/>
  <c r="I239" i="2" s="1"/>
  <c r="H100" i="2"/>
  <c r="H232" i="2"/>
  <c r="H239" i="2" s="1"/>
  <c r="H240" i="2" s="1"/>
  <c r="F142" i="2"/>
  <c r="E147" i="2"/>
  <c r="E158" i="2" l="1"/>
  <c r="E169" i="2"/>
  <c r="H307" i="2"/>
  <c r="I307" i="2"/>
  <c r="E180" i="2"/>
  <c r="I352" i="2"/>
  <c r="I240" i="2"/>
  <c r="G142" i="2"/>
  <c r="F147" i="2"/>
  <c r="G153" i="2"/>
  <c r="F158" i="2"/>
  <c r="G175" i="2"/>
  <c r="F180" i="2"/>
  <c r="G164" i="2"/>
  <c r="F169" i="2"/>
  <c r="E181" i="2" l="1"/>
  <c r="E121" i="2" s="1"/>
  <c r="E332" i="2" s="1"/>
  <c r="F181" i="2"/>
  <c r="E82" i="2"/>
  <c r="E84" i="2" s="1"/>
  <c r="E56" i="2"/>
  <c r="H164" i="2"/>
  <c r="G169" i="2"/>
  <c r="H175" i="2"/>
  <c r="G180" i="2"/>
  <c r="H153" i="2"/>
  <c r="G158" i="2"/>
  <c r="H142" i="2"/>
  <c r="G147" i="2"/>
  <c r="E276" i="2" l="1"/>
  <c r="D13" i="10" s="1"/>
  <c r="E69" i="2"/>
  <c r="E72" i="2" s="1"/>
  <c r="F69" i="2"/>
  <c r="F72" i="2" s="1"/>
  <c r="F56" i="2"/>
  <c r="G181" i="2"/>
  <c r="G82" i="2" s="1"/>
  <c r="G84" i="2" s="1"/>
  <c r="F82" i="2"/>
  <c r="F84" i="2" s="1"/>
  <c r="F276" i="2"/>
  <c r="E13" i="10" s="1"/>
  <c r="F121" i="2"/>
  <c r="F332" i="2" s="1"/>
  <c r="I142" i="2"/>
  <c r="I147" i="2" s="1"/>
  <c r="H147" i="2"/>
  <c r="I153" i="2"/>
  <c r="I158" i="2" s="1"/>
  <c r="H158" i="2"/>
  <c r="I175" i="2"/>
  <c r="I180" i="2" s="1"/>
  <c r="H180" i="2"/>
  <c r="I164" i="2"/>
  <c r="I169" i="2" s="1"/>
  <c r="H169" i="2"/>
  <c r="E256" i="2" l="1"/>
  <c r="E99" i="2"/>
  <c r="E102" i="2" s="1"/>
  <c r="I181" i="2"/>
  <c r="I56" i="2" s="1"/>
  <c r="G69" i="2"/>
  <c r="G72" i="2" s="1"/>
  <c r="G56" i="2"/>
  <c r="H181" i="2"/>
  <c r="G276" i="2"/>
  <c r="F13" i="10" s="1"/>
  <c r="G121" i="2"/>
  <c r="G332" i="2" s="1"/>
  <c r="F99" i="2"/>
  <c r="F102" i="2" s="1"/>
  <c r="F256" i="2"/>
  <c r="F336" i="1"/>
  <c r="F248" i="1" s="1"/>
  <c r="C51" i="2" s="1"/>
  <c r="F328" i="1"/>
  <c r="F335" i="1" s="1"/>
  <c r="E336" i="1"/>
  <c r="E248" i="1" s="1"/>
  <c r="B51" i="2" s="1"/>
  <c r="E328" i="1"/>
  <c r="E335" i="1" s="1"/>
  <c r="D336" i="1"/>
  <c r="D248" i="1" s="1"/>
  <c r="D308" i="1" s="1"/>
  <c r="D328" i="1"/>
  <c r="D335" i="1" s="1"/>
  <c r="C336" i="1"/>
  <c r="C248" i="1" s="1"/>
  <c r="C308" i="1" s="1"/>
  <c r="C328" i="1"/>
  <c r="C335" i="1" s="1"/>
  <c r="B336" i="1"/>
  <c r="B248" i="1" s="1"/>
  <c r="B308" i="1" s="1"/>
  <c r="B328" i="1"/>
  <c r="B335" i="1" s="1"/>
  <c r="I69" i="2" l="1"/>
  <c r="I72" i="2" s="1"/>
  <c r="H69" i="2"/>
  <c r="H72" i="2" s="1"/>
  <c r="H56" i="2"/>
  <c r="G99" i="2"/>
  <c r="G102" i="2" s="1"/>
  <c r="G256" i="2"/>
  <c r="H82" i="2"/>
  <c r="H84" i="2" s="1"/>
  <c r="H276" i="2"/>
  <c r="G13" i="10" s="1"/>
  <c r="I82" i="2"/>
  <c r="I84" i="2" s="1"/>
  <c r="I276" i="2"/>
  <c r="H13" i="10" s="1"/>
  <c r="H121" i="2"/>
  <c r="E308" i="1"/>
  <c r="B251" i="2" s="1"/>
  <c r="F308" i="1"/>
  <c r="C251" i="2" s="1"/>
  <c r="B249" i="1"/>
  <c r="C249" i="1"/>
  <c r="D249" i="1"/>
  <c r="E249" i="1"/>
  <c r="E250" i="1" s="1"/>
  <c r="F249" i="1"/>
  <c r="F250" i="1" s="1"/>
  <c r="I121" i="2" l="1"/>
  <c r="I332" i="2" s="1"/>
  <c r="H332" i="2"/>
  <c r="I99" i="2"/>
  <c r="I102" i="2" s="1"/>
  <c r="I256" i="2"/>
  <c r="H99" i="2"/>
  <c r="H102" i="2" s="1"/>
  <c r="H256" i="2"/>
  <c r="D309" i="1"/>
  <c r="D250" i="1"/>
  <c r="C309" i="1"/>
  <c r="C250" i="1"/>
  <c r="B309" i="1"/>
  <c r="B250" i="1"/>
  <c r="F309" i="1"/>
  <c r="C252" i="2" s="1"/>
  <c r="C52" i="2"/>
  <c r="C59" i="2" s="1"/>
  <c r="E309" i="1"/>
  <c r="B252" i="2" s="1"/>
  <c r="B52" i="2"/>
  <c r="B59" i="2" s="1"/>
  <c r="F260" i="1"/>
  <c r="E260" i="1"/>
  <c r="D260" i="1"/>
  <c r="C260" i="1"/>
  <c r="B260" i="1"/>
  <c r="H250" i="1" l="1"/>
  <c r="F53" i="3" s="1"/>
  <c r="E316" i="1"/>
  <c r="B259" i="2" s="1"/>
  <c r="F316" i="1"/>
  <c r="C259" i="2" s="1"/>
  <c r="B316" i="1"/>
  <c r="C316" i="1"/>
  <c r="D316" i="1"/>
  <c r="K89" i="4" l="1"/>
  <c r="K91" i="4" s="1"/>
  <c r="I89" i="4"/>
  <c r="I91" i="4" s="1"/>
  <c r="G89" i="4"/>
  <c r="G91" i="4" s="1"/>
  <c r="J89" i="4"/>
  <c r="J91" i="4" s="1"/>
  <c r="H89" i="4"/>
  <c r="H91" i="4" s="1"/>
  <c r="K90" i="4" l="1"/>
  <c r="K87" i="4" s="1"/>
  <c r="G90" i="4"/>
  <c r="G87" i="4" s="1"/>
  <c r="J90" i="4"/>
  <c r="J87" i="4" s="1"/>
  <c r="I90" i="4"/>
  <c r="I87" i="4" s="1"/>
  <c r="H90" i="4"/>
  <c r="H87" i="4" s="1"/>
  <c r="H52" i="2" l="1"/>
  <c r="G52" i="2"/>
  <c r="G51" i="2" s="1"/>
  <c r="F52" i="2"/>
  <c r="F59" i="2" s="1"/>
  <c r="I52" i="2"/>
  <c r="I59" i="2" s="1"/>
  <c r="E52" i="2"/>
  <c r="E51" i="2" s="1"/>
  <c r="G59" i="2"/>
  <c r="H59" i="2"/>
  <c r="H51" i="2"/>
  <c r="F51" i="2" l="1"/>
  <c r="I51" i="2"/>
  <c r="E59" i="2"/>
  <c r="E251" i="2"/>
  <c r="E252" i="2" s="1"/>
  <c r="E259" i="2" s="1"/>
  <c r="G251" i="2"/>
  <c r="G252" i="2" s="1"/>
  <c r="G259" i="2" s="1"/>
  <c r="G264" i="2" s="1"/>
  <c r="G265" i="2" s="1"/>
  <c r="G266" i="2" s="1"/>
  <c r="F12" i="10" s="1"/>
  <c r="F17" i="10" s="1"/>
  <c r="I251" i="2"/>
  <c r="I252" i="2" s="1"/>
  <c r="I259" i="2" s="1"/>
  <c r="I264" i="2" s="1"/>
  <c r="I265" i="2" s="1"/>
  <c r="I266" i="2" s="1"/>
  <c r="H12" i="10" s="1"/>
  <c r="H17" i="10" s="1"/>
  <c r="H251" i="2"/>
  <c r="H252" i="2" s="1"/>
  <c r="H259" i="2" s="1"/>
  <c r="H264" i="2" s="1"/>
  <c r="H265" i="2" s="1"/>
  <c r="H266" i="2" s="1"/>
  <c r="G12" i="10" s="1"/>
  <c r="G17" i="10" s="1"/>
  <c r="F251" i="2"/>
  <c r="F252" i="2" s="1"/>
  <c r="F259" i="2" s="1"/>
  <c r="F264" i="2" s="1"/>
  <c r="F265" i="2" s="1"/>
  <c r="F266" i="2" s="1"/>
  <c r="E12" i="10" s="1"/>
  <c r="E17" i="10" s="1"/>
  <c r="E264" i="2" l="1"/>
  <c r="B13" i="7"/>
  <c r="B20" i="7" s="1"/>
  <c r="B22" i="7" s="1"/>
  <c r="B23" i="7" s="1"/>
  <c r="G19" i="10"/>
  <c r="G26" i="10"/>
  <c r="G28" i="10" s="1"/>
  <c r="F19" i="10"/>
  <c r="F26" i="10"/>
  <c r="F28" i="10" s="1"/>
  <c r="E26" i="10"/>
  <c r="E28" i="10" s="1"/>
  <c r="E19" i="10"/>
  <c r="H26" i="10"/>
  <c r="F273" i="2"/>
  <c r="F289" i="2" s="1"/>
  <c r="F299" i="2" s="1"/>
  <c r="F313" i="2"/>
  <c r="F317" i="2" s="1"/>
  <c r="E265" i="2"/>
  <c r="E266" i="2" s="1"/>
  <c r="D12" i="10" s="1"/>
  <c r="D17" i="10" s="1"/>
  <c r="B27" i="7"/>
  <c r="B28" i="7" s="1"/>
  <c r="G273" i="2"/>
  <c r="G289" i="2" s="1"/>
  <c r="G299" i="2" s="1"/>
  <c r="G313" i="2"/>
  <c r="G317" i="2" s="1"/>
  <c r="I313" i="2"/>
  <c r="I317" i="2" s="1"/>
  <c r="I273" i="2"/>
  <c r="I289" i="2" s="1"/>
  <c r="I299" i="2" s="1"/>
  <c r="H273" i="2"/>
  <c r="H289" i="2" s="1"/>
  <c r="H299" i="2" s="1"/>
  <c r="H313" i="2"/>
  <c r="H317" i="2" s="1"/>
  <c r="E13" i="7" l="1"/>
  <c r="E20" i="7" s="1"/>
  <c r="E22" i="7" s="1"/>
  <c r="E23" i="7" s="1"/>
  <c r="E27" i="7"/>
  <c r="E28" i="7" s="1"/>
  <c r="D26" i="10"/>
  <c r="D28" i="10" s="1"/>
  <c r="D19" i="10"/>
  <c r="D17" i="9"/>
  <c r="I319" i="2"/>
  <c r="E313" i="2"/>
  <c r="E317" i="2" s="1"/>
  <c r="B14" i="7"/>
  <c r="E273" i="2"/>
  <c r="E289" i="2" s="1"/>
  <c r="E299" i="2" s="1"/>
  <c r="H319" i="2"/>
  <c r="G319" i="2"/>
  <c r="F319" i="2"/>
  <c r="E17" i="9" l="1"/>
  <c r="E319" i="2"/>
  <c r="E321" i="2" s="1"/>
  <c r="E356" i="2"/>
  <c r="F356" i="2" s="1"/>
  <c r="E14" i="7"/>
  <c r="B16" i="7"/>
  <c r="E359" i="2" l="1"/>
  <c r="E360" i="2" s="1"/>
  <c r="F320" i="2"/>
  <c r="F321" i="2" s="1"/>
  <c r="E327" i="2"/>
  <c r="E16" i="7"/>
  <c r="F359" i="2"/>
  <c r="F360" i="2" s="1"/>
  <c r="G356" i="2"/>
  <c r="C17" i="9" l="1"/>
  <c r="E331" i="2"/>
  <c r="E337" i="2" s="1"/>
  <c r="E361" i="2" s="1"/>
  <c r="G320" i="2"/>
  <c r="G321" i="2" s="1"/>
  <c r="F327" i="2"/>
  <c r="H356" i="2"/>
  <c r="G359" i="2"/>
  <c r="G360" i="2" s="1"/>
  <c r="F331" i="2" l="1"/>
  <c r="F337" i="2" s="1"/>
  <c r="F361" i="2" s="1"/>
  <c r="H320" i="2"/>
  <c r="H321" i="2" s="1"/>
  <c r="I320" i="2" s="1"/>
  <c r="I321" i="2" s="1"/>
  <c r="G327" i="2"/>
  <c r="I356" i="2"/>
  <c r="I359" i="2" s="1"/>
  <c r="I360" i="2" s="1"/>
  <c r="H359" i="2"/>
  <c r="H360" i="2" s="1"/>
  <c r="G150" i="4"/>
  <c r="B4" i="10" s="1"/>
  <c r="H327" i="2" l="1"/>
  <c r="H331" i="2" s="1"/>
  <c r="H337" i="2" s="1"/>
  <c r="H361" i="2" s="1"/>
  <c r="G331" i="2"/>
  <c r="G337" i="2" s="1"/>
  <c r="G361" i="2" s="1"/>
  <c r="I327" i="2"/>
  <c r="H150" i="4"/>
  <c r="I150" i="4"/>
  <c r="K150" i="4"/>
  <c r="J150" i="4"/>
  <c r="J157" i="4"/>
  <c r="K157" i="4"/>
  <c r="G157" i="4"/>
  <c r="B5" i="10" s="1"/>
  <c r="B6" i="10" s="1"/>
  <c r="H157" i="4"/>
  <c r="I331" i="2" l="1"/>
  <c r="I337" i="2" s="1"/>
  <c r="I361" i="2" s="1"/>
  <c r="I157" i="4"/>
  <c r="G146" i="4" l="1"/>
  <c r="G145" i="4"/>
  <c r="G142" i="4" s="1"/>
  <c r="B7" i="10" s="1"/>
  <c r="I146" i="4" l="1"/>
  <c r="I145" i="4"/>
  <c r="I142" i="4" s="1"/>
  <c r="K146" i="4"/>
  <c r="K145" i="4"/>
  <c r="H146" i="4"/>
  <c r="H145" i="4"/>
  <c r="H142" i="4" s="1"/>
  <c r="J145" i="4"/>
  <c r="J146" i="4"/>
  <c r="K142" i="4" l="1"/>
  <c r="J142" i="4"/>
  <c r="H27" i="10" l="1"/>
  <c r="H28" i="10" s="1"/>
  <c r="D29" i="10" s="1"/>
  <c r="H18" i="10" l="1"/>
  <c r="H19" i="10" s="1"/>
  <c r="D20" i="10" s="1"/>
  <c r="D22" i="10" s="1"/>
  <c r="D31" i="10"/>
  <c r="E10" i="9" l="1"/>
  <c r="F10" i="9"/>
  <c r="D33" i="10"/>
  <c r="E38" i="10" s="1"/>
  <c r="G10"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Safna Sahibo</author>
  </authors>
  <commentList>
    <comment ref="E14" authorId="0" shapeId="0" xr:uid="{23A7A6B0-010C-374D-8924-D8D6440E0438}">
      <text>
        <r>
          <rPr>
            <b/>
            <sz val="10"/>
            <color rgb="FF000000"/>
            <rFont val="Tahoma"/>
            <family val="2"/>
          </rPr>
          <t xml:space="preserve">Consumer Domestic Volume Growth: +1.0% (2026)
</t>
        </r>
        <r>
          <rPr>
            <b/>
            <sz val="10"/>
            <color rgb="FF000000"/>
            <rFont val="Tahoma"/>
            <family val="2"/>
          </rPr>
          <t xml:space="preserve">
</t>
        </r>
        <r>
          <rPr>
            <b/>
            <sz val="10"/>
            <color rgb="FF000000"/>
            <rFont val="Tahoma"/>
            <family val="2"/>
          </rPr>
          <t xml:space="preserve">Adjusted upward from +0.5% based on recent trend analysis.
</t>
        </r>
        <r>
          <rPr>
            <b/>
            <sz val="10"/>
            <color rgb="FF000000"/>
            <rFont val="Tahoma"/>
            <family val="2"/>
          </rPr>
          <t xml:space="preserve">
</t>
        </r>
        <r>
          <rPr>
            <b/>
            <sz val="10"/>
            <color rgb="FF000000"/>
            <rFont val="Tahoma"/>
            <family val="2"/>
          </rPr>
          <t xml:space="preserve">Historical volume growth:
</t>
        </r>
        <r>
          <rPr>
            <b/>
            <sz val="10"/>
            <color rgb="FF000000"/>
            <rFont val="Tahoma"/>
            <family val="2"/>
          </rPr>
          <t xml:space="preserve">  2021: -0.3%
</t>
        </r>
        <r>
          <rPr>
            <b/>
            <sz val="10"/>
            <color rgb="FF000000"/>
            <rFont val="Tahoma"/>
            <family val="2"/>
          </rPr>
          <t xml:space="preserve">  2022: -5.9% (outlier — post-COVID inflation trade-down)
</t>
        </r>
        <r>
          <rPr>
            <b/>
            <sz val="10"/>
            <color rgb="FF000000"/>
            <rFont val="Tahoma"/>
            <family val="2"/>
          </rPr>
          <t xml:space="preserve">  2023: +1.0%
</t>
        </r>
        <r>
          <rPr>
            <b/>
            <sz val="10"/>
            <color rgb="FF000000"/>
            <rFont val="Tahoma"/>
            <family val="2"/>
          </rPr>
          <t xml:space="preserve">  2024: +2.8%
</t>
        </r>
        <r>
          <rPr>
            <b/>
            <sz val="10"/>
            <color rgb="FF000000"/>
            <rFont val="Tahoma"/>
            <family val="2"/>
          </rPr>
          <t xml:space="preserve">  2025: +0.0%
</t>
        </r>
        <r>
          <rPr>
            <b/>
            <sz val="10"/>
            <color rgb="FF000000"/>
            <rFont val="Tahoma"/>
            <family val="2"/>
          </rPr>
          <t xml:space="preserve">
</t>
        </r>
        <r>
          <rPr>
            <b/>
            <sz val="10"/>
            <color rgb="FF000000"/>
            <rFont val="Tahoma"/>
            <family val="2"/>
          </rPr>
          <t xml:space="preserve">5-year average: -0.48% (dragged by 2022 outlier)
</t>
        </r>
        <r>
          <rPr>
            <b/>
            <sz val="10"/>
            <color rgb="FF000000"/>
            <rFont val="Tahoma"/>
            <family val="2"/>
          </rPr>
          <t xml:space="preserve">3-year average (2023-2025): +1.27%
</t>
        </r>
        <r>
          <rPr>
            <b/>
            <sz val="10"/>
            <color rgb="FF000000"/>
            <rFont val="Tahoma"/>
            <family val="2"/>
          </rPr>
          <t xml:space="preserve">Excluding 2022: +0.88%
</t>
        </r>
        <r>
          <rPr>
            <b/>
            <sz val="10"/>
            <color rgb="FF000000"/>
            <rFont val="Tahoma"/>
            <family val="2"/>
          </rPr>
          <t xml:space="preserve">
</t>
        </r>
        <r>
          <rPr>
            <b/>
            <sz val="10"/>
            <color rgb="FF000000"/>
            <rFont val="Tahoma"/>
            <family val="2"/>
          </rPr>
          <t xml:space="preserve">+1.0% is the midpoint of the 3-year average (+1.27%) and the ex-outlier average (+0.88%). Reflects CHD's brand investment in power brands (Arm &amp; Hammer, OxiClean, TheraBreath) and stable category leadership in a mature US market.
</t>
        </r>
        <r>
          <rPr>
            <b/>
            <sz val="10"/>
            <color rgb="FF000000"/>
            <rFont val="Tahoma"/>
            <family val="2"/>
          </rPr>
          <t xml:space="preserve">
</t>
        </r>
        <r>
          <rPr>
            <b/>
            <sz val="10"/>
            <color rgb="FF000000"/>
            <rFont val="Tahoma"/>
            <family val="2"/>
          </rPr>
          <t>Source: CHD 10-K filings (FY2021-FY2025), segment volume disclosures.</t>
        </r>
      </text>
    </comment>
    <comment ref="F14" authorId="0" shapeId="0" xr:uid="{705B5F59-B112-AF4B-B4D6-6872F8BCDAE7}">
      <text>
        <r>
          <rPr>
            <b/>
            <sz val="10"/>
            <color rgb="FF000000"/>
            <rFont val="Tahoma"/>
            <family val="2"/>
          </rPr>
          <t>Safna Sahibo:</t>
        </r>
        <r>
          <rPr>
            <sz val="10"/>
            <color rgb="FF000000"/>
            <rFont val="Tahoma"/>
            <family val="2"/>
          </rPr>
          <t xml:space="preserve">
</t>
        </r>
        <r>
          <rPr>
            <sz val="10"/>
            <color rgb="FF000000"/>
            <rFont val="Tahoma"/>
            <family val="2"/>
          </rPr>
          <t xml:space="preserve">Consumer Domestic Volume Growth: +1.0% (2027-2030)
</t>
        </r>
        <r>
          <rPr>
            <sz val="10"/>
            <color rgb="FF000000"/>
            <rFont val="Tahoma"/>
            <family val="2"/>
          </rPr>
          <t xml:space="preserve">
</t>
        </r>
        <r>
          <rPr>
            <sz val="10"/>
            <color rgb="FF000000"/>
            <rFont val="Tahoma"/>
            <family val="2"/>
          </rPr>
          <t>Same rate as 2026. Mature US consumer staples market with steady volume from brand loyalty and category leadership. No fade applied — CHD's domestic volumes are driven by household essentials with low cyclicality.</t>
        </r>
      </text>
    </comment>
    <comment ref="E16" authorId="0" shapeId="0" xr:uid="{7175E9A1-181E-CD41-B559-04099066295E}">
      <text>
        <r>
          <rPr>
            <b/>
            <sz val="10"/>
            <color rgb="FF000000"/>
            <rFont val="Tahoma"/>
            <family val="2"/>
          </rPr>
          <t>Safna Sahibo:</t>
        </r>
        <r>
          <rPr>
            <sz val="10"/>
            <color rgb="FF000000"/>
            <rFont val="Tahoma"/>
            <family val="2"/>
          </rPr>
          <t xml:space="preserve">
</t>
        </r>
        <r>
          <rPr>
            <b/>
            <sz val="10"/>
            <color rgb="FF000000"/>
            <rFont val="Aptos Narrow"/>
            <scheme val="minor"/>
          </rPr>
          <t>Why −0.68% was changed to +0.5%:</t>
        </r>
        <r>
          <rPr>
            <sz val="10"/>
            <color rgb="FF000000"/>
            <rFont val="Aptos Narrow"/>
            <scheme val="minor"/>
          </rPr>
          <t xml:space="preserve">
</t>
        </r>
        <r>
          <rPr>
            <sz val="10"/>
            <color rgb="FF000000"/>
            <rFont val="Aptos Narrow"/>
            <scheme val="minor"/>
          </rPr>
          <t xml:space="preserve">The average was dragged down by the 2022–2023 contract losses (−5.1%, −7.2%), which were specific business events (customers switching suppliers), not a structural decline
</t>
        </r>
        <r>
          <rPr>
            <sz val="10"/>
            <color rgb="FF000000"/>
            <rFont val="Aptos Narrow"/>
            <scheme val="minor"/>
          </rPr>
          <t xml:space="preserve">2024–2025 show clear recovery and stabilization (+4.0%, +0.3%)
</t>
        </r>
        <r>
          <rPr>
            <sz val="10"/>
            <color rgb="FF000000"/>
            <rFont val="Aptos Narrow"/>
            <scheme val="minor"/>
          </rPr>
          <t>Excluding 2022–2023: 3-year average (2021, 2024, 2025) = </t>
        </r>
        <r>
          <rPr>
            <b/>
            <sz val="10"/>
            <color rgb="FF000000"/>
            <rFont val="Aptos Narrow"/>
            <scheme val="minor"/>
          </rPr>
          <t>+1.6%</t>
        </r>
        <r>
          <rPr>
            <sz val="10"/>
            <color rgb="FF000000"/>
            <rFont val="Aptos Narrow"/>
            <scheme val="minor"/>
          </rPr>
          <t xml:space="preserve">
</t>
        </r>
        <r>
          <rPr>
            <sz val="10"/>
            <color rgb="FF000000"/>
            <rFont val="Aptos Narrow"/>
            <scheme val="minor"/>
          </rPr>
          <t>Median of all 5 years: </t>
        </r>
        <r>
          <rPr>
            <b/>
            <sz val="10"/>
            <color rgb="FF000000"/>
            <rFont val="Aptos Narrow"/>
            <scheme val="minor"/>
          </rPr>
          <t>+0.3%</t>
        </r>
        <r>
          <rPr>
            <sz val="10"/>
            <color rgb="FF000000"/>
            <rFont val="Aptos Narrow"/>
            <scheme val="minor"/>
          </rPr>
          <t xml:space="preserve">
</t>
        </r>
        <r>
          <rPr>
            <sz val="10"/>
            <color rgb="FF000000"/>
            <rFont val="Aptos Narrow"/>
            <scheme val="minor"/>
          </rPr>
          <t xml:space="preserve">+0.5% sits between the median (+0.3%) and the ex-outlier average (+1.6%) — reflecting a mature contract manufacturing business that has stabilized after the downturn, with modest recovery but not a return to peak volumes.
</t>
        </r>
      </text>
    </comment>
    <comment ref="F16" authorId="0" shapeId="0" xr:uid="{C773F426-E233-4A4A-B00D-637887518048}">
      <text>
        <r>
          <rPr>
            <b/>
            <sz val="10"/>
            <color rgb="FF000000"/>
            <rFont val="Tahoma"/>
            <family val="2"/>
          </rPr>
          <t>Safna Sahibo:</t>
        </r>
        <r>
          <rPr>
            <sz val="10"/>
            <color rgb="FF000000"/>
            <rFont val="Tahoma"/>
            <family val="2"/>
          </rPr>
          <t xml:space="preserve">
</t>
        </r>
        <r>
          <rPr>
            <sz val="10"/>
            <color rgb="FF000000"/>
            <rFont val="Tahoma"/>
            <family val="2"/>
          </rPr>
          <t xml:space="preserve">SPD Volume Growth: 0.0% (2027-2030)
</t>
        </r>
        <r>
          <rPr>
            <sz val="10"/>
            <color rgb="FF000000"/>
            <rFont val="Tahoma"/>
            <family val="2"/>
          </rPr>
          <t xml:space="preserve">
</t>
        </r>
        <r>
          <rPr>
            <sz val="10"/>
            <color rgb="FF000000"/>
            <rFont val="Tahoma"/>
            <family val="2"/>
          </rPr>
          <t xml:space="preserve">Faded from +0.5% (2026) to 0.0% for steady-state.
</t>
        </r>
        <r>
          <rPr>
            <sz val="10"/>
            <color rgb="FF000000"/>
            <rFont val="Tahoma"/>
            <family val="2"/>
          </rPr>
          <t xml:space="preserve">
</t>
        </r>
        <r>
          <rPr>
            <sz val="10"/>
            <color rgb="FF000000"/>
            <rFont val="Tahoma"/>
            <family val="2"/>
          </rPr>
          <t xml:space="preserve">SPD is a contract manufacturing / private label business with high volume volatility (σ = 5.3%). After the 2022-2023 contract losses and 2024-2025 recovery, 0.0% represents a normalized steady-state for a mature contract business. SPD is only ~5% of CHD revenue, so this has minimal valuation impact.
</t>
        </r>
        <r>
          <rPr>
            <sz val="10"/>
            <color rgb="FF000000"/>
            <rFont val="Tahoma"/>
            <family val="2"/>
          </rPr>
          <t xml:space="preserve">
</t>
        </r>
        <r>
          <rPr>
            <sz val="10"/>
            <color rgb="FF000000"/>
            <rFont val="Tahoma"/>
            <family val="2"/>
          </rPr>
          <t>Historical: 2021 +4.6%, 2022 -5.1%, 2023 -7.2%, 2024 +4.0%, 2025 +0.3%.</t>
        </r>
      </text>
    </comment>
    <comment ref="J17" authorId="0" shapeId="0" xr:uid="{32CD51D2-1DE2-6447-AB56-6D65FB08A2E2}">
      <text>
        <r>
          <rPr>
            <b/>
            <sz val="10"/>
            <color rgb="FF000000"/>
            <rFont val="Tahoma"/>
            <family val="2"/>
          </rPr>
          <t>Safna Sahibo:</t>
        </r>
        <r>
          <rPr>
            <sz val="10"/>
            <color rgb="FF000000"/>
            <rFont val="Tahoma"/>
            <family val="2"/>
          </rPr>
          <t xml:space="preserve">
</t>
        </r>
        <r>
          <rPr>
            <sz val="10"/>
            <color rgb="FF000000"/>
            <rFont val="Tahoma"/>
            <family val="2"/>
          </rPr>
          <t>Land is not a depreciable asset under GAAP (ASC 360). It has an unlimited useful life and is carried at historical cost less any impairment.</t>
        </r>
      </text>
    </comment>
    <comment ref="J18" authorId="0" shapeId="0" xr:uid="{D176E0F6-529D-F845-93F7-300861004397}">
      <text>
        <r>
          <rPr>
            <b/>
            <sz val="10"/>
            <color rgb="FF000000"/>
            <rFont val="Tahoma"/>
            <family val="2"/>
          </rPr>
          <t>Safna Sahibo:</t>
        </r>
        <r>
          <rPr>
            <sz val="10"/>
            <color rgb="FF000000"/>
            <rFont val="Tahoma"/>
            <family val="2"/>
          </rPr>
          <t xml:space="preserve">
</t>
        </r>
        <r>
          <rPr>
            <sz val="10"/>
            <color rgb="FF000000"/>
            <rFont val="Tahoma"/>
            <family val="2"/>
          </rPr>
          <t>Buildings: 40 years. CHD 10-K range 9-40.</t>
        </r>
      </text>
    </comment>
    <comment ref="J19" authorId="0" shapeId="0" xr:uid="{847939AB-BB9A-D64F-9374-6348AD08B2CC}">
      <text>
        <r>
          <rPr>
            <b/>
            <sz val="10"/>
            <color rgb="FF000000"/>
            <rFont val="Tahoma"/>
            <family val="2"/>
          </rPr>
          <t>Safna Sahibo:</t>
        </r>
        <r>
          <rPr>
            <sz val="10"/>
            <color rgb="FF000000"/>
            <rFont val="Tahoma"/>
            <family val="2"/>
          </rPr>
          <t xml:space="preserve">
Machinery: 15 years. CHD 10-K range 3-20.</t>
        </r>
      </text>
    </comment>
    <comment ref="J20" authorId="0" shapeId="0" xr:uid="{638409F3-7527-1F44-9522-AA42273EBC76}">
      <text>
        <r>
          <rPr>
            <b/>
            <sz val="10"/>
            <color rgb="FF000000"/>
            <rFont val="Tahoma"/>
            <family val="2"/>
          </rPr>
          <t>Software: 10 years. CHD 10-K: 'up to 10 years.' Using maximum per CHD policy.</t>
        </r>
      </text>
    </comment>
    <comment ref="J21" authorId="0" shapeId="0" xr:uid="{014FAF76-F7FA-BC48-88CD-E46F59F84BE5}">
      <text>
        <r>
          <rPr>
            <b/>
            <sz val="10"/>
            <color rgb="FF000000"/>
            <rFont val="Tahoma"/>
            <family val="2"/>
          </rPr>
          <t>Safna Sahibo:</t>
        </r>
        <r>
          <rPr>
            <sz val="10"/>
            <color rgb="FF000000"/>
            <rFont val="Tahoma"/>
            <family val="2"/>
          </rPr>
          <t xml:space="preserve">
Office equipment: 10 years. CHD 10-K range 3-10.</t>
        </r>
      </text>
    </comment>
    <comment ref="J22" authorId="0" shapeId="0" xr:uid="{47A5D759-6203-0946-9B5D-C36EBDC0CFBA}">
      <text>
        <r>
          <rPr>
            <b/>
            <sz val="10"/>
            <color rgb="FF000000"/>
            <rFont val="Tahoma"/>
            <family val="2"/>
          </rPr>
          <t>Safna Sahibo:</t>
        </r>
        <r>
          <rPr>
            <sz val="10"/>
            <color rgb="FF000000"/>
            <rFont val="Tahoma"/>
            <family val="2"/>
          </rPr>
          <t xml:space="preserve">
</t>
        </r>
        <r>
          <rPr>
            <sz val="10"/>
            <color rgb="FF000000"/>
            <rFont val="Tahoma"/>
            <family val="2"/>
          </rPr>
          <t>Construction in progress (CIP) is NOT depreciated per GAAP. CIP represents assets under construction that have not yet been placed in service. Per ASC 360-10-35-4, depreciation begins only when the asset is 'available for its intended use.' Upon completion, CIP should be reclassified to the appropriate asset category (buildings, machinery, etc.) and depreciated per that category's useful life. The original model incorrectly depreciated CIP over 20 years.</t>
        </r>
      </text>
    </comment>
    <comment ref="J25" authorId="0" shapeId="0" xr:uid="{299C0DE4-CCA7-E544-B13A-73E4D8F59AE4}">
      <text>
        <r>
          <rPr>
            <b/>
            <sz val="10"/>
            <color rgb="FF000000"/>
            <rFont val="Tahoma"/>
            <family val="2"/>
          </rPr>
          <t>Safna Sahibo:</t>
        </r>
        <r>
          <rPr>
            <sz val="10"/>
            <color rgb="FF000000"/>
            <rFont val="Tahoma"/>
            <family val="2"/>
          </rPr>
          <t xml:space="preserve">
</t>
        </r>
        <r>
          <rPr>
            <sz val="10"/>
            <color rgb="FF000000"/>
            <rFont val="Tahoma"/>
            <family val="2"/>
          </rPr>
          <t>Trade names: 20 years amortization</t>
        </r>
      </text>
    </comment>
    <comment ref="E26" authorId="0" shapeId="0" xr:uid="{C387BC21-77DA-9742-98F6-0DA852D02A65}">
      <text>
        <r>
          <rPr>
            <b/>
            <sz val="10"/>
            <color rgb="FF000000"/>
            <rFont val="Tahoma"/>
            <family val="2"/>
          </rPr>
          <t xml:space="preserve">Touchland Acquisition — Consumer Domestic (2026)
</t>
        </r>
        <r>
          <rPr>
            <b/>
            <sz val="10"/>
            <color rgb="FF000000"/>
            <rFont val="Tahoma"/>
            <family val="2"/>
          </rPr>
          <t xml:space="preserve">
</t>
        </r>
        <r>
          <rPr>
            <b/>
            <sz val="10"/>
            <color rgb="FF000000"/>
            <rFont val="Tahoma"/>
            <family val="2"/>
          </rPr>
          <t xml:space="preserve">CHD acquired Touchland on July 16, 2025. Because the deal closed mid-year, Touchland only contributed ~5.5 months of revenue to CHD's 2025 results (mid-July through December).
</t>
        </r>
        <r>
          <rPr>
            <b/>
            <sz val="10"/>
            <color rgb="FF000000"/>
            <rFont val="Tahoma"/>
            <family val="2"/>
          </rPr>
          <t xml:space="preserve">
</t>
        </r>
        <r>
          <rPr>
            <b/>
            <sz val="10"/>
            <color rgb="FF000000"/>
            <rFont val="Tahoma"/>
            <family val="2"/>
          </rPr>
          <t xml:space="preserve">In 2026, Touchland will be owned for the full year — but 5.5 months of that are already baked into the 2025 base. So the incremental acquisition boost in 2026 comes from the ~6.5 months that were NOT in 2025 (January through mid-July).
</t>
        </r>
        <r>
          <rPr>
            <b/>
            <sz val="10"/>
            <color rgb="FF000000"/>
            <rFont val="Tahoma"/>
            <family val="2"/>
          </rPr>
          <t xml:space="preserve">
</t>
        </r>
        <r>
          <rPr>
            <b/>
            <sz val="10"/>
            <color rgb="FF000000"/>
            <rFont val="Tahoma"/>
            <family val="2"/>
          </rPr>
          <t xml:space="preserve">How the number is calculated:
</t>
        </r>
        <r>
          <rPr>
            <b/>
            <sz val="10"/>
            <color rgb="FF000000"/>
            <rFont val="Tahoma"/>
            <family val="2"/>
          </rPr>
          <t xml:space="preserve">1. Start with CHD's reported 2025 domestic acquisition growth rate (2.2%) and multiply by prior-year domestic revenue to get the dollar amount Touchland added in 2025.
</t>
        </r>
        <r>
          <rPr>
            <b/>
            <sz val="10"/>
            <color rgb="FF000000"/>
            <rFont val="Tahoma"/>
            <family val="2"/>
          </rPr>
          <t xml:space="preserve">2. Divide by 5.5 months to get the monthly revenue run rate.
</t>
        </r>
        <r>
          <rPr>
            <b/>
            <sz val="10"/>
            <color rgb="FF000000"/>
            <rFont val="Tahoma"/>
            <family val="2"/>
          </rPr>
          <t xml:space="preserve">3. Multiply by 6.5 months to get the incremental revenue for 2026.
</t>
        </r>
        <r>
          <rPr>
            <b/>
            <sz val="10"/>
            <color rgb="FF000000"/>
            <rFont val="Tahoma"/>
            <family val="2"/>
          </rPr>
          <t xml:space="preserve">4. Express as a percentage of 2025 domestic revenue → 2.58%.
</t>
        </r>
        <r>
          <rPr>
            <b/>
            <sz val="10"/>
            <color rgb="FF000000"/>
            <rFont val="Tahoma"/>
            <family val="2"/>
          </rPr>
          <t xml:space="preserve">
</t>
        </r>
        <r>
          <rPr>
            <b/>
            <sz val="10"/>
            <color rgb="FF000000"/>
            <rFont val="Tahoma"/>
            <family val="2"/>
          </rPr>
          <t>Source: CHD 10-K (FY2025), CHD Q1 2026 earnings release.</t>
        </r>
      </text>
    </comment>
    <comment ref="F26" authorId="0" shapeId="0" xr:uid="{F1EB6971-FA88-A145-A4E0-3DEF979A7828}">
      <text>
        <r>
          <rPr>
            <b/>
            <sz val="10"/>
            <color rgb="FF000000"/>
            <rFont val="Tahoma"/>
            <family val="2"/>
          </rPr>
          <t xml:space="preserve">Acquisition growth is 0% for 2027–2030.
</t>
        </r>
        <r>
          <rPr>
            <b/>
            <sz val="10"/>
            <color rgb="FF000000"/>
            <rFont val="Tahoma"/>
            <family val="2"/>
          </rPr>
          <t xml:space="preserve">
</t>
        </r>
        <r>
          <rPr>
            <b/>
            <sz val="10"/>
            <color rgb="FF000000"/>
            <rFont val="Tahoma"/>
            <family val="2"/>
          </rPr>
          <t>By 2027, Touchland will have been owned for a full 12 months in both the current year and the prior year, so there is no further year-over-year acquisition bump. Any ongoing Touchland revenue growth from 2027 onward is captured in the organic volume and price/mix assumptions, not the acquisition line.</t>
        </r>
      </text>
    </comment>
    <comment ref="J26" authorId="0" shapeId="0" xr:uid="{4BC84819-01AF-5E4F-A89B-E47163D67B5C}">
      <text>
        <r>
          <rPr>
            <b/>
            <sz val="10"/>
            <color rgb="FF000000"/>
            <rFont val="Tahoma"/>
            <family val="2"/>
          </rPr>
          <t>Safna Sahibo:</t>
        </r>
        <r>
          <rPr>
            <sz val="10"/>
            <color rgb="FF000000"/>
            <rFont val="Tahoma"/>
            <family val="2"/>
          </rPr>
          <t xml:space="preserve">
Customer Relationships: 15 years</t>
        </r>
      </text>
    </comment>
    <comment ref="E27" authorId="0" shapeId="0" xr:uid="{E0B1CD5F-03C3-894E-8F93-77E0F60207F9}">
      <text>
        <r>
          <rPr>
            <b/>
            <sz val="10"/>
            <color rgb="FF000000"/>
            <rFont val="Tahoma"/>
            <family val="2"/>
          </rPr>
          <t xml:space="preserve">Touchland Acquisition — Consumer International (2026)
</t>
        </r>
        <r>
          <rPr>
            <b/>
            <sz val="10"/>
            <color rgb="FF000000"/>
            <rFont val="Tahoma"/>
            <family val="2"/>
          </rPr>
          <t xml:space="preserve">
</t>
        </r>
        <r>
          <rPr>
            <b/>
            <sz val="10"/>
            <color rgb="FF000000"/>
            <rFont val="Tahoma"/>
            <family val="2"/>
          </rPr>
          <t xml:space="preserve">Same logic as domestic. Touchland is managed in both the domestic and international segments. CHD reported a 1.0% international acquisition growth rate in 2025.
</t>
        </r>
        <r>
          <rPr>
            <b/>
            <sz val="10"/>
            <color rgb="FF000000"/>
            <rFont val="Tahoma"/>
            <family val="2"/>
          </rPr>
          <t xml:space="preserve">
</t>
        </r>
        <r>
          <rPr>
            <b/>
            <sz val="10"/>
            <color rgb="FF000000"/>
            <rFont val="Tahoma"/>
            <family val="2"/>
          </rPr>
          <t xml:space="preserve">The formula takes that 1.0% rate, backs into the monthly revenue run rate over the 5.5 months Touchland was owned in 2025, then calculates the 6.5 incremental months for 2026 — expressed as a percentage of 2025 international revenue → 1.12%.
</t>
        </r>
        <r>
          <rPr>
            <b/>
            <sz val="10"/>
            <color rgb="FF000000"/>
            <rFont val="Tahoma"/>
            <family val="2"/>
          </rPr>
          <t xml:space="preserve">
</t>
        </r>
        <r>
          <rPr>
            <b/>
            <sz val="10"/>
            <color rgb="FF000000"/>
            <rFont val="Tahoma"/>
            <family val="2"/>
          </rPr>
          <t>Source: CHD 10-K (FY2025), CHD Q1 2026 earnings release.</t>
        </r>
      </text>
    </comment>
    <comment ref="F27" authorId="0" shapeId="0" xr:uid="{856EDAC4-A312-FD49-982A-E8BA2D3A4C55}">
      <text>
        <r>
          <rPr>
            <b/>
            <sz val="10"/>
            <color rgb="FF000000"/>
            <rFont val="Tahoma"/>
            <family val="2"/>
          </rPr>
          <t xml:space="preserve">Acquisition growth is 0% for 2027–2030.
</t>
        </r>
        <r>
          <rPr>
            <b/>
            <sz val="10"/>
            <color rgb="FF000000"/>
            <rFont val="Tahoma"/>
            <family val="2"/>
          </rPr>
          <t xml:space="preserve">
</t>
        </r>
        <r>
          <rPr>
            <b/>
            <sz val="10"/>
            <color rgb="FF000000"/>
            <rFont val="Tahoma"/>
            <family val="2"/>
          </rPr>
          <t>Same rationale as domestic — Touchland is fully in the revenue base from 2027 onward, so no incremental acquisition contribution.</t>
        </r>
      </text>
    </comment>
    <comment ref="J27" authorId="0" shapeId="0" xr:uid="{A32A14EC-9D35-3143-A9C5-87E88416EF63}">
      <text>
        <r>
          <rPr>
            <b/>
            <sz val="10"/>
            <color rgb="FF000000"/>
            <rFont val="Tahoma"/>
            <family val="2"/>
          </rPr>
          <t>Safna Sahibo:</t>
        </r>
        <r>
          <rPr>
            <sz val="10"/>
            <color rgb="FF000000"/>
            <rFont val="Tahoma"/>
            <family val="2"/>
          </rPr>
          <t xml:space="preserve">
</t>
        </r>
        <r>
          <rPr>
            <sz val="10"/>
            <color rgb="FF000000"/>
            <rFont val="Tahoma"/>
            <family val="2"/>
          </rPr>
          <t>Patents/Formulas: 10 years</t>
        </r>
      </text>
    </comment>
    <comment ref="E31" authorId="0" shapeId="0" xr:uid="{6EF10CE8-1A33-E84B-BAF8-A6E778A7E62E}">
      <text>
        <r>
          <rPr>
            <b/>
            <sz val="10"/>
            <color rgb="FF000000"/>
            <rFont val="Tahoma"/>
            <family val="2"/>
          </rPr>
          <t xml:space="preserve">Exit of Product Lines — Consumer Domestic (2026)
</t>
        </r>
        <r>
          <rPr>
            <b/>
            <sz val="10"/>
            <color rgb="FF000000"/>
            <rFont val="Tahoma"/>
            <family val="2"/>
          </rPr>
          <t xml:space="preserve">
</t>
        </r>
        <r>
          <rPr>
            <b/>
            <sz val="10"/>
            <color rgb="FF000000"/>
            <rFont val="Tahoma"/>
            <family val="2"/>
          </rPr>
          <t xml:space="preserve">In 2025, CHD exited several businesses:
</t>
        </r>
        <r>
          <rPr>
            <b/>
            <sz val="10"/>
            <color rgb="FF000000"/>
            <rFont val="Tahoma"/>
            <family val="2"/>
          </rPr>
          <t xml:space="preserve">• Flawless, Spinbrush, and Waterpik showerhead (~$118M of 2025 net sales)
</t>
        </r>
        <r>
          <rPr>
            <b/>
            <sz val="10"/>
            <color rgb="FF000000"/>
            <rFont val="Tahoma"/>
            <family val="2"/>
          </rPr>
          <t xml:space="preserve">• VitaFusion and L'il Critters vitamin brands (VMS sale)
</t>
        </r>
        <r>
          <rPr>
            <b/>
            <sz val="10"/>
            <color rgb="FF000000"/>
            <rFont val="Tahoma"/>
            <family val="2"/>
          </rPr>
          <t xml:space="preserve">
</t>
        </r>
        <r>
          <rPr>
            <b/>
            <sz val="10"/>
            <color rgb="FF000000"/>
            <rFont val="Tahoma"/>
            <family val="2"/>
          </rPr>
          <t xml:space="preserve">These businesses generated revenue in 2025 but will contribute zero in 2026. The -6.7% captures the full-year revenue loss compared to the 2025 base.
</t>
        </r>
        <r>
          <rPr>
            <b/>
            <sz val="10"/>
            <color rgb="FF000000"/>
            <rFont val="Tahoma"/>
            <family val="2"/>
          </rPr>
          <t xml:space="preserve">
</t>
        </r>
        <r>
          <rPr>
            <b/>
            <sz val="10"/>
            <color rgb="FF000000"/>
            <rFont val="Tahoma"/>
            <family val="2"/>
          </rPr>
          <t xml:space="preserve">Cross-check: In Q1 2026, CHD reported that domestic sales would have been down ~6.5% from portfolio actions alone before organic growth and Touchland offset the drag — consistent with this assumption.
</t>
        </r>
        <r>
          <rPr>
            <b/>
            <sz val="10"/>
            <color rgb="FF000000"/>
            <rFont val="Tahoma"/>
            <family val="2"/>
          </rPr>
          <t xml:space="preserve">
</t>
        </r>
        <r>
          <rPr>
            <b/>
            <sz val="10"/>
            <color rgb="FF000000"/>
            <rFont val="Tahoma"/>
            <family val="2"/>
          </rPr>
          <t>Source: CHD 10-K (FY2025), CHD Q1 2026 earnings release.</t>
        </r>
      </text>
    </comment>
    <comment ref="F31" authorId="0" shapeId="0" xr:uid="{151E0693-A744-A747-949C-3B6D4F8C1E2E}">
      <text>
        <r>
          <rPr>
            <b/>
            <sz val="10"/>
            <color rgb="FF000000"/>
            <rFont val="Tahoma"/>
            <family val="2"/>
          </rPr>
          <t xml:space="preserve">Exit impact is 0% for 2027–2030.
</t>
        </r>
        <r>
          <rPr>
            <b/>
            <sz val="10"/>
            <color rgb="FF000000"/>
            <rFont val="Tahoma"/>
            <family val="2"/>
          </rPr>
          <t xml:space="preserve">
</t>
        </r>
        <r>
          <rPr>
            <b/>
            <sz val="10"/>
            <color rgb="FF000000"/>
            <rFont val="Tahoma"/>
            <family val="2"/>
          </rPr>
          <t>The -6.7% drag is a one-time year-over-year effect in 2026 only. By 2027, the exited businesses are absent from both the current year and the prior year, so there is no further comparison impact.</t>
        </r>
      </text>
    </comment>
    <comment ref="E32" authorId="0" shapeId="0" xr:uid="{596588AD-C38A-FD46-B24D-CEFA62E4D18D}">
      <text>
        <r>
          <rPr>
            <b/>
            <sz val="10"/>
            <color rgb="FF000000"/>
            <rFont val="Tahoma"/>
            <family val="2"/>
          </rPr>
          <t xml:space="preserve">Exit of Product Lines — Consumer International (2026)
</t>
        </r>
        <r>
          <rPr>
            <b/>
            <sz val="10"/>
            <color rgb="FF000000"/>
            <rFont val="Tahoma"/>
            <family val="2"/>
          </rPr>
          <t xml:space="preserve">
</t>
        </r>
        <r>
          <rPr>
            <b/>
            <sz val="10"/>
            <color rgb="FF000000"/>
            <rFont val="Tahoma"/>
            <family val="2"/>
          </rPr>
          <t xml:space="preserve">The -3.6% captures the international portion of the same 2025 portfolio exits (Flawless, Spinbrush, Waterpik showerhead, VMS). These products had some international sales that are now gone.
</t>
        </r>
        <r>
          <rPr>
            <b/>
            <sz val="10"/>
            <color rgb="FF000000"/>
            <rFont val="Tahoma"/>
            <family val="2"/>
          </rPr>
          <t xml:space="preserve">
</t>
        </r>
        <r>
          <rPr>
            <b/>
            <sz val="10"/>
            <color rgb="FF000000"/>
            <rFont val="Tahoma"/>
            <family val="2"/>
          </rPr>
          <t xml:space="preserve">Cross-check: In Q1 2026, CHD's international segment showed reported growth of +4.6% vs organic growth of +3.7%, with the portfolio exit drag partially offset by Touchland's contribution — consistent with this assumption.
</t>
        </r>
        <r>
          <rPr>
            <b/>
            <sz val="10"/>
            <color rgb="FF000000"/>
            <rFont val="Tahoma"/>
            <family val="2"/>
          </rPr>
          <t xml:space="preserve">
</t>
        </r>
        <r>
          <rPr>
            <b/>
            <sz val="10"/>
            <color rgb="FF000000"/>
            <rFont val="Tahoma"/>
            <family val="2"/>
          </rPr>
          <t>Source: CHD 10-K (FY2025), CHD Q1 2026 earnings release.</t>
        </r>
      </text>
    </comment>
    <comment ref="F32" authorId="0" shapeId="0" xr:uid="{B0F70EB7-97F4-AF47-B8E5-AD4BE46037EF}">
      <text>
        <r>
          <rPr>
            <b/>
            <sz val="10"/>
            <color rgb="FF000000"/>
            <rFont val="Tahoma"/>
            <family val="2"/>
          </rPr>
          <t xml:space="preserve">Exit impact is 0% for 2027–2030.
</t>
        </r>
        <r>
          <rPr>
            <b/>
            <sz val="10"/>
            <color rgb="FF000000"/>
            <rFont val="Tahoma"/>
            <family val="2"/>
          </rPr>
          <t xml:space="preserve">
</t>
        </r>
        <r>
          <rPr>
            <b/>
            <sz val="10"/>
            <color rgb="FF000000"/>
            <rFont val="Tahoma"/>
            <family val="2"/>
          </rPr>
          <t>Same rationale as domestic — the exit drag is a one-time year-over-year effect in 2026 only.</t>
        </r>
      </text>
    </comment>
    <comment ref="J32" authorId="0" shapeId="0" xr:uid="{2520F9E8-DDC3-634E-8068-984B965EEC4A}">
      <text>
        <r>
          <rPr>
            <b/>
            <sz val="10"/>
            <color rgb="FF000000"/>
            <rFont val="Tahoma"/>
            <family val="2"/>
          </rPr>
          <t>Safna Sahibo:</t>
        </r>
        <r>
          <rPr>
            <sz val="10"/>
            <color rgb="FF000000"/>
            <rFont val="Tahoma"/>
            <family val="2"/>
          </rPr>
          <t xml:space="preserve">
</t>
        </r>
        <r>
          <rPr>
            <sz val="10"/>
            <color rgb="FF000000"/>
            <rFont val="Tahoma"/>
            <family val="2"/>
          </rPr>
          <t xml:space="preserve">Beginning LT Debt balance as of FY2025 = $2,164.42M.
</t>
        </r>
        <r>
          <rPr>
            <sz val="10"/>
            <color rgb="FF000000"/>
            <rFont val="Tahoma"/>
            <family val="2"/>
          </rPr>
          <t xml:space="preserve">This is the sum of all 5 CHD senior note issues:
</t>
        </r>
        <r>
          <rPr>
            <sz val="10"/>
            <color rgb="FF000000"/>
            <rFont val="Tahoma"/>
            <family val="2"/>
          </rPr>
          <t xml:space="preserve">- 2.30% Notes 2031: $400M
</t>
        </r>
        <r>
          <rPr>
            <sz val="10"/>
            <color rgb="FF000000"/>
            <rFont val="Tahoma"/>
            <family val="2"/>
          </rPr>
          <t xml:space="preserve">- 3.15% Notes 2027: $425M
</t>
        </r>
        <r>
          <rPr>
            <sz val="10"/>
            <color rgb="FF000000"/>
            <rFont val="Tahoma"/>
            <family val="2"/>
          </rPr>
          <t xml:space="preserve">- 3.95% Notes 2047: $400M
</t>
        </r>
        <r>
          <rPr>
            <sz val="10"/>
            <color rgb="FF000000"/>
            <rFont val="Tahoma"/>
            <family val="2"/>
          </rPr>
          <t xml:space="preserve">- 5.00% Notes 2052: $500M
</t>
        </r>
        <r>
          <rPr>
            <sz val="10"/>
            <color rgb="FF000000"/>
            <rFont val="Tahoma"/>
            <family val="2"/>
          </rPr>
          <t xml:space="preserve">- 5.60% Notes 2032: $500M
</t>
        </r>
        <r>
          <rPr>
            <sz val="10"/>
            <color rgb="FF000000"/>
            <rFont val="Tahoma"/>
            <family val="2"/>
          </rPr>
          <t xml:space="preserve">Excludes operating lease obligation ($176.9M) which is modeled separately.
</t>
        </r>
        <r>
          <rPr>
            <sz val="10"/>
            <color rgb="FF000000"/>
            <rFont val="Tahoma"/>
            <family val="2"/>
          </rPr>
          <t>Source: CHD FY2025 10-K, Capital Structure section.</t>
        </r>
      </text>
    </comment>
    <comment ref="J33" authorId="0" shapeId="0" xr:uid="{D93F10EC-2352-7E47-8A0A-08856CA0A66B}">
      <text>
        <r>
          <rPr>
            <b/>
            <sz val="10"/>
            <color rgb="FF000000"/>
            <rFont val="Tahoma"/>
            <family val="2"/>
          </rPr>
          <t>CHD will refinance maturing debt (the $425M notes in 2027) but won't take on material net new debt unless for an acquisition. Since we can't model unknown future acquisitions, new debt = total repayments (full refinance), keeping LT debt flat at ~$2,164M.</t>
        </r>
      </text>
    </comment>
    <comment ref="J37" authorId="0" shapeId="0" xr:uid="{EFEAC4B6-5083-A84C-A537-B8A80C5992FC}">
      <text>
        <r>
          <rPr>
            <b/>
            <sz val="10"/>
            <color rgb="FF000000"/>
            <rFont val="Tahoma"/>
            <family val="2"/>
          </rPr>
          <t>Safna Sahibo:</t>
        </r>
        <r>
          <rPr>
            <sz val="10"/>
            <color rgb="FF000000"/>
            <rFont val="Tahoma"/>
            <family val="2"/>
          </rPr>
          <t xml:space="preserve">
</t>
        </r>
        <r>
          <rPr>
            <sz val="10"/>
            <color rgb="FF000000"/>
            <rFont val="Tahoma"/>
            <family val="2"/>
          </rPr>
          <t>No bonds mature in 2026</t>
        </r>
      </text>
    </comment>
    <comment ref="K37" authorId="0" shapeId="0" xr:uid="{D57EC866-689E-8348-BC47-7047F455B6A7}">
      <text>
        <r>
          <rPr>
            <b/>
            <sz val="10"/>
            <color rgb="FF000000"/>
            <rFont val="Tahoma"/>
            <family val="2"/>
          </rPr>
          <t>Safna Sahibo:</t>
        </r>
        <r>
          <rPr>
            <sz val="10"/>
            <color rgb="FF000000"/>
            <rFont val="Tahoma"/>
            <family val="2"/>
          </rPr>
          <t xml:space="preserve">
</t>
        </r>
        <r>
          <rPr>
            <sz val="10"/>
            <color rgb="FF000000"/>
            <rFont val="Tahoma"/>
            <family val="2"/>
          </rPr>
          <t>3.15% Senior Notes Due Aug 2027 ($425M par value)</t>
        </r>
      </text>
    </comment>
    <comment ref="L37" authorId="0" shapeId="0" xr:uid="{68AF8039-C91D-E840-814B-8D12A57B0235}">
      <text>
        <r>
          <rPr>
            <b/>
            <sz val="10"/>
            <color rgb="FF000000"/>
            <rFont val="Tahoma"/>
            <family val="2"/>
          </rPr>
          <t>Safna Sahibo:</t>
        </r>
        <r>
          <rPr>
            <sz val="10"/>
            <color rgb="FF000000"/>
            <rFont val="Tahoma"/>
            <family val="2"/>
          </rPr>
          <t xml:space="preserve">
</t>
        </r>
        <r>
          <rPr>
            <sz val="10"/>
            <color rgb="FF000000"/>
            <rFont val="Tahoma"/>
            <family val="2"/>
          </rPr>
          <t>No bonds mature in 2028</t>
        </r>
      </text>
    </comment>
    <comment ref="M37" authorId="0" shapeId="0" xr:uid="{0C3E9E9C-ECDE-6C45-8CF2-9C81105ABEBD}">
      <text>
        <r>
          <rPr>
            <b/>
            <sz val="10"/>
            <color rgb="FF000000"/>
            <rFont val="Tahoma"/>
            <family val="2"/>
          </rPr>
          <t>Safna Sahibo:</t>
        </r>
        <r>
          <rPr>
            <sz val="10"/>
            <color rgb="FF000000"/>
            <rFont val="Tahoma"/>
            <family val="2"/>
          </rPr>
          <t xml:space="preserve">
</t>
        </r>
        <r>
          <rPr>
            <sz val="10"/>
            <color rgb="FF000000"/>
            <rFont val="Tahoma"/>
            <family val="2"/>
          </rPr>
          <t>No bonds mature in 2029</t>
        </r>
      </text>
    </comment>
    <comment ref="N37" authorId="0" shapeId="0" xr:uid="{BF3453AD-AEC3-4E42-9DEF-3FD732241C58}">
      <text>
        <r>
          <rPr>
            <b/>
            <sz val="10"/>
            <color rgb="FF000000"/>
            <rFont val="Tahoma"/>
            <family val="2"/>
          </rPr>
          <t>Safna Sahibo:</t>
        </r>
        <r>
          <rPr>
            <sz val="10"/>
            <color rgb="FF000000"/>
            <rFont val="Tahoma"/>
            <family val="2"/>
          </rPr>
          <t xml:space="preserve">
</t>
        </r>
        <r>
          <rPr>
            <sz val="10"/>
            <color rgb="FF000000"/>
            <rFont val="Tahoma"/>
            <family val="2"/>
          </rPr>
          <t>No bonds mature in 2030</t>
        </r>
      </text>
    </comment>
    <comment ref="F46" authorId="0" shapeId="0" xr:uid="{962456BE-0334-D941-A8EF-613567023666}">
      <text>
        <r>
          <rPr>
            <b/>
            <sz val="10"/>
            <color rgb="FF000000"/>
            <rFont val="Tahoma"/>
            <family val="2"/>
          </rPr>
          <t>Safna Sahibo:</t>
        </r>
        <r>
          <rPr>
            <sz val="10"/>
            <color rgb="FF000000"/>
            <rFont val="Tahoma"/>
            <family val="2"/>
          </rPr>
          <t xml:space="preserve">
</t>
        </r>
        <r>
          <rPr>
            <sz val="10"/>
            <color rgb="FF000000"/>
            <rFont val="Aptos Narrow"/>
            <scheme val="minor"/>
          </rPr>
          <t> </t>
        </r>
        <r>
          <rPr>
            <b/>
            <sz val="10"/>
            <color rgb="FF000000"/>
            <rFont val="Aptos Narrow"/>
            <scheme val="minor"/>
          </rPr>
          <t>(Household Products = 54.17%)</t>
        </r>
        <r>
          <rPr>
            <sz val="10"/>
            <color rgb="FF000000"/>
            <rFont val="Aptos Narrow"/>
            <scheme val="minor"/>
          </rPr>
          <t> - 5-year average of Household Products as % of Consumer Domestic revenue (Arm &amp; Hammer, OxiClean, Kaboom). Historical range: 53.4%–55.0%.</t>
        </r>
      </text>
    </comment>
    <comment ref="F47" authorId="0" shapeId="0" xr:uid="{8C093FE6-0521-B74B-9B1E-E75D295E0B8F}">
      <text>
        <r>
          <rPr>
            <b/>
            <sz val="10"/>
            <color rgb="FF000000"/>
            <rFont val="Tahoma"/>
            <family val="2"/>
          </rPr>
          <t>Safna Sahibo:</t>
        </r>
        <r>
          <rPr>
            <sz val="10"/>
            <color rgb="FF000000"/>
            <rFont val="Tahoma"/>
            <family val="2"/>
          </rPr>
          <t xml:space="preserve">
</t>
        </r>
        <r>
          <rPr>
            <sz val="10"/>
            <color rgb="FF000000"/>
            <rFont val="Aptos Narrow"/>
            <scheme val="minor"/>
          </rPr>
          <t xml:space="preserve">5-year average of Household Products as % of Consumer Domestic revenue (Trojan, Batiste, TheraBreath, Hero, Waterpik). </t>
        </r>
      </text>
    </comment>
    <comment ref="K48" authorId="0" shapeId="0" xr:uid="{0AECFE3C-4806-2A49-BE30-C93F99C0E3EC}">
      <text>
        <r>
          <rPr>
            <b/>
            <sz val="10"/>
            <color rgb="FF000000"/>
            <rFont val="Tahoma"/>
            <family val="2"/>
          </rPr>
          <t>Safna Sahibo:</t>
        </r>
        <r>
          <rPr>
            <sz val="10"/>
            <color rgb="FF000000"/>
            <rFont val="Tahoma"/>
            <family val="2"/>
          </rPr>
          <t xml:space="preserve">
</t>
        </r>
        <r>
          <rPr>
            <sz val="10"/>
            <color rgb="FF000000"/>
            <rFont val="Tahoma"/>
            <family val="2"/>
          </rPr>
          <t>Effective tax rate. Linked to WACC Model B21.</t>
        </r>
      </text>
    </comment>
    <comment ref="K49" authorId="0" shapeId="0" xr:uid="{2BECF56D-A010-7243-8B6B-9D57A7630848}">
      <text>
        <r>
          <rPr>
            <b/>
            <sz val="10"/>
            <color rgb="FF000000"/>
            <rFont val="Tahoma"/>
            <family val="2"/>
          </rPr>
          <t>Safna Sahibo:</t>
        </r>
        <r>
          <rPr>
            <sz val="10"/>
            <color rgb="FF000000"/>
            <rFont val="Tahoma"/>
            <family val="2"/>
          </rPr>
          <t xml:space="preserve">
</t>
        </r>
        <r>
          <rPr>
            <sz val="10"/>
            <color rgb="FF000000"/>
            <rFont val="Tahoma"/>
            <family val="2"/>
          </rPr>
          <t>Average of 2023-2025 payout ratios: 35.3%, 47.3%, 39.0%. CHD has a lower payout ratio than UPS (68%) because it reinvests more in brand building and acquisitions.</t>
        </r>
      </text>
    </comment>
    <comment ref="K50" authorId="0" shapeId="0" xr:uid="{DEE5F2E7-D57D-2244-80B4-2CBF3AA9C121}">
      <text>
        <r>
          <rPr>
            <b/>
            <sz val="10"/>
            <color rgb="FF000000"/>
            <rFont val="Tahoma"/>
            <family val="2"/>
          </rPr>
          <t>Safna Sahibo:</t>
        </r>
        <r>
          <rPr>
            <sz val="10"/>
            <color rgb="FF000000"/>
            <rFont val="Tahoma"/>
            <family val="2"/>
          </rPr>
          <t xml:space="preserve">
</t>
        </r>
        <r>
          <rPr>
            <sz val="10"/>
            <color rgb="FF000000"/>
            <rFont val="Tahoma"/>
            <family val="2"/>
          </rPr>
          <t xml:space="preserve">Terminal Growth Rate Justification (2.25%):
</t>
        </r>
        <r>
          <rPr>
            <sz val="10"/>
            <color rgb="FF000000"/>
            <rFont val="Tahoma"/>
            <family val="2"/>
          </rPr>
          <t xml:space="preserve">
</t>
        </r>
        <r>
          <rPr>
            <sz val="10"/>
            <color rgb="FF000000"/>
            <rFont val="Tahoma"/>
            <family val="2"/>
          </rPr>
          <t xml:space="preserve">1. GDP Anchor:
</t>
        </r>
        <r>
          <rPr>
            <sz val="10"/>
            <color rgb="FF000000"/>
            <rFont val="Tahoma"/>
            <family val="2"/>
          </rPr>
          <t xml:space="preserve">• CBO projects real potential GDP growth of 2.1% (2026-2030) declining to 1.8% (2031-2036) [CBO Budget &amp; Economic Outlook, Feb 2026]
</t>
        </r>
        <r>
          <rPr>
            <sz val="10"/>
            <color rgb="FF000000"/>
            <rFont val="Tahoma"/>
            <family val="2"/>
          </rPr>
          <t xml:space="preserve">• BEA: Q1 2026 real GDP grew 2.0%; full-year 2025 at 2.1% [BEA, Apr 2026]
</t>
        </r>
        <r>
          <rPr>
            <sz val="10"/>
            <color rgb="FF000000"/>
            <rFont val="Tahoma"/>
            <family val="2"/>
          </rPr>
          <t xml:space="preserve">• Deloitte forecasts long-run real GDP potential at ~1.7% by 2030 [Deloitte US Economic Forecast Q1 2026]
</t>
        </r>
        <r>
          <rPr>
            <sz val="10"/>
            <color rgb="FF000000"/>
            <rFont val="Tahoma"/>
            <family val="2"/>
          </rPr>
          <t xml:space="preserve">• Long-run nominal GDP ≈ 1.8% real + 2.0% inflation = ~3.8%
</t>
        </r>
        <r>
          <rPr>
            <sz val="10"/>
            <color rgb="FF000000"/>
            <rFont val="Tahoma"/>
            <family val="2"/>
          </rPr>
          <t xml:space="preserve">
</t>
        </r>
        <r>
          <rPr>
            <sz val="10"/>
            <color rgb="FF000000"/>
            <rFont val="Tahoma"/>
            <family val="2"/>
          </rPr>
          <t xml:space="preserve">2. CHD-GDP Linkage:
</t>
        </r>
        <r>
          <rPr>
            <sz val="10"/>
            <color rgb="FF000000"/>
            <rFont val="Tahoma"/>
            <family val="2"/>
          </rPr>
          <t xml:space="preserve">• CHD is a consumer staples company (Arm &amp; Hammer, OxiClean) — revenue closely tracks household consumption and GDP
</t>
        </r>
        <r>
          <rPr>
            <sz val="10"/>
            <color rgb="FF000000"/>
            <rFont val="Tahoma"/>
            <family val="2"/>
          </rPr>
          <t xml:space="preserve">• 3-year revenue CAGR of ~4.1% (includes pricing/inflation pass-through); Q1 2026 revenue flat YoY as pricing normalizes
</t>
        </r>
        <r>
          <rPr>
            <sz val="10"/>
            <color rgb="FF000000"/>
            <rFont val="Tahoma"/>
            <family val="2"/>
          </rPr>
          <t xml:space="preserve">• In steady-state, CHD revenue growth converges toward nominal GDP as organic volume tracks population/GDP growth
</t>
        </r>
        <r>
          <rPr>
            <sz val="10"/>
            <color rgb="FF000000"/>
            <rFont val="Tahoma"/>
            <family val="2"/>
          </rPr>
          <t xml:space="preserve">
</t>
        </r>
        <r>
          <rPr>
            <sz val="10"/>
            <color rgb="FF000000"/>
            <rFont val="Tahoma"/>
            <family val="2"/>
          </rPr>
          <t xml:space="preserve">3. Why 2.25%:
</t>
        </r>
        <r>
          <rPr>
            <sz val="10"/>
            <color rgb="FF000000"/>
            <rFont val="Tahoma"/>
            <family val="2"/>
          </rPr>
          <t xml:space="preserve">• Sits between CBO long-run real GDP (1.8%) and near-term potential (2.1%), reflecting modest real growth for a mature staples business
</t>
        </r>
        <r>
          <rPr>
            <sz val="10"/>
            <color rgb="FF000000"/>
            <rFont val="Tahoma"/>
            <family val="2"/>
          </rPr>
          <t xml:space="preserve">• Conservative vs nominal GDP (~3.8%) — excludes inflation pass-through from terminal value to avoid double-counting
</t>
        </r>
        <r>
          <rPr>
            <sz val="10"/>
            <color rgb="FF000000"/>
            <rFont val="Tahoma"/>
            <family val="2"/>
          </rPr>
          <t xml:space="preserve">• Standard DCF practice: terminal growth should not exceed long-run real GDP for a mature company
</t>
        </r>
        <r>
          <rPr>
            <sz val="10"/>
            <color rgb="FF000000"/>
            <rFont val="Tahoma"/>
            <family val="2"/>
          </rPr>
          <t>• Consistent with consumer staples sector terminal growth conventions (typically 2.0%-2.5%)</t>
        </r>
      </text>
    </comment>
    <comment ref="F53" authorId="0" shapeId="0" xr:uid="{4F3DE05D-7FD8-C249-9F9B-A86E1B5EAB7A}">
      <text>
        <r>
          <rPr>
            <b/>
            <sz val="10"/>
            <color rgb="FF000000"/>
            <rFont val="Tahoma"/>
            <family val="2"/>
          </rPr>
          <t>Safna Sahibo:</t>
        </r>
        <r>
          <rPr>
            <sz val="10"/>
            <color rgb="FF000000"/>
            <rFont val="Tahoma"/>
            <family val="2"/>
          </rPr>
          <t xml:space="preserve">
</t>
        </r>
        <r>
          <rPr>
            <sz val="10"/>
            <color rgb="FF000000"/>
            <rFont val="Aptos Narrow"/>
            <scheme val="minor"/>
          </rPr>
          <t>5-yr avg; range 44.7% (2022 inflation trough) to 49.7% (2024 recovery)</t>
        </r>
      </text>
    </comment>
    <comment ref="F54" authorId="0" shapeId="0" xr:uid="{243BBDD0-B803-5642-8827-95D8C970F494}">
      <text>
        <r>
          <rPr>
            <b/>
            <sz val="10"/>
            <color rgb="FF000000"/>
            <rFont val="Tahoma"/>
            <family val="2"/>
          </rPr>
          <t>Safna Sahibo:</t>
        </r>
        <r>
          <rPr>
            <sz val="10"/>
            <color rgb="FF000000"/>
            <rFont val="Tahoma"/>
            <family val="2"/>
          </rPr>
          <t xml:space="preserve">
</t>
        </r>
        <r>
          <rPr>
            <b/>
            <sz val="10"/>
            <color rgb="FF000000"/>
            <rFont val="Aptos Narrow"/>
            <scheme val="minor"/>
          </rPr>
          <t>44.05%</t>
        </r>
        <r>
          <rPr>
            <sz val="10"/>
            <color rgb="FF000000"/>
            <rFont val="Aptos Narrow"/>
            <scheme val="minor"/>
          </rPr>
          <t> - 5-yr avg; ~3.5pp below domestic due to FX and distribution costs; trending up</t>
        </r>
      </text>
    </comment>
    <comment ref="K54" authorId="0" shapeId="0" xr:uid="{C0365EBF-0888-B341-8AEE-A44B2CA5181B}">
      <text>
        <r>
          <rPr>
            <b/>
            <sz val="10"/>
            <color rgb="FF000000"/>
            <rFont val="Tahoma"/>
            <family val="2"/>
          </rPr>
          <t>Source: 7-peer median EV/EBITDA from Data Source comps table (row 646). Peers: PG, CL, KMB, CLX, Reckitt, Haleon, Unilever.</t>
        </r>
      </text>
    </comment>
    <comment ref="F55" authorId="0" shapeId="0" xr:uid="{AB9EAD6A-B817-8A44-AF14-61234374D32A}">
      <text>
        <r>
          <rPr>
            <b/>
            <sz val="10"/>
            <color rgb="FF000000"/>
            <rFont val="Tahoma"/>
            <family val="2"/>
          </rPr>
          <t>Safna Sahibo:</t>
        </r>
        <r>
          <rPr>
            <sz val="10"/>
            <color rgb="FF000000"/>
            <rFont val="Tahoma"/>
            <family val="2"/>
          </rPr>
          <t xml:space="preserve">
</t>
        </r>
        <r>
          <rPr>
            <i/>
            <sz val="10"/>
            <color rgb="FF000000"/>
            <rFont val="Aptos Narrow"/>
            <scheme val="minor"/>
          </rPr>
          <t>4-year average (2021, 2023–2025), EXCLUDING 2022.</t>
        </r>
      </text>
    </comment>
    <comment ref="K55" authorId="0" shapeId="0" xr:uid="{CEB6EA4E-D43D-BB4B-A2AB-0C6321B6191C}">
      <text>
        <r>
          <rPr>
            <b/>
            <sz val="10"/>
            <color rgb="FF000000"/>
            <rFont val="Tahoma"/>
            <family val="2"/>
          </rPr>
          <t>Source: 7-peer median EV/Revenue from Data Source comps table (row 646).</t>
        </r>
      </text>
    </comment>
    <comment ref="K56" authorId="0" shapeId="0" xr:uid="{F611047C-B235-3A4C-964E-844521406111}">
      <text>
        <r>
          <rPr>
            <b/>
            <sz val="10"/>
            <color rgb="FF000000"/>
            <rFont val="Tahoma"/>
            <family val="2"/>
          </rPr>
          <t>Source: 7-peer median Fwd P/E from Data Source comps table (row 646).</t>
        </r>
      </text>
    </comment>
    <comment ref="K58" authorId="0" shapeId="0" xr:uid="{5B84A132-D367-954E-9B2B-4DC5F0D39187}">
      <text>
        <r>
          <rPr>
            <b/>
            <sz val="10"/>
            <color rgb="FF000000"/>
            <rFont val="Tahoma"/>
            <family val="2"/>
          </rPr>
          <t>Safna Sahibo:</t>
        </r>
        <r>
          <rPr>
            <sz val="10"/>
            <color rgb="FF000000"/>
            <rFont val="Tahoma"/>
            <family val="2"/>
          </rPr>
          <t xml:space="preserve">
Source: CHD EV/EBITDA from Data Source comps table (row 636).</t>
        </r>
      </text>
    </comment>
    <comment ref="K59" authorId="0" shapeId="0" xr:uid="{5D897A50-6F96-C947-B2E3-44556827DB0A}">
      <text>
        <r>
          <rPr>
            <b/>
            <sz val="10"/>
            <color rgb="FF000000"/>
            <rFont val="Tahoma"/>
            <family val="2"/>
          </rPr>
          <t>Safna Sahibo:</t>
        </r>
        <r>
          <rPr>
            <sz val="10"/>
            <color rgb="FF000000"/>
            <rFont val="Tahoma"/>
            <family val="2"/>
          </rPr>
          <t xml:space="preserve">
</t>
        </r>
        <r>
          <rPr>
            <sz val="10"/>
            <color rgb="FF000000"/>
            <rFont val="Tahoma"/>
            <family val="2"/>
          </rPr>
          <t>Source: CHD EV/Revenue from Data Source comps table (row 636).</t>
        </r>
      </text>
    </comment>
    <comment ref="K60" authorId="0" shapeId="0" xr:uid="{D0B4F6B7-ECB7-3C4D-84DE-8167491A85D5}">
      <text>
        <r>
          <rPr>
            <b/>
            <sz val="10"/>
            <color rgb="FF000000"/>
            <rFont val="Tahoma"/>
            <family val="2"/>
          </rPr>
          <t>Safna Sahibo:</t>
        </r>
        <r>
          <rPr>
            <sz val="10"/>
            <color rgb="FF000000"/>
            <rFont val="Tahoma"/>
            <family val="2"/>
          </rPr>
          <t xml:space="preserve">
</t>
        </r>
        <r>
          <rPr>
            <sz val="10"/>
            <color rgb="FF000000"/>
            <rFont val="Tahoma"/>
            <family val="2"/>
          </rPr>
          <t>Source: CHD Fwd P/E from Data Source comps table (row 636).</t>
        </r>
      </text>
    </comment>
    <comment ref="F75" authorId="0" shapeId="0" xr:uid="{D64118B5-61F5-D244-9FDD-453134C7F452}">
      <text>
        <r>
          <rPr>
            <b/>
            <sz val="10"/>
            <color rgb="FF000000"/>
            <rFont val="Tahoma"/>
            <family val="2"/>
          </rPr>
          <t>Safna Sahibo:</t>
        </r>
        <r>
          <rPr>
            <sz val="10"/>
            <color rgb="FF000000"/>
            <rFont val="Tahoma"/>
            <family val="2"/>
          </rPr>
          <t xml:space="preserve">
</t>
        </r>
        <r>
          <rPr>
            <i/>
            <sz val="10"/>
            <color rgb="FF000000"/>
            <rFont val="Aptos Narrow"/>
            <scheme val="minor"/>
          </rPr>
          <t>5-year arithmetic average (2021–2025) of Consumer Domestic D&amp;A divided by Total Consolidated D&amp;A. Historical: 2021: 78.78%, 2022: 79.95%, 2023: 81.66%, 2024: 83.56%, 2025: 84.92%. Average: 81.78%. CHD does not report D&amp;A by segment, so total consolidated D&amp;A from the depreciation and amortization schedules is allocated using these historical mix percentages.</t>
        </r>
      </text>
    </comment>
    <comment ref="F82" authorId="0" shapeId="0" xr:uid="{C092CA05-909D-F948-80C4-7BFAD5651095}">
      <text>
        <r>
          <rPr>
            <b/>
            <sz val="10"/>
            <color rgb="FF000000"/>
            <rFont val="Tahoma"/>
            <family val="2"/>
          </rPr>
          <t>Safna Sahibo:</t>
        </r>
        <r>
          <rPr>
            <sz val="10"/>
            <color rgb="FF000000"/>
            <rFont val="Tahoma"/>
            <family val="2"/>
          </rPr>
          <t xml:space="preserve">
</t>
        </r>
        <r>
          <rPr>
            <b/>
            <sz val="10"/>
            <color rgb="FF000000"/>
            <rFont val="Aptos Narrow"/>
            <scheme val="minor"/>
          </rPr>
          <t>5-year average annual growth rate</t>
        </r>
        <r>
          <rPr>
            <sz val="10"/>
            <color rgb="FF000000"/>
            <rFont val="Aptos Narrow"/>
            <scheme val="minor"/>
          </rPr>
          <t> of CHD's equity in earnings of affiliates.</t>
        </r>
      </text>
    </comment>
    <comment ref="F83" authorId="0" shapeId="0" xr:uid="{24101C86-87B4-CA40-98F8-6EDC39858765}">
      <text>
        <r>
          <rPr>
            <b/>
            <sz val="10"/>
            <color rgb="FF000000"/>
            <rFont val="Tahoma"/>
            <family val="2"/>
          </rPr>
          <t>Safna Sahibo:</t>
        </r>
        <r>
          <rPr>
            <sz val="10"/>
            <color rgb="FF000000"/>
            <rFont val="Tahoma"/>
            <family val="2"/>
          </rPr>
          <t xml:space="preserve">
</t>
        </r>
        <r>
          <rPr>
            <sz val="10"/>
            <color rgb="FF000000"/>
            <rFont val="Aptos Narrow"/>
            <scheme val="minor"/>
          </rPr>
          <t>The average is pulled down by 2021 (0.00%) when the Fed funds rate was near zero. Excluding 2021, the 4-year average is </t>
        </r>
        <r>
          <rPr>
            <b/>
            <sz val="10"/>
            <color rgb="FF000000"/>
            <rFont val="Aptos Narrow"/>
            <scheme val="minor"/>
          </rPr>
          <t>3.32%</t>
        </r>
        <r>
          <rPr>
            <sz val="10"/>
            <color rgb="FF000000"/>
            <rFont val="Aptos Narrow"/>
            <scheme val="minor"/>
          </rPr>
          <t>. In the current rate environment (Fed funds ~4–5%), CHD's actual cash yield is likely 4</t>
        </r>
        <r>
          <rPr>
            <sz val="10"/>
            <color rgb="FF000000"/>
            <rFont val="Aptos Narrow"/>
            <scheme val="minor"/>
          </rPr>
          <t xml:space="preserve"> - </t>
        </r>
        <r>
          <rPr>
            <sz val="10"/>
            <color rgb="FF000000"/>
            <rFont val="Aptos Narrow"/>
            <scheme val="minor"/>
          </rPr>
          <t>5%.</t>
        </r>
      </text>
    </comment>
    <comment ref="F84" authorId="0" shapeId="0" xr:uid="{A4DF8117-CCDF-6F49-A7B5-DC1DD1A41A50}">
      <text>
        <r>
          <rPr>
            <b/>
            <sz val="10"/>
            <color rgb="FF000000"/>
            <rFont val="Tahoma"/>
            <family val="2"/>
          </rPr>
          <t>Safna Sahibo:</t>
        </r>
        <r>
          <rPr>
            <sz val="10"/>
            <color rgb="FF000000"/>
            <rFont val="Tahoma"/>
            <family val="2"/>
          </rPr>
          <t xml:space="preserve">
</t>
        </r>
        <r>
          <rPr>
            <sz val="10"/>
            <color rgb="FF000000"/>
            <rFont val="Aptos Narrow"/>
            <scheme val="minor"/>
          </rPr>
          <t>Flips sign, no trend -- flat dollar average is the only sensible choice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Safna Sahibo</author>
  </authors>
  <commentList>
    <comment ref="E235" authorId="0" shapeId="0" xr:uid="{013CE397-A82F-B243-93D6-598E67D53B78}">
      <text>
        <r>
          <rPr>
            <b/>
            <sz val="10"/>
            <color rgb="FF000000"/>
            <rFont val="Tahoma"/>
            <family val="2"/>
          </rPr>
          <t>Safna Sahibo:</t>
        </r>
        <r>
          <rPr>
            <sz val="10"/>
            <color rgb="FF000000"/>
            <rFont val="Tahoma"/>
            <family val="2"/>
          </rPr>
          <t xml:space="preserve">
</t>
        </r>
        <r>
          <rPr>
            <sz val="10"/>
            <color rgb="FF000000"/>
            <rFont val="Tahoma"/>
            <family val="2"/>
          </rPr>
          <t xml:space="preserve">Current Portion LT Debt = next year's scheduled repayments from debt schedule (was Revenue </t>
        </r>
        <r>
          <rPr>
            <sz val="10"/>
            <color rgb="FF000000"/>
            <rFont val="Tahoma"/>
            <family val="2"/>
          </rPr>
          <t>×</t>
        </r>
        <r>
          <rPr>
            <sz val="10"/>
            <color rgb="FF000000"/>
            <rFont val="Tahoma"/>
            <family val="2"/>
          </rPr>
          <t xml:space="preserve"> %, now tied to debt maturity schedule)</t>
        </r>
      </text>
    </comment>
    <comment ref="I235" authorId="0" shapeId="0" xr:uid="{5CC66A39-450F-734D-BC15-11781B1219EE}">
      <text>
        <r>
          <rPr>
            <b/>
            <sz val="10"/>
            <color rgb="FF000000"/>
            <rFont val="Tahoma"/>
            <family val="2"/>
          </rPr>
          <t>Approximated as prior year CPLTD. No 2031 debt maturity schedule available — assumes similar repayment level continues.</t>
        </r>
      </text>
    </comment>
    <comment ref="E236" authorId="0" shapeId="0" xr:uid="{B7C84A6C-BE42-1F4F-A04F-DA10695D9CB8}">
      <text>
        <r>
          <rPr>
            <b/>
            <sz val="10"/>
            <color rgb="FF000000"/>
            <rFont val="Tahoma"/>
            <family val="2"/>
          </rPr>
          <t>Safna Sahibo:</t>
        </r>
        <r>
          <rPr>
            <sz val="10"/>
            <color rgb="FF000000"/>
            <rFont val="Tahoma"/>
            <family val="2"/>
          </rPr>
          <t xml:space="preserve">
</t>
        </r>
        <r>
          <rPr>
            <sz val="10"/>
            <color rgb="FF000000"/>
            <rFont val="Tahoma"/>
            <family val="2"/>
          </rPr>
          <t xml:space="preserve">ST borrowings set to $0, consistent with 2024-2025 actuals (was Revenue </t>
        </r>
        <r>
          <rPr>
            <sz val="10"/>
            <color rgb="FF000000"/>
            <rFont val="Tahoma"/>
            <family val="2"/>
          </rPr>
          <t>×</t>
        </r>
        <r>
          <rPr>
            <sz val="10"/>
            <color rgb="FF000000"/>
            <rFont val="Tahoma"/>
            <family val="2"/>
          </rPr>
          <t xml:space="preserve"> %)</t>
        </r>
      </text>
    </comment>
    <comment ref="E327" authorId="0" shapeId="0" xr:uid="{9888F8EC-746C-D545-9815-145F8C8B38BF}">
      <text>
        <r>
          <rPr>
            <b/>
            <sz val="10"/>
            <color rgb="FF000000"/>
            <rFont val="Tahoma"/>
            <family val="2"/>
          </rPr>
          <t>Safna Sahibo:</t>
        </r>
        <r>
          <rPr>
            <sz val="10"/>
            <color rgb="FF000000"/>
            <rFont val="Tahoma"/>
            <family val="2"/>
          </rPr>
          <t xml:space="preserve">
</t>
        </r>
        <r>
          <rPr>
            <sz val="10"/>
            <color rgb="FF000000"/>
            <rFont val="Tahoma"/>
            <family val="2"/>
          </rPr>
          <t>Fixed: BS Cash now ties to CF Ending Cash. Was a plug (=Total L&amp;E minus other assets) which caused growing divergence.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Safna Sahibo</author>
  </authors>
  <commentList>
    <comment ref="B3" authorId="0" shapeId="0" xr:uid="{A9A5646D-CC28-3C46-8505-19BE0F6881CE}">
      <text>
        <r>
          <rPr>
            <b/>
            <sz val="10"/>
            <color rgb="FF000000"/>
            <rFont val="Tahoma"/>
            <family val="2"/>
          </rPr>
          <t>Safna Sahibo:</t>
        </r>
        <r>
          <rPr>
            <sz val="10"/>
            <color rgb="FF000000"/>
            <rFont val="Tahoma"/>
            <family val="2"/>
          </rPr>
          <t xml:space="preserve">
</t>
        </r>
        <r>
          <rPr>
            <sz val="10"/>
            <color rgb="FF000000"/>
            <rFont val="Tahoma"/>
            <family val="2"/>
          </rPr>
          <t>1=Base Case, 2=Best Case, 3=Worst Case. Change this to toggle scenarios.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Safna Sahibo</author>
  </authors>
  <commentList>
    <comment ref="C16" authorId="0" shapeId="0" xr:uid="{14DB8034-9BAF-A64E-BA6B-511195F38A69}">
      <text>
        <r>
          <rPr>
            <b/>
            <sz val="10"/>
            <color rgb="FF000000"/>
            <rFont val="Tahoma"/>
            <family val="2"/>
          </rPr>
          <t>Safna Sahibo:</t>
        </r>
        <r>
          <rPr>
            <sz val="10"/>
            <color rgb="FF000000"/>
            <rFont val="Tahoma"/>
            <family val="2"/>
          </rPr>
          <t xml:space="preserve">
</t>
        </r>
        <r>
          <rPr>
            <sz val="10"/>
            <color rgb="FF000000"/>
            <rFont val="Tahoma"/>
            <family val="2"/>
          </rPr>
          <t>20-Year US Treasury Constant Maturity Rate, April 17, 2025. Source: US Department of the Treasury, treasury.gov/resource-center/data-chart-center/interest-rates</t>
        </r>
      </text>
    </comment>
    <comment ref="B22" authorId="0" shapeId="0" xr:uid="{87AF94AE-C5B8-DF46-982F-3DD47DD05874}">
      <text>
        <r>
          <rPr>
            <b/>
            <sz val="10"/>
            <color rgb="FF000000"/>
            <rFont val="Tahoma"/>
            <family val="2"/>
          </rPr>
          <t>Safna Sahibo:</t>
        </r>
        <r>
          <rPr>
            <sz val="10"/>
            <color rgb="FF000000"/>
            <rFont val="Tahoma"/>
            <family val="2"/>
          </rPr>
          <t xml:space="preserve">
</t>
        </r>
        <r>
          <rPr>
            <sz val="10"/>
            <color rgb="FF000000"/>
            <rFont val="Tahoma"/>
            <family val="2"/>
          </rPr>
          <t xml:space="preserve">Market Capitalization = Stock Price </t>
        </r>
        <r>
          <rPr>
            <sz val="10"/>
            <color rgb="FF000000"/>
            <rFont val="Tahoma"/>
            <family val="2"/>
          </rPr>
          <t>×</t>
        </r>
        <r>
          <rPr>
            <sz val="10"/>
            <color rgb="FF000000"/>
            <rFont val="Tahoma"/>
            <family val="2"/>
          </rPr>
          <t xml:space="preserve"> Diluted Shares Outstanding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Safna Sahibo</author>
  </authors>
  <commentList>
    <comment ref="B7" authorId="0" shapeId="0" xr:uid="{FB1B171C-D2AE-5E44-8A55-EC6A8DA7E579}">
      <text>
        <r>
          <rPr>
            <b/>
            <sz val="10"/>
            <color rgb="FF000000"/>
            <rFont val="Tahoma"/>
            <family val="2"/>
          </rPr>
          <t>Safna Sahibo:</t>
        </r>
        <r>
          <rPr>
            <sz val="10"/>
            <color rgb="FF000000"/>
            <rFont val="Tahoma"/>
            <family val="2"/>
          </rPr>
          <t xml:space="preserve">
</t>
        </r>
        <r>
          <rPr>
            <sz val="10"/>
            <color rgb="FF000000"/>
            <rFont val="Tahoma"/>
            <family val="2"/>
          </rPr>
          <t xml:space="preserve">Terminal Growth Rate Justification (2.25%):
</t>
        </r>
        <r>
          <rPr>
            <sz val="10"/>
            <color rgb="FF000000"/>
            <rFont val="Tahoma"/>
            <family val="2"/>
          </rPr>
          <t xml:space="preserve">
</t>
        </r>
        <r>
          <rPr>
            <sz val="10"/>
            <color rgb="FF000000"/>
            <rFont val="Tahoma"/>
            <family val="2"/>
          </rPr>
          <t xml:space="preserve">1. GDP Anchor:
</t>
        </r>
        <r>
          <rPr>
            <sz val="10"/>
            <color rgb="FF000000"/>
            <rFont val="Tahoma"/>
            <family val="2"/>
          </rPr>
          <t xml:space="preserve">• CBO projects real potential GDP growth of 2.1% (2026-2030) declining to 1.8% (2031-2036) [CBO Budget &amp; Economic Outlook, Feb 2026]
</t>
        </r>
        <r>
          <rPr>
            <sz val="10"/>
            <color rgb="FF000000"/>
            <rFont val="Tahoma"/>
            <family val="2"/>
          </rPr>
          <t xml:space="preserve">• BEA: Q1 2026 real GDP grew 2.0%; full-year 2025 at 2.1% [BEA, Apr 2026]
</t>
        </r>
        <r>
          <rPr>
            <sz val="10"/>
            <color rgb="FF000000"/>
            <rFont val="Tahoma"/>
            <family val="2"/>
          </rPr>
          <t xml:space="preserve">• Deloitte forecasts long-run real GDP potential at ~1.7% by 2030 [Deloitte US Economic Forecast Q1 2026]
</t>
        </r>
        <r>
          <rPr>
            <sz val="10"/>
            <color rgb="FF000000"/>
            <rFont val="Tahoma"/>
            <family val="2"/>
          </rPr>
          <t xml:space="preserve">• Long-run nominal GDP ≈ 1.8% real + 2.0% inflation = ~3.8%
</t>
        </r>
        <r>
          <rPr>
            <sz val="10"/>
            <color rgb="FF000000"/>
            <rFont val="Tahoma"/>
            <family val="2"/>
          </rPr>
          <t xml:space="preserve">
</t>
        </r>
        <r>
          <rPr>
            <sz val="10"/>
            <color rgb="FF000000"/>
            <rFont val="Tahoma"/>
            <family val="2"/>
          </rPr>
          <t xml:space="preserve">2. CHD-GDP Linkage:
</t>
        </r>
        <r>
          <rPr>
            <sz val="10"/>
            <color rgb="FF000000"/>
            <rFont val="Tahoma"/>
            <family val="2"/>
          </rPr>
          <t xml:space="preserve">• CHD is a consumer staples company (Arm &amp; Hammer, OxiClean) — revenue closely tracks household consumption and GDP
</t>
        </r>
        <r>
          <rPr>
            <sz val="10"/>
            <color rgb="FF000000"/>
            <rFont val="Tahoma"/>
            <family val="2"/>
          </rPr>
          <t xml:space="preserve">• 3-year revenue CAGR of ~4.1% (includes pricing/inflation pass-through); Q1 2026 revenue flat YoY as pricing normalizes
</t>
        </r>
        <r>
          <rPr>
            <sz val="10"/>
            <color rgb="FF000000"/>
            <rFont val="Tahoma"/>
            <family val="2"/>
          </rPr>
          <t xml:space="preserve">• In steady-state, CHD revenue growth converges toward nominal GDP as organic volume tracks population/GDP growth
</t>
        </r>
        <r>
          <rPr>
            <sz val="10"/>
            <color rgb="FF000000"/>
            <rFont val="Tahoma"/>
            <family val="2"/>
          </rPr>
          <t xml:space="preserve">
</t>
        </r>
        <r>
          <rPr>
            <sz val="10"/>
            <color rgb="FF000000"/>
            <rFont val="Tahoma"/>
            <family val="2"/>
          </rPr>
          <t xml:space="preserve">3. Why 2.25%:
</t>
        </r>
        <r>
          <rPr>
            <sz val="10"/>
            <color rgb="FF000000"/>
            <rFont val="Tahoma"/>
            <family val="2"/>
          </rPr>
          <t xml:space="preserve">• Sits between CBO long-run real GDP (1.8%) and near-term potential (2.1%), reflecting modest real growth for a mature staples business
</t>
        </r>
        <r>
          <rPr>
            <sz val="10"/>
            <color rgb="FF000000"/>
            <rFont val="Tahoma"/>
            <family val="2"/>
          </rPr>
          <t xml:space="preserve">• Conservative vs nominal GDP (~3.8%) — excludes inflation pass-through from terminal value to avoid double-counting
</t>
        </r>
        <r>
          <rPr>
            <sz val="10"/>
            <color rgb="FF000000"/>
            <rFont val="Tahoma"/>
            <family val="2"/>
          </rPr>
          <t xml:space="preserve">• Standard DCF practice: terminal growth should not exceed long-run real GDP for a mature company
</t>
        </r>
        <r>
          <rPr>
            <sz val="10"/>
            <color rgb="FF000000"/>
            <rFont val="Tahoma"/>
            <family val="2"/>
          </rPr>
          <t>• Consistent with consumer staples sector terminal growth conventions (typically 2.0%-2.5%)</t>
        </r>
      </text>
    </comment>
    <comment ref="H18" authorId="0" shapeId="0" xr:uid="{9A8C31AC-BA0A-024A-BC61-FAFECE98AF32}">
      <text>
        <r>
          <rPr>
            <b/>
            <sz val="10"/>
            <color rgb="FF000000"/>
            <rFont val="Tahoma"/>
            <family val="2"/>
          </rPr>
          <t>Safna Sahibo:</t>
        </r>
        <r>
          <rPr>
            <sz val="10"/>
            <color rgb="FF000000"/>
            <rFont val="Tahoma"/>
            <family val="2"/>
          </rPr>
          <t xml:space="preserve">
TV = FCFE_2030 × (1+g) / (Re - g). Discounted at Cost of Equity.</t>
        </r>
      </text>
    </comment>
    <comment ref="H27" authorId="0" shapeId="0" xr:uid="{67809090-FFDF-F542-8D60-6DB201B53FD8}">
      <text>
        <r>
          <rPr>
            <b/>
            <sz val="10"/>
            <color rgb="FF000000"/>
            <rFont val="Tahoma"/>
            <family val="2"/>
          </rPr>
          <t>Safna Sahibo:</t>
        </r>
        <r>
          <rPr>
            <sz val="10"/>
            <color rgb="FF000000"/>
            <rFont val="Tahoma"/>
            <family val="2"/>
          </rPr>
          <t xml:space="preserve">
</t>
        </r>
        <r>
          <rPr>
            <sz val="10"/>
            <color rgb="FF000000"/>
            <rFont val="Tahoma"/>
            <family val="2"/>
          </rPr>
          <t xml:space="preserve">TV = FCFF_2030 </t>
        </r>
        <r>
          <rPr>
            <sz val="10"/>
            <color rgb="FF000000"/>
            <rFont val="Tahoma"/>
            <family val="2"/>
          </rPr>
          <t>×</t>
        </r>
        <r>
          <rPr>
            <sz val="10"/>
            <color rgb="FF000000"/>
            <rFont val="Tahoma"/>
            <family val="2"/>
          </rPr>
          <t xml:space="preserve"> (1+g) / (WACC - g). Discounted at WACC.</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Safna Sahibo</author>
  </authors>
  <commentList>
    <comment ref="B13" authorId="0" shapeId="0" xr:uid="{6019261B-F3CF-4445-A1B4-92339BD35EDD}">
      <text>
        <r>
          <rPr>
            <b/>
            <sz val="10"/>
            <color rgb="FF000000"/>
            <rFont val="Tahoma"/>
            <family val="2"/>
          </rPr>
          <t>Safna Sahibo:</t>
        </r>
        <r>
          <rPr>
            <sz val="10"/>
            <color rgb="FF000000"/>
            <rFont val="Tahoma"/>
            <family val="2"/>
          </rPr>
          <t xml:space="preserve">
</t>
        </r>
        <r>
          <rPr>
            <sz val="10"/>
            <color rgb="FF000000"/>
            <rFont val="Tahoma"/>
            <family val="2"/>
          </rPr>
          <t xml:space="preserve">EBITDA = Operating Income + Depreciation + Amortization.
</t>
        </r>
        <r>
          <rPr>
            <sz val="10"/>
            <color rgb="FF000000"/>
            <rFont val="Tahoma"/>
            <family val="2"/>
          </rPr>
          <t xml:space="preserve">E287 = Operating Income ($1,168.1M)
</t>
        </r>
        <r>
          <rPr>
            <sz val="10"/>
            <color rgb="FF000000"/>
            <rFont val="Tahoma"/>
            <family val="2"/>
          </rPr>
          <t xml:space="preserve">E284 = Depreciation ($99.5M)
</t>
        </r>
        <r>
          <rPr>
            <sz val="10"/>
            <color rgb="FF000000"/>
            <rFont val="Tahoma"/>
            <family val="2"/>
          </rPr>
          <t xml:space="preserve">E285 = Amortization ($166.1M)
</t>
        </r>
        <r>
          <rPr>
            <sz val="10"/>
            <color rgb="FF000000"/>
            <rFont val="Tahoma"/>
            <family val="2"/>
          </rPr>
          <t>Total EBITDA = $1,433.7M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Safna Sahibo</author>
  </authors>
  <commentList>
    <comment ref="A3" authorId="0" shapeId="0" xr:uid="{11FB125C-C6BD-AC42-A665-761A1750A6F8}">
      <text>
        <r>
          <rPr>
            <b/>
            <sz val="10"/>
            <color rgb="FF000000"/>
            <rFont val="Tahoma"/>
            <family val="2"/>
          </rPr>
          <t>Safna Sahibo:</t>
        </r>
        <r>
          <rPr>
            <sz val="10"/>
            <color rgb="FF000000"/>
            <rFont val="Tahoma"/>
            <family val="2"/>
          </rPr>
          <t xml:space="preserve">
</t>
        </r>
        <r>
          <rPr>
            <sz val="10"/>
            <color rgb="FF000000"/>
            <rFont val="Tahoma"/>
            <family val="2"/>
          </rPr>
          <t>Source: IMF World Economic Outlook (WEO), April 2025. Historical data through 2024; confirmed forecasts 2025-2027; medium-term projections 2028-2031.</t>
        </r>
      </text>
    </comment>
    <comment ref="A28" authorId="0" shapeId="0" xr:uid="{21C315EF-8902-9742-B9C5-FC13C734A15C}">
      <text>
        <r>
          <rPr>
            <b/>
            <sz val="10"/>
            <color rgb="FF000000"/>
            <rFont val="Tahoma"/>
            <family val="2"/>
          </rPr>
          <t>Safna Sahibo:</t>
        </r>
        <r>
          <rPr>
            <sz val="10"/>
            <color rgb="FF000000"/>
            <rFont val="Tahoma"/>
            <family val="2"/>
          </rPr>
          <t xml:space="preserve">
</t>
        </r>
        <r>
          <rPr>
            <sz val="10"/>
            <color rgb="FF000000"/>
            <rFont val="Tahoma"/>
            <family val="2"/>
          </rPr>
          <t>Source: IMF World Economic Outlook (WEO), April 2025. Real GDP growth rates (year-over-year %). Historical data through 2024; estimates for 2025; confirmed forecasts 2026-2027; medium-term projections 2028-2031.</t>
        </r>
      </text>
    </comment>
    <comment ref="A49" authorId="0" shapeId="0" xr:uid="{44FA0035-FC92-074A-B696-59A99C8584A5}">
      <text>
        <r>
          <rPr>
            <b/>
            <sz val="10"/>
            <color rgb="FF000000"/>
            <rFont val="Tahoma"/>
            <family val="2"/>
          </rPr>
          <t>Safna Sahibo:</t>
        </r>
        <r>
          <rPr>
            <sz val="10"/>
            <color rgb="FF000000"/>
            <rFont val="Tahoma"/>
            <family val="2"/>
          </rPr>
          <t xml:space="preserve">
</t>
        </r>
        <r>
          <rPr>
            <sz val="10"/>
            <color rgb="FF000000"/>
            <rFont val="Tahoma"/>
            <family val="2"/>
          </rPr>
          <t>PPI measures avg change in selling prices received by domestic producers. For CHD, these track input costs — surfactants, packaging, transportation, sodium bicarbonate. Historical: BLS/FRED. Forecasts: modeled assumptions from oil price scenarios, Deloitte &amp; IMF outlooks. Explicit chemical PPI sub-series forecasts are not published by BLS/Fed.</t>
        </r>
      </text>
    </comment>
    <comment ref="A133" authorId="0" shapeId="0" xr:uid="{E8817EAE-6956-424A-9EE8-D4FED621FA68}">
      <text>
        <r>
          <rPr>
            <b/>
            <sz val="10"/>
            <color rgb="FF000000"/>
            <rFont val="Tahoma"/>
            <family val="2"/>
          </rPr>
          <t>Safna Sahibo:</t>
        </r>
        <r>
          <rPr>
            <sz val="10"/>
            <color rgb="FF000000"/>
            <rFont val="Tahoma"/>
            <family val="2"/>
          </rPr>
          <t xml:space="preserve">
Historical data: Bureau of Labor Statistics / FRED (CPIAUCSL series). Forecasts: CBO Budget &amp; Economic Outlook (Feb 2026, Q4/Q4 basis), Federal Reserve FOMC Summary of Economic Projections (Dec 2025, PCE basis converted to CPI-equivalent), IMF World Economic Outlook (Apr 2025). The Fed's 2% target is PCE-based; CPI historically runs ~0.3–0.5pp higher.</t>
        </r>
      </text>
    </comment>
    <comment ref="B146" authorId="0" shapeId="0" xr:uid="{2371AF64-1734-A64D-8EC8-E043C6D42641}">
      <text>
        <r>
          <rPr>
            <b/>
            <sz val="10"/>
            <color rgb="FF000000"/>
            <rFont val="Tahoma"/>
            <family val="2"/>
          </rPr>
          <t>Safna Sahibo:</t>
        </r>
        <r>
          <rPr>
            <sz val="10"/>
            <color rgb="FF000000"/>
            <rFont val="Tahoma"/>
            <family val="2"/>
          </rPr>
          <t xml:space="preserve">
Jan–Mar 2026 average YoY; full-year figure will be updated in subsequent BLS releases.</t>
        </r>
      </text>
    </comment>
    <comment ref="E146" authorId="0" shapeId="0" xr:uid="{E5FEA3CB-7042-B744-BFB2-738714D8B593}">
      <text>
        <r>
          <rPr>
            <b/>
            <sz val="10"/>
            <color rgb="FF000000"/>
            <rFont val="Tahoma"/>
            <family val="2"/>
          </rPr>
          <t>Safna Sahibo:</t>
        </r>
        <r>
          <rPr>
            <sz val="10"/>
            <color rgb="FF000000"/>
            <rFont val="Tahoma"/>
            <family val="2"/>
          </rPr>
          <t xml:space="preserve">
Fed projections use PCE index; shown here as ~CPI-equivalent (+0.3–0.5pp). Actual FOMC PCE projection: ~2.2%.</t>
        </r>
      </text>
    </comment>
    <comment ref="E148" authorId="0" shapeId="0" xr:uid="{FF38E13D-0F72-BB4E-AFE9-93940F52355F}">
      <text>
        <r>
          <rPr>
            <b/>
            <sz val="10"/>
            <color rgb="FF000000"/>
            <rFont val="Tahoma"/>
            <family val="2"/>
          </rPr>
          <t>Safna Sahibo:</t>
        </r>
        <r>
          <rPr>
            <sz val="10"/>
            <color rgb="FF000000"/>
            <rFont val="Tahoma"/>
            <family val="2"/>
          </rPr>
          <t xml:space="preserve">
</t>
        </r>
        <r>
          <rPr>
            <sz val="10"/>
            <color rgb="FF000000"/>
            <rFont val="Tahoma"/>
            <family val="2"/>
          </rPr>
          <t>Fed's formal 2% target reached on PCE basis. CPI-equivalent ~2.3–2.5%.</t>
        </r>
      </text>
    </comment>
    <comment ref="A154" authorId="0" shapeId="0" xr:uid="{A7FA0C59-6B28-5D48-892E-0DB030FE3217}">
      <text>
        <r>
          <rPr>
            <b/>
            <sz val="10"/>
            <color rgb="FF000000"/>
            <rFont val="Tahoma"/>
            <family val="2"/>
          </rPr>
          <t>Safna Sahibo:</t>
        </r>
        <r>
          <rPr>
            <sz val="10"/>
            <color rgb="FF000000"/>
            <rFont val="Tahoma"/>
            <family val="2"/>
          </rPr>
          <t xml:space="preserve">
Historical: Bureau of Economic Analysis (BEA) via FRED. Forecasts: CBO Budget &amp; Economic Outlook (Feb 2026), Federal Reserve FOMC Summary of Economic Projections (Dec 2025), IMF World Economic Outlook (Apr 2025). All figures are real GDP growth, year-over-year %.</t>
        </r>
      </text>
    </comment>
    <comment ref="D168" authorId="0" shapeId="0" xr:uid="{DA8EA8AF-6B86-EC4D-8D4D-81EBF3D3D576}">
      <text>
        <r>
          <rPr>
            <b/>
            <sz val="10"/>
            <color rgb="FF000000"/>
            <rFont val="Tahoma"/>
            <family val="2"/>
          </rPr>
          <t>Safna Sahibo:</t>
        </r>
        <r>
          <rPr>
            <sz val="10"/>
            <color rgb="FF000000"/>
            <rFont val="Tahoma"/>
            <family val="2"/>
          </rPr>
          <t xml:space="preserve">
Fed longer-run estimate. FOMC Dec 2025.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<sst xmlns="http://schemas.openxmlformats.org/spreadsheetml/2006/main" count="1924" uniqueCount="871">
  <si>
    <t>Church &amp; Dwight Co Inc</t>
  </si>
  <si>
    <t>Financial Model</t>
  </si>
  <si>
    <t> </t>
  </si>
  <si>
    <t>SUMMARY  RESULTS</t>
  </si>
  <si>
    <t>DCF VALUATION</t>
  </si>
  <si>
    <t>Scenarios</t>
  </si>
  <si>
    <t> Assumed Probablities </t>
  </si>
  <si>
    <t>Enterprise Values</t>
  </si>
  <si>
    <t>Equity Values</t>
  </si>
  <si>
    <t>Value Per Share</t>
  </si>
  <si>
    <t>Market Price</t>
  </si>
  <si>
    <t>( $ millions)</t>
  </si>
  <si>
    <t>52 Week Range   81.33 - 106.34</t>
  </si>
  <si>
    <t>Base Case</t>
  </si>
  <si>
    <t>Current Price</t>
  </si>
  <si>
    <t>Best Case</t>
  </si>
  <si>
    <t>Recommendation:</t>
  </si>
  <si>
    <t>Worst Case</t>
  </si>
  <si>
    <t>Expected Value</t>
  </si>
  <si>
    <t>Multiple Based Valuation, Value per share</t>
  </si>
  <si>
    <t>  P/E Multiple </t>
  </si>
  <si>
    <t> EBITDA Multiple </t>
  </si>
  <si>
    <t>  Revenue Multiple </t>
  </si>
  <si>
    <t>Trading Multiples (Peer Average)</t>
  </si>
  <si>
    <t>Trading Multiple of CHD</t>
  </si>
  <si>
    <t>NTM TEV/Forward Total Revenue (Capital IQ) </t>
  </si>
  <si>
    <t>NTM TEV/Forward EBITDA (Capital IQ) </t>
  </si>
  <si>
    <t>NTM Forward P/E (Capital IQ) </t>
  </si>
  <si>
    <t>MODEL ASSUMPTIONS</t>
  </si>
  <si>
    <t>GENERAL</t>
  </si>
  <si>
    <t>Capital Expenditure Assumptions, average of % Revenue</t>
  </si>
  <si>
    <t>26E - 30E</t>
  </si>
  <si>
    <t>-</t>
  </si>
  <si>
    <t>First year of forecast period in the model:</t>
  </si>
  <si>
    <t>Land</t>
  </si>
  <si>
    <t>The model is a 5-year cash flow model discounted to Dec. 31, 2025</t>
  </si>
  <si>
    <t>Buildings and improvements</t>
  </si>
  <si>
    <t>Machinery and equipment</t>
  </si>
  <si>
    <t>Software</t>
  </si>
  <si>
    <t>Office equipment and other assets</t>
  </si>
  <si>
    <t>Organic Growth </t>
  </si>
  <si>
    <t>Construction in progress</t>
  </si>
  <si>
    <t>Product volumes sold , based on historical arithmetic average</t>
  </si>
  <si>
    <t>26E</t>
  </si>
  <si>
    <t>27E - 30E</t>
  </si>
  <si>
    <t>Consumer Domestic:</t>
  </si>
  <si>
    <t>Consumer International:</t>
  </si>
  <si>
    <t>Depreciation Assumptions</t>
  </si>
  <si>
    <t>Straight Line</t>
  </si>
  <si>
    <t>SPD</t>
  </si>
  <si>
    <t>Asset</t>
  </si>
  <si>
    <t>Useful Life</t>
  </si>
  <si>
    <t>No Depreciation</t>
  </si>
  <si>
    <t>Pricing/Product mix , based on historical arithmetic average</t>
  </si>
  <si>
    <t>N/A (not depreciated)</t>
  </si>
  <si>
    <t>Amortization Assumptions</t>
  </si>
  <si>
    <t>Inorganic Growth </t>
  </si>
  <si>
    <t>Acquisitions</t>
  </si>
  <si>
    <t>Trade names</t>
  </si>
  <si>
    <t>Customer Relationships</t>
  </si>
  <si>
    <t>Patents/Formulas</t>
  </si>
  <si>
    <t>Exit of product lines</t>
  </si>
  <si>
    <t>Long Term Debt Assumption </t>
  </si>
  <si>
    <t>Beginning Debt  Level as (2025), in $MM</t>
  </si>
  <si>
    <t>Long Term Debt Growth Rate</t>
  </si>
  <si>
    <t>Foreign exchange rate fluctuations / Other</t>
  </si>
  <si>
    <t>Interest rate on long term debt</t>
  </si>
  <si>
    <t>Long Term Debt Repayment</t>
  </si>
  <si>
    <t>Total Revenue Growth</t>
  </si>
  <si>
    <t>Long term debt+capital lease payment</t>
  </si>
  <si>
    <t>Bond Principal Repayments</t>
  </si>
  <si>
    <t>Total Scheduled Repayments</t>
  </si>
  <si>
    <t>Long Term Commitment Ex Operating Lease</t>
  </si>
  <si>
    <t>Long term debt including capital lease payment schedule, in $MM</t>
  </si>
  <si>
    <t> $         1,819 </t>
  </si>
  <si>
    <t>Consumer Domestic Revenue Mix,  based on 5 years historical arithmetic average</t>
  </si>
  <si>
    <t>Of Which Capital Leasse, in $MM</t>
  </si>
  <si>
    <t> $         104.0 </t>
  </si>
  <si>
    <t>Household Products</t>
  </si>
  <si>
    <t>Other Contractual Obligation ( Purchase), in $MM</t>
  </si>
  <si>
    <t> $         2,925 </t>
  </si>
  <si>
    <t>Personal Care Products</t>
  </si>
  <si>
    <t>Total Consumer Domestic:</t>
  </si>
  <si>
    <t>Tax rate, DPO and Grwoth rate Assumptions</t>
  </si>
  <si>
    <t>Tax rate assumed in this model</t>
  </si>
  <si>
    <t>Dividend Payout Ratio ( Average of 4 years)</t>
  </si>
  <si>
    <t>Adjusted Gross Margin;  Historical arithmatic avearage, by Segment </t>
  </si>
  <si>
    <t>Base Case Terminal Growth Rate</t>
  </si>
  <si>
    <t>Adjusted Operating Expenses as a  % of segemental sales, 5 years Historical arithmatic avearage, by Segment </t>
  </si>
  <si>
    <t>Marketing expenses</t>
  </si>
  <si>
    <t>Research and Development</t>
  </si>
  <si>
    <t xml:space="preserve">Selling and distribution expenses excluding amortization </t>
  </si>
  <si>
    <t xml:space="preserve">Depreciation &amp; amortization as a % of total, 5 years Historical arithmatic avearage, by Segment </t>
  </si>
  <si>
    <t>Consolidated Non - Operating Expense</t>
  </si>
  <si>
    <t>Equity in earnings of affiliates, 5 year growth average</t>
  </si>
  <si>
    <t>Interest Income</t>
  </si>
  <si>
    <t>Other income (expense), net</t>
  </si>
  <si>
    <t>Income before Income Taxes</t>
  </si>
  <si>
    <t>Working Capital Assumptions</t>
  </si>
  <si>
    <t>Assumed to change as % of revenue based on historical arithmetic average</t>
  </si>
  <si>
    <t>Cash and ST Invesments</t>
  </si>
  <si>
    <t>Accounts receivable,</t>
  </si>
  <si>
    <t>Inventories</t>
  </si>
  <si>
    <t>Other Current Assets</t>
  </si>
  <si>
    <t>Accounts payable</t>
  </si>
  <si>
    <t>Accrued Exp.</t>
  </si>
  <si>
    <t>Curr. Portion LT Debt</t>
  </si>
  <si>
    <t>Short-term borrowings</t>
  </si>
  <si>
    <t>Other line items of working capital are assumed to stay the same as of 2025 for the forecast period</t>
  </si>
  <si>
    <t>Scenario Analysis Assuptions</t>
  </si>
  <si>
    <t>Selecting the most Risky Variables for Scenario Analysis</t>
  </si>
  <si>
    <t>Key Revenue Risk Variable</t>
  </si>
  <si>
    <t>Product volumes</t>
  </si>
  <si>
    <t>Best Case: growth rates higher than the Base Case by </t>
  </si>
  <si>
    <t>Worst Case: growth rates lower than the Base Case by </t>
  </si>
  <si>
    <t>Pricing/Product mix</t>
  </si>
  <si>
    <t xml:space="preserve">Consumer International: </t>
  </si>
  <si>
    <t>SPD:</t>
  </si>
  <si>
    <t>Gross Margin</t>
  </si>
  <si>
    <t xml:space="preserve">Consumer International: 				</t>
  </si>
  <si>
    <t>Key  Operating Expense Risky Variables</t>
  </si>
  <si>
    <t>Best Case: growth rates LOWER than the Base Case by </t>
  </si>
  <si>
    <t>Worst Case: growth rates HIGHER than the Base Case by </t>
  </si>
  <si>
    <t>Selling and distribution expenses excluding amortization</t>
  </si>
  <si>
    <t>Terminal Value Growth </t>
  </si>
  <si>
    <t>Discount Rates (Cost of Equity and Cost of Debt)</t>
  </si>
  <si>
    <t>Best Case: growth rates  LOWER THAN the Base Case by </t>
  </si>
  <si>
    <t>Total Consumer Domestic</t>
  </si>
  <si>
    <t>YoY %</t>
  </si>
  <si>
    <t>Change ('000)</t>
  </si>
  <si>
    <t xml:space="preserve">Product volumes </t>
  </si>
  <si>
    <t>Check</t>
  </si>
  <si>
    <t>Total Consumer International</t>
  </si>
  <si>
    <t>Product volumes sold</t>
  </si>
  <si>
    <t>Foreign exchange rate fluctuations</t>
  </si>
  <si>
    <t>Total SPD</t>
  </si>
  <si>
    <t/>
  </si>
  <si>
    <t>Total Consolidated Net Sales</t>
  </si>
  <si>
    <t>YoY%</t>
  </si>
  <si>
    <t>Net Sales</t>
  </si>
  <si>
    <t xml:space="preserve">COGS excluding depreciation </t>
  </si>
  <si>
    <t>Gross Profit</t>
  </si>
  <si>
    <t>Depreciation</t>
  </si>
  <si>
    <t>Amortization</t>
  </si>
  <si>
    <t>VMS Trade name and other asset impairments</t>
  </si>
  <si>
    <t>Income from Operations</t>
  </si>
  <si>
    <t>Consolidated Operation Cost Schedule</t>
  </si>
  <si>
    <t>In $MM</t>
  </si>
  <si>
    <t>Total Operation Expense</t>
  </si>
  <si>
    <t>Capital Expenditure Projections</t>
  </si>
  <si>
    <t>Capex</t>
  </si>
  <si>
    <t>Gross PP&amp;E</t>
  </si>
  <si>
    <t>Less accumulated depreciation</t>
  </si>
  <si>
    <t>Depreciable Asset Schedule ( Existing and New)</t>
  </si>
  <si>
    <t>in $MM</t>
  </si>
  <si>
    <t>Depreciation Schedule</t>
  </si>
  <si>
    <t>Depreciation on Existing Buildings and improvements</t>
  </si>
  <si>
    <t>Dep on New Buildings and improvements</t>
  </si>
  <si>
    <t>Total Depreciation on Buildings and improvements</t>
  </si>
  <si>
    <t>Depreciation on Existing Machinery and equipment</t>
  </si>
  <si>
    <t>Dep on New Machinery and equipment</t>
  </si>
  <si>
    <t>Total Depreciation on Machinery and equipment</t>
  </si>
  <si>
    <t>Depreciation on Existing Software</t>
  </si>
  <si>
    <t>Dep on New Buildings and Leasehold Capex</t>
  </si>
  <si>
    <t>Total Depreciation on Software</t>
  </si>
  <si>
    <t>Depreciation on Existing Office equipment and other assets</t>
  </si>
  <si>
    <t>Dep on New Office equipment and other assets</t>
  </si>
  <si>
    <t>Total Depreciation on Office equipment and other assets</t>
  </si>
  <si>
    <t>Total Annual Deprecialtion of All Assets</t>
  </si>
  <si>
    <t>Amortizable Intangible Assets Schedule</t>
  </si>
  <si>
    <t>Amortizable Intangible Assets Schedule ( Existing and New)</t>
  </si>
  <si>
    <t>Amortization on Existing Trade Names</t>
  </si>
  <si>
    <t>Total Amortization on Trade names</t>
  </si>
  <si>
    <t>Amortization on Existing Customer Relationships</t>
  </si>
  <si>
    <t>Total Amortization on Customer Relationships</t>
  </si>
  <si>
    <t>Amortization on Existing Patents/Formulas</t>
  </si>
  <si>
    <t>Total Annual Amortization of All Assets</t>
  </si>
  <si>
    <t>Debt and Interest Expense Schedule</t>
  </si>
  <si>
    <t>Long-Term Debt (including capitalized lease obligations)</t>
  </si>
  <si>
    <t>Beginning Balance, Average Long term Debt</t>
  </si>
  <si>
    <t>Scheduled Repayments</t>
  </si>
  <si>
    <t>New Debt Raised</t>
  </si>
  <si>
    <t>Ending Balance</t>
  </si>
  <si>
    <t>Interest Rate (weighted)</t>
  </si>
  <si>
    <t>Annual Interest Expense</t>
  </si>
  <si>
    <t>Working Capital Schedule</t>
  </si>
  <si>
    <t xml:space="preserve">Current Asset </t>
  </si>
  <si>
    <t> Curr. Portion LT Debt</t>
  </si>
  <si>
    <t>Other current liabilities</t>
  </si>
  <si>
    <t>Current Liabilities</t>
  </si>
  <si>
    <t>Net Working Capital, excluding Cash and ST Investment</t>
  </si>
  <si>
    <t>Changes in Working Capital</t>
  </si>
  <si>
    <t>Equity in earnings of affiliates</t>
  </si>
  <si>
    <t>Interest income</t>
  </si>
  <si>
    <t>Interest expense</t>
  </si>
  <si>
    <t>Income taxes</t>
  </si>
  <si>
    <t>Net Income</t>
  </si>
  <si>
    <t>Adjustments to reconcile net income to net cash</t>
  </si>
  <si>
    <t>provided by operating activities:</t>
  </si>
  <si>
    <t>Depreciation expense</t>
  </si>
  <si>
    <t>Amortization expense</t>
  </si>
  <si>
    <t>Change in fair value of business acquisition liabilities</t>
  </si>
  <si>
    <t>Deferred income taxes</t>
  </si>
  <si>
    <t>Business exit related impairments</t>
  </si>
  <si>
    <t>Loss on sale of vitamin business</t>
  </si>
  <si>
    <t>Equity in net earnings of affiliates</t>
  </si>
  <si>
    <t>Distributions from unconsolidated affiliates</t>
  </si>
  <si>
    <t>Non-cash compensation expense</t>
  </si>
  <si>
    <t>Asset impairment charge and other asset write-offs</t>
  </si>
  <si>
    <t>Gain on sale of assets</t>
  </si>
  <si>
    <t>Other</t>
  </si>
  <si>
    <t>Subtotal</t>
  </si>
  <si>
    <t>Change in assets and liabilities:</t>
  </si>
  <si>
    <t>Accounts receivable</t>
  </si>
  <si>
    <t>Other current assets</t>
  </si>
  <si>
    <t>Accrued expenses</t>
  </si>
  <si>
    <t>Income taxes payable</t>
  </si>
  <si>
    <t>Other operating assets and liabilities, net</t>
  </si>
  <si>
    <t>Change in Working Capital</t>
  </si>
  <si>
    <t>Net Cash Provided By Operating Activities</t>
  </si>
  <si>
    <t>Cash Flow From Investing Activities</t>
  </si>
  <si>
    <t>Additions to property, plant and equipment</t>
  </si>
  <si>
    <t>Proceeds from sale of assets</t>
  </si>
  <si>
    <t>Proceeds from Sale of Passport</t>
  </si>
  <si>
    <t>Proceeds from Sale of Vitamin Business</t>
  </si>
  <si>
    <t>Net Cash Used In Investing Activities</t>
  </si>
  <si>
    <t>Cash Flow From Financing Activities</t>
  </si>
  <si>
    <t>Long-term debt borrowings</t>
  </si>
  <si>
    <t>Long-term debt (repayments)</t>
  </si>
  <si>
    <t>Short-term debt (repayments), net of borrowings</t>
  </si>
  <si>
    <t>Proceeds from stock options exercised</t>
  </si>
  <si>
    <t>Payment of cash dividends</t>
  </si>
  <si>
    <t>Purchase of treasury stock</t>
  </si>
  <si>
    <t>Payment of business acquisition liability</t>
  </si>
  <si>
    <t>Net Cash Used In Financing Activities</t>
  </si>
  <si>
    <t>Effect of exchange rate changes on cash and cash</t>
  </si>
  <si>
    <t>equivalents</t>
  </si>
  <si>
    <t>Net Change In Cash and Cash Equivalents</t>
  </si>
  <si>
    <t>Cash and Cash Equivalents at Beginning of Period</t>
  </si>
  <si>
    <t>Cash and Cash Equivalents at End of Period</t>
  </si>
  <si>
    <t>Assets</t>
  </si>
  <si>
    <t>Current Assets</t>
  </si>
  <si>
    <t>Cash and cash equivalents</t>
  </si>
  <si>
    <t>Accounts receivable, less allowances of $3.7 and $5.1</t>
  </si>
  <si>
    <t>Total Current Assets</t>
  </si>
  <si>
    <t>Property, Plant and Equipment, Net</t>
  </si>
  <si>
    <t>Equity Investment in Affiliates</t>
  </si>
  <si>
    <t>Trade Names and Other Intangibles, Net</t>
  </si>
  <si>
    <t>Goodwill</t>
  </si>
  <si>
    <t>Other Assets</t>
  </si>
  <si>
    <t>Total Assets</t>
  </si>
  <si>
    <t>Liabilities and Stockholders' Equity</t>
  </si>
  <si>
    <t>Current portion of long-term debt</t>
  </si>
  <si>
    <t>Accrued expenses and other liabilities</t>
  </si>
  <si>
    <t>Business acquisition liabilities</t>
  </si>
  <si>
    <t>Total Current Liabilities</t>
  </si>
  <si>
    <t>Operating Lease Obligations</t>
  </si>
  <si>
    <t>Long-term Debt</t>
  </si>
  <si>
    <t>Deferred Income Taxes</t>
  </si>
  <si>
    <t>Deferred and Other Long-term Liabilities</t>
  </si>
  <si>
    <t>Total Liabilities</t>
  </si>
  <si>
    <t>Commitments and Contingencies</t>
  </si>
  <si>
    <t>Stockholders' Equity</t>
  </si>
  <si>
    <t>Preferred Stock, $1.00 par value, Authorized</t>
  </si>
  <si>
    <t>2,500,000 shares; none issued</t>
  </si>
  <si>
    <t>Common Stock, $1.00 par value, Authorized</t>
  </si>
  <si>
    <t>600,000,000 shares; 293,709,982 shares issued as of</t>
  </si>
  <si>
    <t>December 31, 2025 and 2024</t>
  </si>
  <si>
    <t>Additional paid-in capital</t>
  </si>
  <si>
    <t>Retained earnings</t>
  </si>
  <si>
    <t>Accumulated other comprehensive loss</t>
  </si>
  <si>
    <t>Common stock in treasury, at cost: 57,156,105 shares as of</t>
  </si>
  <si>
    <t>December 31, 2025 and 47,830,141 shares as of December 31,2024</t>
  </si>
  <si>
    <t>Total Stockholders' Equity</t>
  </si>
  <si>
    <t>Total Liabilities and Stockholders' Equity</t>
  </si>
  <si>
    <t>Volumes, Pricing/Product mix, Acquisitions, Exit of product lines, COGS, Operating Expenses, Terminal Value and Discount Rate Scenarios</t>
  </si>
  <si>
    <t xml:space="preserve"> SWITCH</t>
  </si>
  <si>
    <t>Volume Scenario</t>
  </si>
  <si>
    <t>Currently Running</t>
  </si>
  <si>
    <t>Gross Margin (as % of segment sales)</t>
  </si>
  <si>
    <t>Consumer Domestic</t>
  </si>
  <si>
    <t>Consumer International</t>
  </si>
  <si>
    <t>Operating Expenses (as % of segment sales)</t>
  </si>
  <si>
    <t>Selling &amp; distribution</t>
  </si>
  <si>
    <t>Terminal Growth Rate</t>
  </si>
  <si>
    <t>Cost of Equity</t>
  </si>
  <si>
    <t>Cost of Debt</t>
  </si>
  <si>
    <t>Principal Due in Millions of the reported currency.</t>
  </si>
  <si>
    <t>Debt Structure</t>
  </si>
  <si>
    <t>Debt description</t>
  </si>
  <si>
    <t>Type</t>
  </si>
  <si>
    <t>Principal Due (USD)</t>
  </si>
  <si>
    <t>Coupon/Base Rate</t>
  </si>
  <si>
    <t>Debt Weights</t>
  </si>
  <si>
    <t>Debt Rd Contribution</t>
  </si>
  <si>
    <t>2.30% Senior Notes Due December 15, 2031</t>
  </si>
  <si>
    <t>Bonds and Notes</t>
  </si>
  <si>
    <t>3.15% Senior Notes Due August 1, 2027</t>
  </si>
  <si>
    <t>3.95% Senior Notes Due August 1, 2047</t>
  </si>
  <si>
    <t>5.00% Senior Notes Due June 15, 2052</t>
  </si>
  <si>
    <t>5.60% Senior Notes Due November 15, 2032</t>
  </si>
  <si>
    <t>Operating Lease Obligation</t>
  </si>
  <si>
    <t>Capital Lease</t>
  </si>
  <si>
    <t>Total Interest bearing debt including capital Lease</t>
  </si>
  <si>
    <t>Weighted Cost of debt</t>
  </si>
  <si>
    <t>Cost of Equity (CAPM)</t>
  </si>
  <si>
    <t>Equity Beta</t>
  </si>
  <si>
    <t>Market Risk Premium</t>
  </si>
  <si>
    <t>Risk Free Rate (20 Years Treasury)</t>
  </si>
  <si>
    <t>Source: https://www.treasury.gov</t>
  </si>
  <si>
    <t>as of May 2, 2025</t>
  </si>
  <si>
    <t>Equity Cost of Capital of CHD</t>
  </si>
  <si>
    <t>CAPM</t>
  </si>
  <si>
    <t>Weighted Average Cost of Capital Calculations</t>
  </si>
  <si>
    <t>Tax Rate</t>
  </si>
  <si>
    <t>Market Value of Equity</t>
  </si>
  <si>
    <t>Market Capitalization table</t>
  </si>
  <si>
    <t>Market Value of Debt long term debt including Capital Lease</t>
  </si>
  <si>
    <t>See above</t>
  </si>
  <si>
    <t>E/V</t>
  </si>
  <si>
    <t>D/V</t>
  </si>
  <si>
    <t>WACC</t>
  </si>
  <si>
    <t>Currently Running: BASE CASE</t>
  </si>
  <si>
    <t>Terminal, Sustainable Long Term Growth Rate</t>
  </si>
  <si>
    <t>In millions of $</t>
  </si>
  <si>
    <t>FCF to Equity</t>
  </si>
  <si>
    <t xml:space="preserve">  Net Income</t>
  </si>
  <si>
    <t>CAPEX</t>
  </si>
  <si>
    <t>Changes in working capital</t>
  </si>
  <si>
    <t>Net Debt</t>
  </si>
  <si>
    <t>FCF to Equity (NI+Dep-Capex-chge NWC+ Net Debt)</t>
  </si>
  <si>
    <t>Terminal Value at end of 2030</t>
  </si>
  <si>
    <t>Total FCF to Equity (both first stage and second stage)</t>
  </si>
  <si>
    <t>Total Equity Value</t>
  </si>
  <si>
    <t>Total number of Shares Outstanding, in Millions</t>
  </si>
  <si>
    <t>Per Share</t>
  </si>
  <si>
    <t>Total FCF to the Firm</t>
  </si>
  <si>
    <t>After Tax Interest Expense</t>
  </si>
  <si>
    <t>Total FCF to the Firm (Total FCF Equity + After tax Interest Expense - Net Debt)</t>
  </si>
  <si>
    <t>Enterprise Value</t>
  </si>
  <si>
    <t>Less Total Debt</t>
  </si>
  <si>
    <t>Number of Shares (in millions)</t>
  </si>
  <si>
    <t>Equity Value Per Share</t>
  </si>
  <si>
    <t>Trading Multiples ( The average of the top Comparables)</t>
  </si>
  <si>
    <t>CHD NTM data</t>
  </si>
  <si>
    <t>Valuation using CHD's Own Multiples</t>
  </si>
  <si>
    <t>CHD In MM $, except EPS</t>
  </si>
  <si>
    <t>Forward Total Revenue (2026)</t>
  </si>
  <si>
    <t>Forward EBITDA (2026)</t>
  </si>
  <si>
    <t>Forward Net Income, 2026</t>
  </si>
  <si>
    <t>Number of Shares outstanding (MM)</t>
  </si>
  <si>
    <t>Forward EPS</t>
  </si>
  <si>
    <t>Total Enterprise Value, based on Revenue Multiple</t>
  </si>
  <si>
    <t>Total Debt</t>
  </si>
  <si>
    <t>Total Equity</t>
  </si>
  <si>
    <t>Equity per share</t>
  </si>
  <si>
    <t>Total Enterprise Value, based on EBITDA Multiple</t>
  </si>
  <si>
    <t>Equity Value, based on PE  Multiple</t>
  </si>
  <si>
    <t>Equity Value, based on PE Multiple</t>
  </si>
  <si>
    <t>Global Factors/Trends</t>
  </si>
  <si>
    <t>Regional Factors</t>
  </si>
  <si>
    <t>Country Factors</t>
  </si>
  <si>
    <t>Detailed Segment data, Source: Church &amp; Dwight Co Inc. Annual Reports</t>
  </si>
  <si>
    <t>Net Sales - Consumer Domestic</t>
  </si>
  <si>
    <t>2026E</t>
  </si>
  <si>
    <t>Net Sales change in ('000)</t>
  </si>
  <si>
    <t>Net Sales - Consumer International</t>
  </si>
  <si>
    <t>Net Sales - SPD</t>
  </si>
  <si>
    <t xml:space="preserve">Exit of product lines </t>
  </si>
  <si>
    <t>5yr AVG</t>
  </si>
  <si>
    <t>as a % of total consumer domestic</t>
  </si>
  <si>
    <t>as a % of total sales</t>
  </si>
  <si>
    <t>Consolidating Reclassification</t>
  </si>
  <si>
    <t>Total Consolidated</t>
  </si>
  <si>
    <t>Days of sales outstanding in accounts receivable ("DSO")</t>
  </si>
  <si>
    <t>Days of inventory outstanding ("DIO")</t>
  </si>
  <si>
    <t>Days of accounts payable outstanding ("DPO")</t>
  </si>
  <si>
    <t>Cash conversion cycle</t>
  </si>
  <si>
    <t>COSG and Other Operating Expenses</t>
  </si>
  <si>
    <t>COGS (as reported)</t>
  </si>
  <si>
    <t>Reported segmental breakdown</t>
  </si>
  <si>
    <t>STD</t>
  </si>
  <si>
    <t>Corporate</t>
  </si>
  <si>
    <t>Segmental breakdown</t>
  </si>
  <si>
    <t>Selling and distribution</t>
  </si>
  <si>
    <t>Depreciation &amp; Amortization</t>
  </si>
  <si>
    <t>Depreciation &amp; amortization as a % of total</t>
  </si>
  <si>
    <t>Depreciation and amortization mix</t>
  </si>
  <si>
    <t>Depreciation as a % of total depreciation and amortization</t>
  </si>
  <si>
    <t>Amortization as a % of total depreciation and amortization</t>
  </si>
  <si>
    <t>Interest income rate  as a (%) of Beg Cash and and cash equivalents</t>
  </si>
  <si>
    <t>CONSOLIDATED Income Statement</t>
  </si>
  <si>
    <t xml:space="preserve">Revenue </t>
  </si>
  <si>
    <t>Cost of sales</t>
  </si>
  <si>
    <t>Selling, general and administrative expenses</t>
  </si>
  <si>
    <t>Weighted average shares outstanding - Basic</t>
  </si>
  <si>
    <t>Weighted average shares outstanding - Diluted</t>
  </si>
  <si>
    <t>Net income per share - Basic</t>
  </si>
  <si>
    <t>Net income per share - Diluted</t>
  </si>
  <si>
    <t>Cash dividends per share</t>
  </si>
  <si>
    <t>CONSOLIDATED BALANCE SHEETS</t>
  </si>
  <si>
    <t>CONSOLIDATED STATEMENTS OF CASH FLOW</t>
  </si>
  <si>
    <t>Cash Flow From Operating Activities</t>
  </si>
  <si>
    <t>Change in fair value of business acquisition</t>
  </si>
  <si>
    <t>liabilities</t>
  </si>
  <si>
    <t>Working Capital</t>
  </si>
  <si>
    <t>Accounts Receivables</t>
  </si>
  <si>
    <t>Raw materials and supplies $</t>
  </si>
  <si>
    <t>Work in process</t>
  </si>
  <si>
    <t>Finished goods</t>
  </si>
  <si>
    <t>Total</t>
  </si>
  <si>
    <t>Other current asssets</t>
  </si>
  <si>
    <t>Accrued marketing and promotion costs</t>
  </si>
  <si>
    <t>Accrued wages and related benefit costs</t>
  </si>
  <si>
    <t>Other accrued current liabilities</t>
  </si>
  <si>
    <t>PPE</t>
  </si>
  <si>
    <t>Total Revenue</t>
  </si>
  <si>
    <t>Net PP&amp;E</t>
  </si>
  <si>
    <t>Depreciation expense on PP&amp;E $</t>
  </si>
  <si>
    <t>Amortizable intangible assets</t>
  </si>
  <si>
    <t>Gross Carrying Amount</t>
  </si>
  <si>
    <t>Accumulated Amortization</t>
  </si>
  <si>
    <t>Impairment Charges</t>
  </si>
  <si>
    <t>Net</t>
  </si>
  <si>
    <t xml:space="preserve">Long-Term Debt </t>
  </si>
  <si>
    <t>Sum</t>
  </si>
  <si>
    <t>Avg</t>
  </si>
  <si>
    <t> LT Debt  </t>
  </si>
  <si>
    <t> Growth Rate Assumption</t>
  </si>
  <si>
    <t> Repayment Rate Assumption</t>
  </si>
  <si>
    <t> Weighted Avg Cost of Debt (WACD)</t>
  </si>
  <si>
    <t> Average Operating Days (2020-2025)</t>
  </si>
  <si>
    <t>Church &amp; Dwight Co., Inc. (NYSE:CHD) &gt; Financials &gt; Capital Structure Details</t>
  </si>
  <si>
    <t>Period Type:</t>
  </si>
  <si>
    <t>Annual</t>
  </si>
  <si>
    <t>Source:</t>
  </si>
  <si>
    <t>A 2025 filed Feb-12-2026</t>
  </si>
  <si>
    <t>Currency:</t>
  </si>
  <si>
    <t>Reported Currency</t>
  </si>
  <si>
    <t>Conversion:</t>
  </si>
  <si>
    <t>Today's Spot Rate</t>
  </si>
  <si>
    <t>Units:</t>
  </si>
  <si>
    <t>S&amp;P Capital IQ (Default)</t>
  </si>
  <si>
    <t>Decimals:</t>
  </si>
  <si>
    <t>Capital IQ (Default)</t>
  </si>
  <si>
    <t>FY 2025 (Dec-31-2025) Capital Structure As Reported Details</t>
  </si>
  <si>
    <t>Description</t>
  </si>
  <si>
    <t>Floating Rate</t>
  </si>
  <si>
    <t>Maturity</t>
  </si>
  <si>
    <t>Seniority</t>
  </si>
  <si>
    <t>Secured</t>
  </si>
  <si>
    <t>Convertible</t>
  </si>
  <si>
    <t>Repayment Currency</t>
  </si>
  <si>
    <t>Debt weights</t>
  </si>
  <si>
    <t>Debt Contribution </t>
  </si>
  <si>
    <t>2.3% Senior Notes Due December 15, 2031</t>
  </si>
  <si>
    <t>NA</t>
  </si>
  <si>
    <t>Dec-15-2031</t>
  </si>
  <si>
    <t>Senior</t>
  </si>
  <si>
    <t>No</t>
  </si>
  <si>
    <t>USD</t>
  </si>
  <si>
    <t>Aug-01-2027</t>
  </si>
  <si>
    <t>Aug-01-2047</t>
  </si>
  <si>
    <t>Jun-15-2052</t>
  </si>
  <si>
    <t>5.6% Senior Notes Due November 15, 2032</t>
  </si>
  <si>
    <t>Nov-15-2032</t>
  </si>
  <si>
    <t>Commercial Paper Program</t>
  </si>
  <si>
    <t>Commercial Paper</t>
  </si>
  <si>
    <t>Operating Lease</t>
  </si>
  <si>
    <t>Yes</t>
  </si>
  <si>
    <t>Unsecured Revolving Credit Agreement</t>
  </si>
  <si>
    <t>Revolving Credit</t>
  </si>
  <si>
    <t>Jul-17-2030</t>
  </si>
  <si>
    <t>FY 2024 (Dec-31-2024) Capital Structure As Reported Details</t>
  </si>
  <si>
    <t>  400.0 </t>
  </si>
  <si>
    <t>  425.0 </t>
  </si>
  <si>
    <t>  500.0 </t>
  </si>
  <si>
    <t>Commercial Paper Issuances</t>
  </si>
  <si>
    <t>  200.9 </t>
  </si>
  <si>
    <t>Unsecured Revolving Credit Facility</t>
  </si>
  <si>
    <t>SOFR</t>
  </si>
  <si>
    <t>Jul-17-2025</t>
  </si>
  <si>
    <t xml:space="preserve">
               </t>
  </si>
  <si>
    <t>Fixed Payment Schedule</t>
  </si>
  <si>
    <t>As of Dec 2025</t>
  </si>
  <si>
    <t>Operating Lease Commitment Due +1</t>
  </si>
  <si>
    <t>                                   32.7 </t>
  </si>
  <si>
    <t>                                   40.9 </t>
  </si>
  <si>
    <t>COMMITMENT TYPE</t>
  </si>
  <si>
    <t>After 2030</t>
  </si>
  <si>
    <t>Operating Lease Commitment Due +2</t>
  </si>
  <si>
    <t>                                   35.3 </t>
  </si>
  <si>
    <t>                                   32.6 </t>
  </si>
  <si>
    <t>Operating Leases</t>
  </si>
  <si>
    <t>Operating Lease Commitment Due +3</t>
  </si>
  <si>
    <t>                                   26.9 </t>
  </si>
  <si>
    <t>                                   29.5 </t>
  </si>
  <si>
    <t>Operating Lease Commitment Due +4</t>
  </si>
  <si>
    <t>                                   25.6 </t>
  </si>
  <si>
    <t>                                   26.0 </t>
  </si>
  <si>
    <t>Operating Lease Commitment Due +5</t>
  </si>
  <si>
    <t>                                   23.1 </t>
  </si>
  <si>
    <t>Operating Lease Commitment Due, Next 5 Yrs</t>
  </si>
  <si>
    <t>                                 143.6 </t>
  </si>
  <si>
    <t>                                 154.6 </t>
  </si>
  <si>
    <t>Operating Lease Commitment Due, After 5 Yrs</t>
  </si>
  <si>
    <t>                                   98.5 </t>
  </si>
  <si>
    <t>                                   84.7 </t>
  </si>
  <si>
    <t>Download Monthly Prices of UPS and S&amp;P500 Index </t>
  </si>
  <si>
    <t>Prices</t>
  </si>
  <si>
    <t>Calculate </t>
  </si>
  <si>
    <t>Returns</t>
  </si>
  <si>
    <t>Beta of chd Calcualtions</t>
  </si>
  <si>
    <t>Date</t>
  </si>
  <si>
    <t>CHD</t>
  </si>
  <si>
    <t>S&amp;P500 Index</t>
  </si>
  <si>
    <t>CHD Returns</t>
  </si>
  <si>
    <t>S&amp;P 500 Returns</t>
  </si>
  <si>
    <t>=SLOPE(D1300:D1359,E1300:E1359)</t>
  </si>
  <si>
    <t>Church &amp; Dwight Co., Inc. (NYSE:CHD) &gt; Financials &gt; Historical Capitalization</t>
  </si>
  <si>
    <t>In Millions of the trading currency, except per share items.</t>
  </si>
  <si>
    <t>Frequency:</t>
  </si>
  <si>
    <t>Quarterly</t>
  </si>
  <si>
    <t>Order:</t>
  </si>
  <si>
    <t>Latest on Right</t>
  </si>
  <si>
    <t>Trading Currency</t>
  </si>
  <si>
    <t>Dilution:</t>
  </si>
  <si>
    <t>Basic</t>
  </si>
  <si>
    <t>Historical Capitalization</t>
  </si>
  <si>
    <t>Balance Sheet as of:</t>
  </si>
  <si>
    <t>Sep-30-2024</t>
  </si>
  <si>
    <t>Dec-31-2024</t>
  </si>
  <si>
    <t>Mar-31-2025</t>
  </si>
  <si>
    <t>Jun-30-2025</t>
  </si>
  <si>
    <t>Sep-30-2025</t>
  </si>
  <si>
    <t>Dec-31-2025</t>
  </si>
  <si>
    <t>Pricing as of*</t>
  </si>
  <si>
    <t>Nov-01-2024</t>
  </si>
  <si>
    <t>Feb-13-2025</t>
  </si>
  <si>
    <t>May-01-2025</t>
  </si>
  <si>
    <t>Aug-01-2025</t>
  </si>
  <si>
    <t>Oct-31-2025</t>
  </si>
  <si>
    <t>Feb-12-2026</t>
  </si>
  <si>
    <t>Currency</t>
  </si>
  <si>
    <t>Capitalization Detail</t>
  </si>
  <si>
    <t>Share Price</t>
  </si>
  <si>
    <t> $107.53 </t>
  </si>
  <si>
    <t> $92.38 </t>
  </si>
  <si>
    <t> $94.01 </t>
  </si>
  <si>
    <t> $87.69 </t>
  </si>
  <si>
    <t>$100.0 </t>
  </si>
  <si>
    <t>Shares Out.</t>
  </si>
  <si>
    <t>245.0 </t>
  </si>
  <si>
    <t>246.0 </t>
  </si>
  <si>
    <t>246.3 </t>
  </si>
  <si>
    <t>243.6 </t>
  </si>
  <si>
    <t>240.1 </t>
  </si>
  <si>
    <t>236.7 </t>
  </si>
  <si>
    <t>Market Capitalization</t>
  </si>
  <si>
    <t>25,663.5 </t>
  </si>
  <si>
    <t> 26,449.1 </t>
  </si>
  <si>
    <t> 22,751.1 </t>
  </si>
  <si>
    <t>22,901.7 </t>
  </si>
  <si>
    <t>- Cash &amp; Short Term Investments</t>
  </si>
  <si>
    <t> 752.1 </t>
  </si>
  <si>
    <t> 964.1 </t>
  </si>
  <si>
    <t>  923.2 </t>
  </si>
  <si>
    <t>305.3 </t>
  </si>
  <si>
    <t>+ Total Debt</t>
  </si>
  <si>
    <t>2,412.9 </t>
  </si>
  <si>
    <t>2,405.5 </t>
  </si>
  <si>
    <t>2,404.6 </t>
  </si>
  <si>
    <t>2,409.7 </t>
  </si>
  <si>
    <t>+ Pref. Equity</t>
  </si>
  <si>
    <t>+ Total Minority Interest</t>
  </si>
  <si>
    <t>- Long Term Marketable Securities</t>
  </si>
  <si>
    <t>= Total Enterprise Value (TEV)</t>
  </si>
  <si>
    <t>27,324.3 </t>
  </si>
  <si>
    <t>                            27,890.5 </t>
  </si>
  <si>
    <t>                            24,081.2 </t>
  </si>
  <si>
    <t>                            24,388.2 </t>
  </si>
  <si>
    <t>                            23,152.7 </t>
  </si>
  <si>
    <t>25,642.4 </t>
  </si>
  <si>
    <t>Book Value of Common Equity</t>
  </si>
  <si>
    <t>                              4,193.7 </t>
  </si>
  <si>
    <t>                              4,360.8 </t>
  </si>
  <si>
    <t>                              4,551.0 </t>
  </si>
  <si>
    <t>                              4,393.7 </t>
  </si>
  <si>
    <t>                              4,223.0 </t>
  </si>
  <si>
    <t>4,002.2 </t>
  </si>
  <si>
    <t>                              2,412.9 </t>
  </si>
  <si>
    <t>                              2,405.5 </t>
  </si>
  <si>
    <t>                              2,404.6 </t>
  </si>
  <si>
    <t>                              2,409.7 </t>
  </si>
  <si>
    <t>                              2,401.0 </t>
  </si>
  <si>
    <t>                              2,382.0 </t>
  </si>
  <si>
    <t>= Total Capital</t>
  </si>
  <si>
    <t>                              6,606.6 </t>
  </si>
  <si>
    <t>                              6,766.3 </t>
  </si>
  <si>
    <t>6,955.6 </t>
  </si>
  <si>
    <t>6,803.4 </t>
  </si>
  <si>
    <t>6,624.0 </t>
  </si>
  <si>
    <t>6,384.2 </t>
  </si>
  <si>
    <t>Church &amp; Dwight Co., Inc. (NYSE:CHD) &gt;  Quick Comparable Analysis &gt; Trading Multiples</t>
  </si>
  <si>
    <t>Details</t>
  </si>
  <si>
    <t>Template:</t>
  </si>
  <si>
    <t>Capital IQ Default Comps</t>
  </si>
  <si>
    <t>US Dollar</t>
  </si>
  <si>
    <t>As-Of Date:</t>
  </si>
  <si>
    <t>May-02-2026</t>
  </si>
  <si>
    <t>Company Name</t>
  </si>
  <si>
    <t>13.22x</t>
  </si>
  <si>
    <t>10.75x</t>
  </si>
  <si>
    <t>Church &amp; Dwight Co., Inc. (NYSE:CHD)</t>
  </si>
  <si>
    <t>Summary Statistics</t>
  </si>
  <si>
    <t>Relative Valuation — Peer Trading Multiples</t>
  </si>
  <si>
    <t>As-Of Date: May 2, 2026</t>
  </si>
  <si>
    <t>EV/EBITDA (TTM)</t>
  </si>
  <si>
    <t>P/E (TTM)</t>
  </si>
  <si>
    <t>Fwd P/E</t>
  </si>
  <si>
    <t>EV/Revenue</t>
  </si>
  <si>
    <t>EV/FCF</t>
  </si>
  <si>
    <t>PEG</t>
  </si>
  <si>
    <t>vs Median</t>
  </si>
  <si>
    <t>18.41x</t>
  </si>
  <si>
    <t>32.83x</t>
  </si>
  <si>
    <t>26.30x</t>
  </si>
  <si>
    <t>3.35x</t>
  </si>
  <si>
    <t>23.28x</t>
  </si>
  <si>
    <t>3.66x</t>
  </si>
  <si>
    <t>Revenue</t>
  </si>
  <si>
    <t>Procter &amp; Gamble (NYSE:PG)</t>
  </si>
  <si>
    <t>14.94x</t>
  </si>
  <si>
    <t>21.61x</t>
  </si>
  <si>
    <t>19.50x</t>
  </si>
  <si>
    <t>3.80x</t>
  </si>
  <si>
    <t>22.00x</t>
  </si>
  <si>
    <t>2.80x</t>
  </si>
  <si>
    <t>Colgate-Palmolive (NYSE:CL)</t>
  </si>
  <si>
    <t>15.24x</t>
  </si>
  <si>
    <t>31.76x</t>
  </si>
  <si>
    <t>21.77x</t>
  </si>
  <si>
    <t>3.60x</t>
  </si>
  <si>
    <t>20.41x</t>
  </si>
  <si>
    <t>4.29x</t>
  </si>
  <si>
    <t>Kimberly-Clark (NasdaqGS:KMB)</t>
  </si>
  <si>
    <t>12.53x</t>
  </si>
  <si>
    <t>20.63x</t>
  </si>
  <si>
    <t>2.20x</t>
  </si>
  <si>
    <t>24.45x</t>
  </si>
  <si>
    <t>3.46x</t>
  </si>
  <si>
    <t>Clorox (NYSE:CLX)</t>
  </si>
  <si>
    <t>14.42x</t>
  </si>
  <si>
    <t>13.90x</t>
  </si>
  <si>
    <t>2.16x</t>
  </si>
  <si>
    <t>36.47x</t>
  </si>
  <si>
    <t>2.10x</t>
  </si>
  <si>
    <t>Reckitt Benckiser (LSE:RKT)</t>
  </si>
  <si>
    <t>13.79x</t>
  </si>
  <si>
    <t>33.14x</t>
  </si>
  <si>
    <t>17.47x</t>
  </si>
  <si>
    <t>3.10x</t>
  </si>
  <si>
    <t>23.45x</t>
  </si>
  <si>
    <t>2.90x</t>
  </si>
  <si>
    <t>Haleon (LSE:HLN)</t>
  </si>
  <si>
    <t>13.83x</t>
  </si>
  <si>
    <t>18.31x</t>
  </si>
  <si>
    <t>16.55x</t>
  </si>
  <si>
    <t>3.40x</t>
  </si>
  <si>
    <t>16.19x</t>
  </si>
  <si>
    <t>2.50x</t>
  </si>
  <si>
    <t>Unilever (LSE:ULVR)</t>
  </si>
  <si>
    <t>14.64x</t>
  </si>
  <si>
    <t>19.80x</t>
  </si>
  <si>
    <t>17.20x</t>
  </si>
  <si>
    <t>21.00x</t>
  </si>
  <si>
    <t>2.60x</t>
  </si>
  <si>
    <t>Peer Median</t>
  </si>
  <si>
    <t>Peer Mean</t>
  </si>
  <si>
    <t>13.67x</t>
  </si>
  <si>
    <t>22.81x</t>
  </si>
  <si>
    <t>17.09x</t>
  </si>
  <si>
    <t>2.97x</t>
  </si>
  <si>
    <t>23.42x</t>
  </si>
  <si>
    <t>2.95x</t>
  </si>
  <si>
    <t>Trading Multiples (7 Peers: PG, CL, KMB, CLX, RKT, HLN, ULVR)</t>
  </si>
  <si>
    <t>NTM EV/EBITDA (Peer Median)</t>
  </si>
  <si>
    <t>NTM EV/Revenue (Peer Median)</t>
  </si>
  <si>
    <t>NTM Fwd P/E (Peer Median)</t>
  </si>
  <si>
    <t>Trading Multiples of CHD</t>
  </si>
  <si>
    <t>CHD EV/EBITDA (TTM)</t>
  </si>
  <si>
    <t>CHD EV/Revenue</t>
  </si>
  <si>
    <t>CHD Fwd P/E</t>
  </si>
  <si>
    <t>Relative Valuation — CHD vs. Peer Group</t>
  </si>
  <si>
    <t>As of May 2, 2026</t>
  </si>
  <si>
    <t>Company</t>
  </si>
  <si>
    <t>EV/EBITDA</t>
  </si>
  <si>
    <t>Procter &amp; Gamble</t>
  </si>
  <si>
    <t>Colgate-Palmolive</t>
  </si>
  <si>
    <t>Kimberly-Clark</t>
  </si>
  <si>
    <t>Clorox</t>
  </si>
  <si>
    <t>Reckitt Benckiser</t>
  </si>
  <si>
    <t>Haleon</t>
  </si>
  <si>
    <t>Unilever</t>
  </si>
  <si>
    <t>CHD Premium/(Discount) to Peer Median</t>
  </si>
  <si>
    <t>HOLD</t>
  </si>
  <si>
    <t>Total Consolidated Revenue</t>
  </si>
  <si>
    <t>Global Inflation Trends (2020–2031)</t>
  </si>
  <si>
    <t>Source: IMF World Economic Outlook, April 2025</t>
  </si>
  <si>
    <t>Year</t>
  </si>
  <si>
    <t>World</t>
  </si>
  <si>
    <t>Advanced</t>
  </si>
  <si>
    <t>Emerging</t>
  </si>
  <si>
    <t>US</t>
  </si>
  <si>
    <t>Euro Area</t>
  </si>
  <si>
    <t>Data Type</t>
  </si>
  <si>
    <t>Actual</t>
  </si>
  <si>
    <t>Confirmed forecast</t>
  </si>
  <si>
    <t>Medium-term projection</t>
  </si>
  <si>
    <t>IMF Scenario Ranges for 2026–2027</t>
  </si>
  <si>
    <t>Scenario</t>
  </si>
  <si>
    <t>Reference scenario</t>
  </si>
  <si>
    <t>Baseline (confirmed forecast)</t>
  </si>
  <si>
    <t>Short-lived conflict</t>
  </si>
  <si>
    <t>Adverse scenario</t>
  </si>
  <si>
    <t>Prolonged disruption</t>
  </si>
  <si>
    <t>Impact on CHD:</t>
  </si>
  <si>
    <t>Global inflation directly affects CHD’s COGS (raw materials, packaging, freight), pricing power, and consumer demand elasticity.</t>
  </si>
  <si>
    <t>US inflation normalizing to 2.0–2.1% by 2028+ supports CHD’s margin recovery and the 3% terminal growth assumption in the DCF.</t>
  </si>
  <si>
    <t>U.S. CPI Inflation (2019–2030)</t>
  </si>
  <si>
    <t>Sources: BLS/FRED (CPIAUCSL), CBO Budget &amp; Economic Outlook (Feb 2026), Fed FOMC SEP (Dec 2025), IMF WEO (Apr 2025)</t>
  </si>
  <si>
    <t>2022 Peak (Headline)</t>
  </si>
  <si>
    <t>Annual avg · BLS/FRED</t>
  </si>
  <si>
    <t>Mar 2026 (Latest)</t>
  </si>
  <si>
    <t>YoY · BLS release</t>
  </si>
  <si>
    <t>2026 CBO Forecast</t>
  </si>
  <si>
    <t>Annual CPI · Q4/Q4 basis</t>
  </si>
  <si>
    <t>Fed 2% Target Year</t>
  </si>
  <si>
    <t>PCE basis · FOMC Dec 2025</t>
  </si>
  <si>
    <t>Headline CPI</t>
  </si>
  <si>
    <t>Core CPI</t>
  </si>
  <si>
    <t>CBO Forecast</t>
  </si>
  <si>
    <t>Fed (FOMC)</t>
  </si>
  <si>
    <t>IMF</t>
  </si>
  <si>
    <t>Source Notes:</t>
  </si>
  <si>
    <t>Historical data: BLS / FRED (CPIAUCSL). CBO forecasts are Q4/Q4 basis. Fed projections use PCE index (≈CPI–0.3 to 0.5pp). 2026 headline reflects Jan–Mar 2026 avg.</t>
  </si>
  <si>
    <t>The Fed’s formal 2% inflation target is measured on the PCE index, not CPI — CPI historically runs ~0.3–0.5pp higher than PCE.</t>
  </si>
  <si>
    <t>Impact on CHD Consumer Domestic Segment:</t>
  </si>
  <si>
    <t>1. Input Cost Pressure: CPI directly affects CHD’s raw material, packaging, and freight costs. The 2022 CPI spike (8.0%) compressed gross margins as COGS surged.</t>
  </si>
  <si>
    <t>2. Pricing Power: CHD historically passes through inflation via price increases (Pricing/Mix drove ~$195M in 2023 domestic revenue). As CPI normalizes to 2.3–2.8%, pricing growth moderates.</t>
  </si>
  <si>
    <t>3. Consumer Demand: Higher CPI erodes real purchasing power, pushing consumers toward value brands. CHD benefits (Arm &amp; Hammer, store brands) but premium lines face pressure.</t>
  </si>
  <si>
    <t>4. Model Implications: CPI converging to ~2.0–2.3% by 2028 supports the model’s 4.1% domestic revenue growth (volume + moderate pricing) and the 3% terminal growth rate in the DCF.</t>
  </si>
  <si>
    <t>Global Real GDP Growth (2020–2031)</t>
  </si>
  <si>
    <t>Estimate</t>
  </si>
  <si>
    <t>US GDP slowing from 2.8% (2024) to 1.6–2.0% (2025–30) compresses consumer spending growth — CHD’s domestic segment (~77% of revenue) tracks household consumption closely.</t>
  </si>
  <si>
    <t>Emerging market GDP growth (3.8–4.0%) supports CHD’s international expansion (6.2% CAGR). Global GDP stabilizing at ~3.0–3.1% underpins the 3% terminal growth rate.</t>
  </si>
  <si>
    <t>U.S. Real GDP Growth (2020–2030)</t>
  </si>
  <si>
    <t>Sources: BEA/FRED (A191RL1Q225SBEA), CBO Budget &amp; Economic Outlook (Feb 2026), Fed FOMC SEP (Dec 2025), IMF WEO (Apr 2025)</t>
  </si>
  <si>
    <t>2021 Rebound</t>
  </si>
  <si>
    <t>Post-COVID recovery · BEA</t>
  </si>
  <si>
    <t>2025 Estimate</t>
  </si>
  <si>
    <t>IMF · slowdown from 2.8%</t>
  </si>
  <si>
    <t>CBO Long-run Potential</t>
  </si>
  <si>
    <t>2028–30 avg · CBO</t>
  </si>
  <si>
    <t>Fed Long-run</t>
  </si>
  <si>
    <t>FOMC Dec 2025 · longer run</t>
  </si>
  <si>
    <t>BEA Actual</t>
  </si>
  <si>
    <t>Historical: BEA via FRED. CBO: Budget &amp; Economic Outlook (Feb 2026). Fed: FOMC SEP (Dec 2025, longer-run = 1.8%). IMF: WEO Apr 2025. All converge to ~1.8–2.0% potential.</t>
  </si>
  <si>
    <t>US GDP slowing to 1.6–1.8% constrains CHD domestic volume growth (~77% of rev). All forecasters converge on ~1.8–2.0% real long-run; adding ~1% pricing = ~3% nominal, matching the DCF terminal rate.</t>
  </si>
  <si>
    <t>Extended energy shock - severe scenario</t>
  </si>
  <si>
    <t>Sources: BLS/FRED (PPI Final Demand, Chemical PPI, Packaging PPI, Diesel PPI), Deloitte Chemical Industry Outlook 2026, IMF WEO Apr 2025</t>
  </si>
  <si>
    <t>YoY final demand · BLS</t>
  </si>
  <si>
    <t>2022 Chemical PPI Peak</t>
  </si>
  <si>
    <t>30–40%</t>
  </si>
  <si>
    <t>Organic chemicals surge</t>
  </si>
  <si>
    <t>Gasoline +15.7% · Mar 2026</t>
  </si>
  <si>
    <t>Mgmt Flagged Inflation</t>
  </si>
  <si>
    <t>$25–30M</t>
  </si>
  <si>
    <t>Q1 2026 · oil-based inputs</t>
  </si>
  <si>
    <t>Input Category</t>
  </si>
  <si>
    <t>FRED Series</t>
  </si>
  <si>
    <t>CHD Products Affected</t>
  </si>
  <si>
    <t>2022 Peak Impact</t>
  </si>
  <si>
    <t>Segment</t>
  </si>
  <si>
    <t>Surfactants &amp; Detergent Chemicals</t>
  </si>
  <si>
    <t>PCU325199325199</t>
  </si>
  <si>
    <t>ARM &amp; HAMMER Laundry, OxiClean, XTRA</t>
  </si>
  <si>
    <t>Plastic &amp; Resin Packaging</t>
  </si>
  <si>
    <t>WPU0571</t>
  </si>
  <si>
    <t>All products (bottles, tubs, pouches)</t>
  </si>
  <si>
    <t>All Segments</t>
  </si>
  <si>
    <t>Diesel &amp; Transportation Freight</t>
  </si>
  <si>
    <t>WPU057104</t>
  </si>
  <si>
    <t>All distribution &amp; logistics</t>
  </si>
  <si>
    <t>Sodium Bicarbonate / Trona Mining</t>
  </si>
  <si>
    <t>Proprietary</t>
  </si>
  <si>
    <t>ARM &amp; HAMMER Baking Soda</t>
  </si>
  <si>
    <t>Partially insulated (own mine)</t>
  </si>
  <si>
    <t>Agricultural Commodities</t>
  </si>
  <si>
    <t>WPU01</t>
  </si>
  <si>
    <t>SPD supplements, palm oil derivatives</t>
  </si>
  <si>
    <t>Revenue ($M)</t>
  </si>
  <si>
    <t>COGS ($M)</t>
  </si>
  <si>
    <t>PPI Final Demand YoY</t>
  </si>
  <si>
    <t>Chemical PPI (est.)</t>
  </si>
  <si>
    <t>Key PPI Driver</t>
  </si>
  <si>
    <t>Low PPI — COVID deflation</t>
  </si>
  <si>
    <t>PPI starts rising — supply chain stress</t>
  </si>
  <si>
    <t>PPI surges — oil, chemicals, transport</t>
  </si>
  <si>
    <t>PPI moderates — disinflation begins</t>
  </si>
  <si>
    <t>PPI stable — margin recovery</t>
  </si>
  <si>
    <t>Slight uptick — energy re-acceleration</t>
  </si>
  <si>
    <t>Chemical PPI</t>
  </si>
  <si>
    <t>Energy PPI</t>
  </si>
  <si>
    <t>CHD Gross Margin Impact</t>
  </si>
  <si>
    <t>Oil Price Assumption</t>
  </si>
  <si>
    <t>Source / Basis</t>
  </si>
  <si>
    <t>+2.5–3.0%</t>
  </si>
  <si>
    <t>+3–4%</t>
  </si>
  <si>
    <t>+100 bps expansion</t>
  </si>
  <si>
    <t>$70–80/bbl</t>
  </si>
  <si>
    <t>Deloitte Chemical Outlook; CHD mgmt guidance</t>
  </si>
  <si>
    <t>Adverse Case</t>
  </si>
  <si>
    <t>+5–6%</t>
  </si>
  <si>
    <t>+8–10%</t>
  </si>
  <si>
    <t>Flat to -50 bps</t>
  </si>
  <si>
    <t>$90–100/bbl</t>
  </si>
  <si>
    <t>Mid-East short-lived conflict; consumer spending +1.4%</t>
  </si>
  <si>
    <t>Severe Case</t>
  </si>
  <si>
    <t>+15–20%</t>
  </si>
  <si>
    <t>-150 to -200 bps</t>
  </si>
  <si>
    <t>&gt;$100/bbl</t>
  </si>
  <si>
    <t>Extended energy shock; replicates 2022 conditions</t>
  </si>
  <si>
    <t>Each +100 bps in chemical PPI above expectations ≈ 40–60 bps gross margin compression for CHD (based on 2021–2022 historical relationship).</t>
  </si>
  <si>
    <t>1. COGS Growth Rate: Base case assumes COGS grows at ≈CPI + 0.5% when PPI stable; CPI + 2–3% when PPI accelerates (as in 2022). 2026 base assumes chemical PPI +2.0–2.5%.</t>
  </si>
  <si>
    <t>2. Gross Margin Trajectory: Most PPI-sensitive line in the model. 2022 demonstrated the inverse correlation — chemical PPI up 35%, gross margin collapsed 170 bps to 41.9%.</t>
  </si>
  <si>
    <t>4. Q1 2026 Update: CHD mgmt flagged $25–30M incremental inflation from oil-based inputs &amp; transport (surfactants + diesel channels). Offset via productivity &amp; hedging, not immediate price increases.</t>
  </si>
  <si>
    <t>CHD Gross Margin</t>
  </si>
  <si>
    <t>PPI Final Demand</t>
  </si>
  <si>
    <t>Chemical PPI (WPU06)</t>
  </si>
  <si>
    <t>Actual · BLS</t>
  </si>
  <si>
    <t>Actual · BLS ◆ PEAK</t>
  </si>
  <si>
    <t>Actual · BLS (thru Mar)</t>
  </si>
  <si>
    <t>Base Case Forecast</t>
  </si>
  <si>
    <t>Medium-term Projection</t>
  </si>
  <si>
    <t>CHD Gross Margin — Scenario Comparison (2026–2030)</t>
  </si>
  <si>
    <t>Key Driver</t>
  </si>
  <si>
    <t>Chem PPI: Base +2.8% / Adverse +5.5% / Severe +9%</t>
  </si>
  <si>
    <t>Adverse: Mid-East conflict persists; Severe: oil &gt;$100</t>
  </si>
  <si>
    <t>PPI normalizes in adverse; severe persists</t>
  </si>
  <si>
    <t>Gradual recovery all scenarios as hedging kicks in</t>
  </si>
  <si>
    <t>Base: near-peak margins; Severe: still below 2024 level</t>
  </si>
  <si>
    <t>Global commodity prices (oil, gas, agriculture) - Chemical producers raise output prices (PPI chemicals)-- CHD pays more for surfactants, resins, soda ash-- COGS rises / gross margin compresses-- CHD raises prices (pass-through) OR absorbs hit-- Higher prices risk volume destruction (as seen in 2022)</t>
  </si>
  <si>
    <t>+30–40%-- 170 bps margin hit</t>
  </si>
  <si>
    <t>Oil $130/bbl-- packaging surge</t>
  </si>
  <si>
    <t>+50% at peak-- distribution cost surge</t>
  </si>
  <si>
    <t>Russia-Ukraine-- commodity spike</t>
  </si>
  <si>
    <t>3. Scenario Trigger: PPI is the worst-case trigger. Oil &gt;$100/bbl-- chemical PPI +6–10%-- gross margin -150 to -200 bps, replicating 2022. This drives the worst-case DCF scenario.</t>
  </si>
  <si>
    <t>Segemental Detail Breakdown</t>
  </si>
  <si>
    <t>Consumer Domestic Segements</t>
  </si>
  <si>
    <t xml:space="preserve">Total Revenue Breakdown </t>
  </si>
  <si>
    <t>Consumer International Segements</t>
  </si>
  <si>
    <t>Income Statement in (million)</t>
  </si>
  <si>
    <t>Cash Flow Statement in (million)</t>
  </si>
  <si>
    <t>Effect of exchange rate changes on cash and cash equivalents</t>
  </si>
  <si>
    <t>Balance Sheet  in (million)</t>
  </si>
  <si>
    <t>Common stock</t>
  </si>
  <si>
    <t>Treasury Shares</t>
  </si>
  <si>
    <t xml:space="preserve"> CHD (Church &amp; Dwight)</t>
  </si>
  <si>
    <t>Growth Rate</t>
  </si>
  <si>
    <t>By: Shobitha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</si>
</sst>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quot;$&quot;#,##0_);[Red]\(&quot;$&quot;#,##0\)"/>
    <numFmt numFmtId="8" formatCode="&quot;$&quot;#,##0.00_);[Red]\(&quot;$&quot;#,##0.00\)"/>
    <numFmt numFmtId="44" formatCode="_(&quot;$&quot;* #,##0.00_);_(&quot;$&quot;* \(#,##0.00\);_(&quot;$&quot;* &quot;-&quot;??_);_(@_)"/>
    <numFmt numFmtId="43" formatCode="_(* #,##0.00_);_(* \(#,##0.00\);_(* &quot;-&quot;??_);_(@_)"/>
    <numFmt numFmtId="164" formatCode="_(* #,##0_);_(* \(#,##0\);_(* &quot;-&quot;??_);_(@_)"/>
    <numFmt numFmtId="165" formatCode="0.0%"/>
    <numFmt numFmtId="166" formatCode="_(&quot;$&quot;* #,##0_);_(&quot;$&quot;* \(#,##0\);_(&quot;$&quot;* &quot;-&quot;??_);_(@_)"/>
    <numFmt numFmtId="167" formatCode="0.0000"/>
    <numFmt numFmtId="168" formatCode="0.0"/>
    <numFmt numFmtId="169" formatCode="#,##0;[Red]#,##0"/>
    <numFmt numFmtId="170" formatCode="&quot;$&quot;#,##0.00"/>
    <numFmt numFmtId="171" formatCode="0.000%"/>
    <numFmt numFmtId="172" formatCode="0.0000%"/>
    <numFmt numFmtId="173" formatCode="#,##0.0"/>
    <numFmt numFmtId="174" formatCode="0.00&quot;x&quot;"/>
    <numFmt numFmtId="175" formatCode="\+0%;\-0%"/>
    <numFmt numFmtId="176" formatCode="0000&quot;A&quot;"/>
    <numFmt numFmtId="177" formatCode="0000&quot;E&quot;"/>
  </numFmts>
  <fonts count="164">
    <font>
      <sz val="12"/>
      <color theme="1"/>
      <name val="Aptos Narrow"/>
      <family val="2"/>
      <scheme val="minor"/>
    </font>
    <font>
      <sz val="12"/>
      <color theme="1"/>
      <name val="Aptos Narrow"/>
      <family val="2"/>
      <scheme val="minor"/>
    </font>
    <font>
      <sz val="10"/>
      <name val="Arial"/>
      <family val="2"/>
    </font>
    <font>
      <b/>
      <sz val="10"/>
      <color theme="0"/>
      <name val="Arial"/>
      <family val="2"/>
    </font>
    <font>
      <sz val="10"/>
      <color theme="0"/>
      <name val="Arial"/>
      <family val="2"/>
    </font>
    <font>
      <b/>
      <sz val="12"/>
      <color theme="1"/>
      <name val="Aptos Narrow"/>
      <family val="2"/>
      <scheme val="minor"/>
    </font>
    <font>
      <b/>
      <sz val="8"/>
      <name val="Arial"/>
      <family val="2"/>
    </font>
    <font>
      <sz val="8"/>
      <name val="Arial"/>
      <family val="2"/>
    </font>
    <font>
      <b/>
      <sz val="8"/>
      <color rgb="FFFF0000"/>
      <name val="Arial"/>
      <family val="2"/>
    </font>
    <font>
      <b/>
      <sz val="10"/>
      <name val="Arial"/>
      <family val="2"/>
    </font>
    <font>
      <b/>
      <sz val="10"/>
      <color rgb="FFFFFFFF"/>
      <name val="Arial"/>
      <family val="2"/>
    </font>
    <font>
      <sz val="10"/>
      <color theme="1"/>
      <name val="Arial"/>
      <family val="2"/>
    </font>
    <font>
      <sz val="10"/>
      <color rgb="FF0000FF"/>
      <name val="Arial"/>
      <family val="2"/>
    </font>
    <font>
      <sz val="11"/>
      <color theme="1"/>
      <name val="Aptos Narrow"/>
    </font>
    <font>
      <sz val="10"/>
      <color rgb="FF000000"/>
      <name val="Tahoma"/>
      <family val="2"/>
    </font>
    <font>
      <b/>
      <sz val="10"/>
      <color rgb="FF000000"/>
      <name val="Tahoma"/>
      <family val="2"/>
    </font>
    <font>
      <sz val="11"/>
      <color theme="1"/>
      <name val="Times New Roman"/>
      <family val="1"/>
    </font>
    <font>
      <sz val="11"/>
      <name val="Arial"/>
      <family val="2"/>
    </font>
    <font>
      <sz val="12"/>
      <color theme="1"/>
      <name val="Times New Roman"/>
      <family val="1"/>
    </font>
    <font>
      <sz val="11"/>
      <color rgb="FF7030A0"/>
      <name val="Times New Roman"/>
      <family val="1"/>
    </font>
    <font>
      <sz val="11"/>
      <name val="Times New Roman"/>
      <family val="1"/>
    </font>
    <font>
      <sz val="8"/>
      <name val="Times New Roman"/>
      <family val="1"/>
    </font>
    <font>
      <sz val="11"/>
      <color theme="1"/>
      <name val="Times New Roman"/>
      <family val="1"/>
      <charset val="204"/>
    </font>
    <font>
      <sz val="11"/>
      <color rgb="FF7030A0"/>
      <name val="Times New Roman"/>
      <family val="1"/>
      <charset val="204"/>
    </font>
    <font>
      <u/>
      <sz val="10"/>
      <color theme="10"/>
      <name val="Arial"/>
      <family val="2"/>
    </font>
    <font>
      <u/>
      <sz val="11"/>
      <color theme="10"/>
      <name val="Times New Roman"/>
      <family val="1"/>
    </font>
    <font>
      <b/>
      <sz val="11"/>
      <color indexed="8"/>
      <name val="Times New Roman"/>
      <family val="2"/>
    </font>
    <font>
      <sz val="11"/>
      <color indexed="8"/>
      <name val="Times New Roman"/>
      <family val="2"/>
    </font>
    <font>
      <sz val="11"/>
      <color rgb="FF000000"/>
      <name val="Times New Roman"/>
      <family val="1"/>
      <charset val="1"/>
    </font>
    <font>
      <sz val="11"/>
      <color rgb="FF7030A0"/>
      <name val="Times New Roman"/>
      <family val="1"/>
      <charset val="1"/>
    </font>
    <font>
      <sz val="11"/>
      <color rgb="FF002060"/>
      <name val="Times New Roman"/>
      <family val="1"/>
      <charset val="1"/>
    </font>
    <font>
      <sz val="12"/>
      <color rgb="FF000000"/>
      <name val="Times New Roman"/>
      <family val="1"/>
      <charset val="1"/>
    </font>
    <font>
      <sz val="11"/>
      <name val="Times New Roman"/>
      <family val="1"/>
      <charset val="1"/>
    </font>
    <font>
      <sz val="8"/>
      <name val="Times New Roman"/>
      <family val="1"/>
      <charset val="1"/>
    </font>
    <font>
      <sz val="10"/>
      <name val="Times New Roman"/>
      <family val="1"/>
      <charset val="1"/>
    </font>
    <font>
      <b/>
      <sz val="11"/>
      <color rgb="FF000000"/>
      <name val="Times New Roman"/>
      <family val="1"/>
      <charset val="1"/>
    </font>
    <font>
      <b/>
      <sz val="11"/>
      <name val="Times New Roman"/>
      <family val="1"/>
      <charset val="1"/>
    </font>
    <font>
      <b/>
      <sz val="10"/>
      <color rgb="FF7030A0"/>
      <name val="Times New Roman"/>
      <family val="1"/>
      <charset val="1"/>
    </font>
    <font>
      <sz val="12"/>
      <color rgb="FF000000"/>
      <name val="Aptos Narrow"/>
    </font>
    <font>
      <sz val="12"/>
      <color rgb="FFFF0000"/>
      <name val="Aptos Narrow"/>
      <family val="2"/>
      <scheme val="minor"/>
    </font>
    <font>
      <sz val="11"/>
      <color rgb="FF4472C4"/>
      <name val="Times New Roman"/>
      <family val="1"/>
      <charset val="1"/>
    </font>
    <font>
      <b/>
      <sz val="12"/>
      <color rgb="FFFF0000"/>
      <name val="Aptos Narrow"/>
      <family val="2"/>
      <scheme val="minor"/>
    </font>
    <font>
      <sz val="11"/>
      <color rgb="FF9C5700"/>
      <name val="Times New Roman"/>
      <family val="1"/>
      <charset val="1"/>
    </font>
    <font>
      <b/>
      <u/>
      <sz val="8"/>
      <color rgb="FF000000"/>
      <name val="Arial"/>
      <family val="2"/>
    </font>
    <font>
      <b/>
      <sz val="8"/>
      <name val="Arial"/>
      <family val="2"/>
      <charset val="1"/>
    </font>
    <font>
      <sz val="8"/>
      <name val="Arial"/>
      <family val="2"/>
      <charset val="1"/>
    </font>
    <font>
      <b/>
      <sz val="8"/>
      <color rgb="FFFF0000"/>
      <name val="Arial"/>
      <family val="2"/>
      <charset val="1"/>
    </font>
    <font>
      <sz val="11"/>
      <color rgb="FF242424"/>
      <name val="Aptos Narrow"/>
    </font>
    <font>
      <b/>
      <sz val="11"/>
      <color theme="1"/>
      <name val="Aptos Narrow"/>
      <family val="2"/>
      <scheme val="minor"/>
    </font>
    <font>
      <b/>
      <sz val="12"/>
      <color rgb="FF000000"/>
      <name val="Times New Roman"/>
      <family val="1"/>
      <charset val="1"/>
    </font>
    <font>
      <b/>
      <sz val="13"/>
      <color rgb="FF000000"/>
      <name val="Verdana"/>
      <family val="2"/>
    </font>
    <font>
      <i/>
      <sz val="8"/>
      <name val="Arial"/>
      <family val="2"/>
    </font>
    <font>
      <sz val="8"/>
      <color rgb="FF000000"/>
      <name val="Arial"/>
      <family val="2"/>
    </font>
    <font>
      <b/>
      <sz val="8"/>
      <color rgb="FFFFFFFF"/>
      <name val="Verdana"/>
      <family val="2"/>
    </font>
    <font>
      <sz val="1"/>
      <color rgb="FFFFFFFF"/>
      <name val="Symbol"/>
      <charset val="2"/>
    </font>
    <font>
      <b/>
      <sz val="8"/>
      <color rgb="FF000000"/>
      <name val="Arial"/>
      <family val="2"/>
    </font>
    <font>
      <i/>
      <sz val="10"/>
      <name val="Arial"/>
      <family val="2"/>
    </font>
    <font>
      <i/>
      <sz val="12"/>
      <color theme="1"/>
      <name val="Aptos Narrow"/>
      <family val="2"/>
      <scheme val="minor"/>
    </font>
    <font>
      <b/>
      <sz val="11"/>
      <color rgb="FF4472C4"/>
      <name val="Times New Roman"/>
      <family val="1"/>
      <charset val="1"/>
    </font>
    <font>
      <sz val="11"/>
      <color rgb="FF000000"/>
      <name val="Times New Roman"/>
      <family val="1"/>
    </font>
    <font>
      <sz val="11"/>
      <color rgb="FF0000FF"/>
      <name val="Times New Roman"/>
      <family val="1"/>
    </font>
    <font>
      <b/>
      <sz val="11"/>
      <color rgb="FF000000"/>
      <name val="Times New Roman"/>
      <family val="1"/>
    </font>
    <font>
      <b/>
      <sz val="14"/>
      <name val="Arial"/>
      <family val="2"/>
    </font>
    <font>
      <sz val="12"/>
      <color rgb="FF0F1115"/>
      <name val="Quote-Cjk-Patch"/>
      <charset val="1"/>
    </font>
    <font>
      <sz val="9"/>
      <name val="Arial"/>
      <family val="2"/>
    </font>
    <font>
      <b/>
      <sz val="9"/>
      <name val="Arial"/>
      <family val="2"/>
    </font>
    <font>
      <sz val="11"/>
      <color rgb="FF0000FF"/>
      <name val="Times New Roman"/>
      <family val="1"/>
      <charset val="1"/>
    </font>
    <font>
      <b/>
      <u/>
      <sz val="11"/>
      <color rgb="FF000000"/>
      <name val="Times New Roman"/>
      <family val="1"/>
      <charset val="1"/>
    </font>
    <font>
      <sz val="10"/>
      <color rgb="FF000000"/>
      <name val="Aptos Narrow"/>
      <scheme val="minor"/>
    </font>
    <font>
      <b/>
      <sz val="10"/>
      <color rgb="FF000000"/>
      <name val="Aptos Narrow"/>
      <scheme val="minor"/>
    </font>
    <font>
      <sz val="12"/>
      <color rgb="FF0000FF"/>
      <name val="Aptos Narrow"/>
      <family val="2"/>
      <scheme val="minor"/>
    </font>
    <font>
      <b/>
      <sz val="12"/>
      <color rgb="FF0000FF"/>
      <name val="Aptos Narrow"/>
      <family val="2"/>
      <scheme val="minor"/>
    </font>
    <font>
      <b/>
      <i/>
      <sz val="8"/>
      <color rgb="FF000000"/>
      <name val="Arial"/>
      <family val="2"/>
    </font>
    <font>
      <sz val="11"/>
      <color theme="0"/>
      <name val="Times New Roman"/>
      <family val="1"/>
      <charset val="1"/>
    </font>
    <font>
      <b/>
      <sz val="11"/>
      <name val="Arial"/>
      <family val="2"/>
    </font>
    <font>
      <sz val="11"/>
      <color rgb="FF008000"/>
      <name val="Times New Roman"/>
      <family val="1"/>
      <charset val="1"/>
    </font>
    <font>
      <i/>
      <sz val="10"/>
      <color rgb="FF000000"/>
      <name val="Aptos Narrow"/>
      <scheme val="minor"/>
    </font>
    <font>
      <i/>
      <sz val="9"/>
      <color rgb="FF808080"/>
      <name val="Arial"/>
      <family val="2"/>
    </font>
    <font>
      <b/>
      <sz val="11"/>
      <color rgb="FF000000"/>
      <name val="Calibri"/>
      <family val="2"/>
    </font>
    <font>
      <sz val="20"/>
      <color rgb="FF000000"/>
      <name val="Calibri"/>
      <family val="2"/>
    </font>
    <font>
      <sz val="11"/>
      <color rgb="FF000000"/>
      <name val="Calibri"/>
      <family val="2"/>
    </font>
    <font>
      <b/>
      <sz val="12"/>
      <color rgb="FF232A31"/>
      <name val="Arial"/>
      <family val="2"/>
    </font>
    <font>
      <sz val="12"/>
      <name val="Times New Roman"/>
      <family val="1"/>
      <charset val="1"/>
    </font>
    <font>
      <b/>
      <sz val="12"/>
      <name val="Times New Roman"/>
      <family val="1"/>
      <charset val="1"/>
    </font>
    <font>
      <sz val="11"/>
      <color theme="0"/>
      <name val="Arial"/>
      <family val="2"/>
    </font>
    <font>
      <b/>
      <sz val="12"/>
      <color theme="1"/>
      <name val="Times New Roman"/>
      <family val="1"/>
    </font>
    <font>
      <b/>
      <sz val="14"/>
      <color theme="0"/>
      <name val="Times New Roman"/>
      <family val="1"/>
      <charset val="1"/>
    </font>
    <font>
      <b/>
      <sz val="14"/>
      <color rgb="FF000000"/>
      <name val="Times New Roman"/>
      <family val="1"/>
      <charset val="1"/>
    </font>
    <font>
      <b/>
      <sz val="14"/>
      <color theme="1"/>
      <name val="Times New Roman"/>
      <family val="1"/>
    </font>
    <font>
      <b/>
      <sz val="14"/>
      <name val="Times New Roman"/>
      <family val="1"/>
      <charset val="1"/>
    </font>
    <font>
      <b/>
      <sz val="14"/>
      <name val="Times New Roman"/>
      <family val="1"/>
    </font>
    <font>
      <b/>
      <sz val="11"/>
      <color rgb="FFFFFFFF"/>
      <name val="Calibri"/>
      <family val="2"/>
    </font>
    <font>
      <b/>
      <sz val="10"/>
      <name val="Calibri"/>
      <family val="2"/>
    </font>
    <font>
      <b/>
      <sz val="11"/>
      <color theme="1"/>
      <name val="Times New Roman"/>
      <family val="1"/>
    </font>
    <font>
      <sz val="11"/>
      <color theme="1"/>
      <name val="Arial"/>
      <family val="2"/>
    </font>
    <font>
      <sz val="8"/>
      <color theme="1"/>
      <name val="Aptos Narrow"/>
      <family val="2"/>
      <scheme val="minor"/>
    </font>
    <font>
      <sz val="8"/>
      <color theme="1"/>
      <name val="Arial"/>
      <family val="2"/>
    </font>
    <font>
      <b/>
      <sz val="8"/>
      <color rgb="FFFFFFFF"/>
      <name val="Arial"/>
      <family val="2"/>
    </font>
    <font>
      <b/>
      <sz val="8"/>
      <color theme="1"/>
      <name val="Arial"/>
      <family val="2"/>
    </font>
    <font>
      <b/>
      <sz val="12"/>
      <name val="Arial"/>
      <family val="2"/>
    </font>
    <font>
      <sz val="9"/>
      <color rgb="FF808080"/>
      <name val="Arial"/>
      <family val="2"/>
    </font>
    <font>
      <b/>
      <sz val="9"/>
      <color rgb="FFFFFFFF"/>
      <name val="Arial"/>
      <family val="2"/>
    </font>
    <font>
      <sz val="9"/>
      <color theme="1"/>
      <name val="Aptos Narrow"/>
      <family val="2"/>
      <scheme val="minor"/>
    </font>
    <font>
      <sz val="9"/>
      <color theme="1"/>
      <name val="Arial"/>
      <family val="2"/>
    </font>
    <font>
      <b/>
      <sz val="9"/>
      <color theme="1"/>
      <name val="Arial"/>
      <family val="2"/>
    </font>
    <font>
      <b/>
      <sz val="12"/>
      <color rgb="FFFFC000"/>
      <name val="Arial"/>
      <family val="2"/>
    </font>
    <font>
      <sz val="10"/>
      <color rgb="FFFF0000"/>
      <name val="Arial"/>
      <family val="2"/>
    </font>
    <font>
      <b/>
      <sz val="12"/>
      <color rgb="FFFFFFFF"/>
      <name val="Aptos Narrow"/>
    </font>
    <font>
      <b/>
      <sz val="12"/>
      <color rgb="FFFFFFFF"/>
      <name val="Aptos Narrow"/>
      <family val="2"/>
      <scheme val="minor"/>
    </font>
    <font>
      <b/>
      <sz val="11"/>
      <color rgb="FF000000"/>
      <name val="Aptos Narrow"/>
    </font>
    <font>
      <b/>
      <sz val="12"/>
      <color rgb="FF000000"/>
      <name val="Aptos Narrow"/>
    </font>
    <font>
      <b/>
      <sz val="12"/>
      <color rgb="FFED7D31"/>
      <name val="Aptos Narrow"/>
    </font>
    <font>
      <b/>
      <sz val="12"/>
      <color rgb="FFFF0000"/>
      <name val="Aptos Narrow"/>
    </font>
    <font>
      <b/>
      <sz val="10"/>
      <color theme="1"/>
      <name val="Aptos Narrow (Body)"/>
    </font>
    <font>
      <sz val="12"/>
      <color theme="1"/>
      <name val="Aptos Narrow (Body)"/>
    </font>
    <font>
      <sz val="9"/>
      <color theme="1"/>
      <name val="Aptos Narrow (Body)"/>
    </font>
    <font>
      <b/>
      <sz val="12"/>
      <color theme="1"/>
      <name val="Quote-Cjk-Patch"/>
      <charset val="1"/>
    </font>
    <font>
      <i/>
      <sz val="9"/>
      <color theme="1"/>
      <name val="Quote-Cjk-Patch"/>
      <charset val="1"/>
    </font>
    <font>
      <b/>
      <i/>
      <sz val="9"/>
      <color rgb="FF666666"/>
      <name val="Arial"/>
      <family val="2"/>
    </font>
    <font>
      <b/>
      <sz val="14"/>
      <color rgb="FFFF0000"/>
      <name val="Aptos Narrow"/>
      <family val="2"/>
      <scheme val="minor"/>
    </font>
    <font>
      <sz val="9"/>
      <color rgb="FF666666"/>
      <name val="Aptos Narrow"/>
      <family val="2"/>
      <scheme val="minor"/>
    </font>
    <font>
      <b/>
      <sz val="10"/>
      <color theme="1"/>
      <name val="Aptos Narrow"/>
      <family val="2"/>
      <scheme val="minor"/>
    </font>
    <font>
      <sz val="12"/>
      <color rgb="FFED7D31"/>
      <name val="Aptos Narrow"/>
      <family val="2"/>
      <scheme val="minor"/>
    </font>
    <font>
      <b/>
      <sz val="14"/>
      <color rgb="FFED7D31"/>
      <name val="Aptos Narrow"/>
      <family val="2"/>
      <scheme val="minor"/>
    </font>
    <font>
      <b/>
      <sz val="14"/>
      <color rgb="FF4472C4"/>
      <name val="Aptos Narrow"/>
      <family val="2"/>
      <scheme val="minor"/>
    </font>
    <font>
      <sz val="12"/>
      <color rgb="FF70AD47"/>
      <name val="Aptos Narrow"/>
      <family val="2"/>
      <scheme val="minor"/>
    </font>
    <font>
      <b/>
      <sz val="14"/>
      <color rgb="FF70AD47"/>
      <name val="Aptos Narrow"/>
      <family val="2"/>
      <scheme val="minor"/>
    </font>
    <font>
      <b/>
      <sz val="14"/>
      <color rgb="FFFFFFFF"/>
      <name val="Arial"/>
      <family val="2"/>
    </font>
    <font>
      <i/>
      <sz val="12"/>
      <color rgb="FF70AD47"/>
      <name val="Aptos Narrow"/>
      <family val="2"/>
      <scheme val="minor"/>
    </font>
    <font>
      <b/>
      <sz val="9"/>
      <color rgb="FF333333"/>
      <name val="Arial"/>
      <family val="2"/>
    </font>
    <font>
      <sz val="8"/>
      <color rgb="FFAAAAAA"/>
      <name val="Aptos Narrow"/>
      <family val="2"/>
      <scheme val="minor"/>
    </font>
    <font>
      <b/>
      <sz val="14"/>
      <color theme="1"/>
      <name val="Arial"/>
      <family val="2"/>
    </font>
    <font>
      <b/>
      <sz val="10"/>
      <color theme="1"/>
      <name val="Arial"/>
      <family val="2"/>
    </font>
    <font>
      <b/>
      <sz val="9"/>
      <color theme="1"/>
      <name val="Aptos Narrow"/>
    </font>
    <font>
      <b/>
      <sz val="14"/>
      <color theme="0"/>
      <name val="Arial"/>
      <family val="2"/>
    </font>
    <font>
      <b/>
      <sz val="12"/>
      <color theme="0"/>
      <name val="Aptos Narrow (Body)"/>
    </font>
    <font>
      <i/>
      <sz val="9"/>
      <color rgb="FF666666"/>
      <name val="Aptos Narrow"/>
    </font>
    <font>
      <b/>
      <sz val="12"/>
      <color theme="1"/>
      <name val="Arial"/>
      <family val="2"/>
    </font>
    <font>
      <b/>
      <sz val="12"/>
      <color rgb="FF70AD47"/>
      <name val="Aptos Narrow"/>
      <family val="2"/>
      <scheme val="minor"/>
    </font>
    <font>
      <b/>
      <sz val="12"/>
      <color rgb="FFED7D31"/>
      <name val="Aptos Narrow"/>
      <family val="2"/>
      <scheme val="minor"/>
    </font>
    <font>
      <sz val="12"/>
      <color rgb="FFBF8F00"/>
      <name val="Aptos Narrow"/>
      <family val="2"/>
      <scheme val="minor"/>
    </font>
    <font>
      <b/>
      <sz val="14"/>
      <color theme="1"/>
      <name val="Aptos Narrow"/>
      <family val="2"/>
      <scheme val="minor"/>
    </font>
    <font>
      <b/>
      <sz val="10"/>
      <color theme="1"/>
      <name val="Aptos Narrow"/>
      <scheme val="minor"/>
    </font>
    <font>
      <b/>
      <sz val="14"/>
      <color theme="1"/>
      <name val="Aptos Narrow"/>
      <scheme val="minor"/>
    </font>
    <font>
      <b/>
      <sz val="9"/>
      <color theme="1"/>
      <name val="Aptos Narrow"/>
      <scheme val="minor"/>
    </font>
    <font>
      <b/>
      <sz val="9"/>
      <color theme="1"/>
      <name val="Aptos Narrow (Body)"/>
    </font>
    <font>
      <sz val="8"/>
      <color theme="1"/>
      <name val="Aptos Narrow (Body)"/>
    </font>
    <font>
      <b/>
      <sz val="10"/>
      <color theme="1"/>
      <name val="Aptos Narrow"/>
    </font>
    <font>
      <sz val="9"/>
      <color theme="1"/>
      <name val="Aptos Narrow"/>
    </font>
    <font>
      <b/>
      <i/>
      <sz val="9"/>
      <color theme="1"/>
      <name val="Arial"/>
      <family val="2"/>
    </font>
    <font>
      <i/>
      <sz val="9"/>
      <color theme="1"/>
      <name val="Aptos Narrow"/>
      <family val="2"/>
      <scheme val="minor"/>
    </font>
    <font>
      <b/>
      <sz val="10"/>
      <color rgb="FF0070C0"/>
      <name val="Arial"/>
      <family val="2"/>
    </font>
    <font>
      <sz val="10"/>
      <color rgb="FF0070C0"/>
      <name val="Arial"/>
      <family val="2"/>
    </font>
    <font>
      <sz val="12"/>
      <color rgb="FF0070C0"/>
      <name val="Aptos Narrow"/>
      <family val="2"/>
      <scheme val="minor"/>
    </font>
    <font>
      <sz val="11"/>
      <color rgb="FF0070C0"/>
      <name val="Times New Roman"/>
      <family val="1"/>
      <charset val="1"/>
    </font>
    <font>
      <b/>
      <sz val="11"/>
      <color rgb="FF0070C0"/>
      <name val="Aptos Narrow"/>
      <family val="2"/>
      <scheme val="minor"/>
    </font>
    <font>
      <b/>
      <sz val="11"/>
      <color rgb="FF0070C0"/>
      <name val="Times New Roman"/>
      <family val="1"/>
      <charset val="1"/>
    </font>
    <font>
      <sz val="12"/>
      <color rgb="FF0070C0"/>
      <name val="Aptos Narrow"/>
    </font>
    <font>
      <sz val="11"/>
      <color theme="1"/>
      <name val="Times New Roman"/>
      <family val="1"/>
      <charset val="1"/>
    </font>
    <font>
      <b/>
      <sz val="11"/>
      <color theme="1"/>
      <name val="Times New Roman"/>
      <family val="1"/>
      <charset val="1"/>
    </font>
    <font>
      <b/>
      <sz val="12"/>
      <color theme="0"/>
      <name val="Arial"/>
      <family val="2"/>
    </font>
    <font>
      <b/>
      <sz val="12"/>
      <name val="Times New Roman"/>
      <family val="1"/>
    </font>
    <font>
      <b/>
      <sz val="12"/>
      <color theme="1"/>
      <name val="Aptos Narrow"/>
      <scheme val="minor"/>
    </font>
    <font>
      <sz val="12"/>
      <color theme="1"/>
      <name val="Aptos Narrow"/>
      <scheme val="minor"/>
    </font>
  </fonts>
  <fills count="26">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solid">
        <fgColor rgb="FF002060"/>
        <bgColor rgb="FF000000"/>
      </patternFill>
    </fill>
    <fill>
      <patternFill patternType="solid">
        <fgColor rgb="FFFFFF00"/>
        <bgColor indexed="64"/>
      </patternFill>
    </fill>
    <fill>
      <patternFill patternType="solid">
        <fgColor rgb="FF83CCEB"/>
        <bgColor indexed="64"/>
      </patternFill>
    </fill>
    <fill>
      <patternFill patternType="solid">
        <fgColor rgb="FFFFEB9C"/>
        <bgColor indexed="64"/>
      </patternFill>
    </fill>
    <fill>
      <patternFill patternType="solid">
        <fgColor rgb="FF003366"/>
        <bgColor indexed="64"/>
      </patternFill>
    </fill>
    <fill>
      <patternFill patternType="solid">
        <fgColor rgb="FFF0F0DC"/>
        <bgColor indexed="64"/>
      </patternFill>
    </fill>
    <fill>
      <patternFill patternType="solid">
        <fgColor theme="5" tint="0.59999389629810485"/>
        <bgColor indexed="64"/>
      </patternFill>
    </fill>
    <fill>
      <patternFill patternType="solid">
        <fgColor rgb="FFFCE4D6"/>
        <bgColor indexed="64"/>
      </patternFill>
    </fill>
    <fill>
      <patternFill patternType="solid">
        <fgColor theme="7" tint="0.79998168889431442"/>
        <bgColor indexed="64"/>
      </patternFill>
    </fill>
    <fill>
      <patternFill patternType="solid">
        <fgColor rgb="FFD9E1F2"/>
        <bgColor indexed="64"/>
      </patternFill>
    </fill>
    <fill>
      <patternFill patternType="solid">
        <fgColor rgb="FF99CCFF"/>
        <bgColor indexed="64"/>
      </patternFill>
    </fill>
    <fill>
      <patternFill patternType="solid">
        <fgColor rgb="FFE2EFDA"/>
        <bgColor indexed="64"/>
      </patternFill>
    </fill>
    <fill>
      <patternFill patternType="solid">
        <fgColor rgb="FFD6DCE4"/>
        <bgColor indexed="64"/>
      </patternFill>
    </fill>
    <fill>
      <patternFill patternType="solid">
        <fgColor rgb="FFFFF2CC"/>
        <bgColor indexed="64"/>
      </patternFill>
    </fill>
    <fill>
      <patternFill patternType="solid">
        <fgColor rgb="FF4472C4"/>
        <bgColor indexed="64"/>
      </patternFill>
    </fill>
    <fill>
      <patternFill patternType="solid">
        <fgColor rgb="FFFBE5D6"/>
        <bgColor indexed="64"/>
      </patternFill>
    </fill>
    <fill>
      <patternFill patternType="solid">
        <fgColor rgb="FFD9E2F3"/>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00B050"/>
        <bgColor indexed="64"/>
      </patternFill>
    </fill>
    <fill>
      <patternFill patternType="solid">
        <fgColor theme="0" tint="-0.34998626667073579"/>
        <bgColor indexed="64"/>
      </patternFill>
    </fill>
  </fills>
  <borders count="8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double">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7030A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medium">
        <color rgb="FF7030A0"/>
      </right>
      <top/>
      <bottom style="medium">
        <color rgb="FF7030A0"/>
      </bottom>
      <diagonal/>
    </border>
    <border>
      <left style="thin">
        <color rgb="FFFF0000"/>
      </left>
      <right style="thin">
        <color rgb="FFFF0000"/>
      </right>
      <top/>
      <bottom/>
      <diagonal/>
    </border>
    <border>
      <left/>
      <right/>
      <top style="thin">
        <color rgb="FF000000"/>
      </top>
      <bottom style="medium">
        <color rgb="FF000000"/>
      </bottom>
      <diagonal/>
    </border>
    <border>
      <left/>
      <right/>
      <top style="thin">
        <color rgb="FF000000"/>
      </top>
      <bottom style="double">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auto="1"/>
      </right>
      <top style="thin">
        <color indexed="64"/>
      </top>
      <bottom style="thin">
        <color indexed="64"/>
      </bottom>
      <diagonal/>
    </border>
    <border>
      <left/>
      <right/>
      <top style="thin">
        <color indexed="64"/>
      </top>
      <bottom style="double">
        <color auto="1"/>
      </bottom>
      <diagonal/>
    </border>
    <border>
      <left/>
      <right/>
      <top/>
      <bottom style="double">
        <color auto="1"/>
      </bottom>
      <diagonal/>
    </border>
    <border>
      <left/>
      <right/>
      <top style="double">
        <color auto="1"/>
      </top>
      <bottom style="double">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rgb="FFFFFFFF"/>
      </right>
      <top style="thin">
        <color rgb="FFFFFFFF"/>
      </top>
      <bottom style="thin">
        <color rgb="FFFFFFFF"/>
      </bottom>
      <diagonal/>
    </border>
    <border>
      <left style="thin">
        <color auto="1"/>
      </left>
      <right style="thin">
        <color auto="1"/>
      </right>
      <top/>
      <bottom style="thin">
        <color auto="1"/>
      </bottom>
      <diagonal/>
    </border>
    <border>
      <left style="medium">
        <color indexed="64"/>
      </left>
      <right/>
      <top/>
      <bottom style="thin">
        <color rgb="FF000000"/>
      </bottom>
      <diagonal/>
    </border>
    <border>
      <left/>
      <right style="medium">
        <color indexed="64"/>
      </right>
      <top/>
      <bottom style="thin">
        <color rgb="FF000000"/>
      </bottom>
      <diagonal/>
    </border>
    <border>
      <left/>
      <right style="medium">
        <color indexed="64"/>
      </right>
      <top style="medium">
        <color rgb="FF000000"/>
      </top>
      <bottom/>
      <diagonal/>
    </border>
    <border>
      <left/>
      <right style="medium">
        <color indexed="64"/>
      </right>
      <top/>
      <bottom style="medium">
        <color rgb="FF000000"/>
      </bottom>
      <diagonal/>
    </border>
    <border>
      <left/>
      <right/>
      <top/>
      <bottom style="thin">
        <color rgb="FFD9D9D9"/>
      </bottom>
      <diagonal/>
    </border>
    <border>
      <left/>
      <right/>
      <top style="thin">
        <color rgb="FFD9D9D9"/>
      </top>
      <bottom/>
      <diagonal/>
    </border>
    <border>
      <left/>
      <right/>
      <top style="thin">
        <color rgb="FFD9D9D9"/>
      </top>
      <bottom style="thin">
        <color rgb="FF000000"/>
      </bottom>
      <diagonal/>
    </border>
    <border>
      <left/>
      <right/>
      <top style="thin">
        <color rgb="FFD9D9D9"/>
      </top>
      <bottom style="double">
        <color rgb="FF00206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auto="1"/>
      </top>
      <bottom style="thin">
        <color rgb="FFD9D9D9"/>
      </bottom>
      <diagonal/>
    </border>
    <border>
      <left style="thin">
        <color rgb="FFD9D9D9"/>
      </left>
      <right style="thin">
        <color rgb="FFD9D9D9"/>
      </right>
      <top style="thin">
        <color rgb="FFD9D9D9"/>
      </top>
      <bottom style="thin">
        <color auto="1"/>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auto="1"/>
      </right>
      <top style="thin">
        <color auto="1"/>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auto="1"/>
      </right>
      <top style="thin">
        <color rgb="FFD9D9D9"/>
      </top>
      <bottom style="thin">
        <color auto="1"/>
      </bottom>
      <diagonal/>
    </border>
    <border>
      <left style="medium">
        <color indexed="64"/>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style="thin">
        <color rgb="FFD9D9D9"/>
      </left>
      <right style="medium">
        <color indexed="64"/>
      </right>
      <top style="medium">
        <color indexed="64"/>
      </top>
      <bottom style="thin">
        <color rgb="FFD9D9D9"/>
      </bottom>
      <diagonal/>
    </border>
    <border>
      <left style="medium">
        <color indexed="64"/>
      </left>
      <right style="thin">
        <color rgb="FFD9D9D9"/>
      </right>
      <top style="thin">
        <color rgb="FFD9D9D9"/>
      </top>
      <bottom style="thin">
        <color rgb="FFD9D9D9"/>
      </bottom>
      <diagonal/>
    </border>
    <border>
      <left style="thin">
        <color rgb="FFD9D9D9"/>
      </left>
      <right style="medium">
        <color indexed="64"/>
      </right>
      <top style="thin">
        <color rgb="FFD9D9D9"/>
      </top>
      <bottom style="thin">
        <color rgb="FFD9D9D9"/>
      </bottom>
      <diagonal/>
    </border>
    <border>
      <left style="medium">
        <color indexed="64"/>
      </left>
      <right style="thin">
        <color rgb="FFD9D9D9"/>
      </right>
      <top style="thin">
        <color rgb="FFD9D9D9"/>
      </top>
      <bottom style="medium">
        <color indexed="64"/>
      </bottom>
      <diagonal/>
    </border>
    <border>
      <left style="thin">
        <color rgb="FFD9D9D9"/>
      </left>
      <right style="thin">
        <color rgb="FFD9D9D9"/>
      </right>
      <top style="thin">
        <color rgb="FFD9D9D9"/>
      </top>
      <bottom style="medium">
        <color indexed="64"/>
      </bottom>
      <diagonal/>
    </border>
    <border>
      <left style="thin">
        <color rgb="FFD9D9D9"/>
      </left>
      <right style="medium">
        <color indexed="64"/>
      </right>
      <top style="thin">
        <color rgb="FFD9D9D9"/>
      </top>
      <bottom style="medium">
        <color indexed="64"/>
      </bottom>
      <diagonal/>
    </border>
    <border>
      <left/>
      <right/>
      <top style="medium">
        <color rgb="FF002060"/>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24" fillId="0" borderId="0" applyNumberFormat="0" applyFill="0" applyBorder="0" applyAlignment="0" applyProtection="0"/>
  </cellStyleXfs>
  <cellXfs count="736">
    <xf numFmtId="0" fontId="0" fillId="0" borderId="0" xfId="0"/>
    <xf numFmtId="0" fontId="2" fillId="0" borderId="0" xfId="0" applyFont="1" applyAlignment="1">
      <alignment vertical="top"/>
    </xf>
    <xf numFmtId="39" fontId="2" fillId="0" borderId="0" xfId="0" applyNumberFormat="1" applyFont="1" applyAlignment="1">
      <alignment vertical="top"/>
    </xf>
    <xf numFmtId="0" fontId="0" fillId="0" borderId="0" xfId="0" applyAlignment="1">
      <alignment vertical="top"/>
    </xf>
    <xf numFmtId="0" fontId="2" fillId="0" borderId="0" xfId="0" applyFont="1" applyAlignment="1">
      <alignment horizontal="center" vertical="top" shrinkToFit="1"/>
    </xf>
    <xf numFmtId="0" fontId="3" fillId="2" borderId="1" xfId="0" applyFont="1" applyFill="1" applyBorder="1" applyAlignment="1">
      <alignment horizontal="center" vertical="top"/>
    </xf>
    <xf numFmtId="0" fontId="2" fillId="0" borderId="3" xfId="0" applyFont="1" applyBorder="1" applyAlignment="1">
      <alignment vertical="top"/>
    </xf>
    <xf numFmtId="0" fontId="2" fillId="0" borderId="5" xfId="0" applyFont="1" applyBorder="1" applyAlignment="1">
      <alignment vertical="top"/>
    </xf>
    <xf numFmtId="43" fontId="2" fillId="0" borderId="0" xfId="1" applyFont="1" applyBorder="1" applyAlignment="1">
      <alignment vertical="top"/>
    </xf>
    <xf numFmtId="43" fontId="2" fillId="0" borderId="4" xfId="1" applyFont="1" applyBorder="1" applyAlignment="1">
      <alignment vertical="top"/>
    </xf>
    <xf numFmtId="43" fontId="2" fillId="0" borderId="7" xfId="1" applyFont="1" applyBorder="1" applyAlignment="1">
      <alignment vertical="top"/>
    </xf>
    <xf numFmtId="43" fontId="2" fillId="0" borderId="6" xfId="1" applyFont="1" applyBorder="1" applyAlignment="1">
      <alignment vertical="top"/>
    </xf>
    <xf numFmtId="0" fontId="0" fillId="0" borderId="4" xfId="0" applyBorder="1" applyAlignment="1">
      <alignment vertical="top"/>
    </xf>
    <xf numFmtId="37" fontId="2" fillId="0" borderId="4" xfId="0" applyNumberFormat="1" applyFont="1" applyBorder="1" applyAlignment="1">
      <alignment vertical="top"/>
    </xf>
    <xf numFmtId="37" fontId="2" fillId="0" borderId="7" xfId="0" applyNumberFormat="1" applyFont="1" applyBorder="1" applyAlignment="1">
      <alignment vertical="top"/>
    </xf>
    <xf numFmtId="37" fontId="2" fillId="0" borderId="6" xfId="0" applyNumberFormat="1" applyFont="1" applyBorder="1" applyAlignment="1">
      <alignment vertical="top"/>
    </xf>
    <xf numFmtId="0" fontId="0" fillId="0" borderId="3" xfId="0" applyBorder="1" applyAlignment="1">
      <alignment vertical="top"/>
    </xf>
    <xf numFmtId="0" fontId="0" fillId="0" borderId="5" xfId="0" applyBorder="1" applyAlignment="1">
      <alignment vertical="top"/>
    </xf>
    <xf numFmtId="43" fontId="0" fillId="0" borderId="0" xfId="1" applyFont="1" applyBorder="1" applyAlignment="1">
      <alignment vertical="top"/>
    </xf>
    <xf numFmtId="43" fontId="0" fillId="0" borderId="4" xfId="1" applyFont="1" applyBorder="1" applyAlignment="1">
      <alignment vertical="top"/>
    </xf>
    <xf numFmtId="43" fontId="0" fillId="0" borderId="6" xfId="1" applyFont="1" applyBorder="1" applyAlignment="1">
      <alignment vertical="top"/>
    </xf>
    <xf numFmtId="43" fontId="2" fillId="0" borderId="8" xfId="1" applyFont="1" applyBorder="1" applyAlignment="1">
      <alignment vertical="top"/>
    </xf>
    <xf numFmtId="43" fontId="2" fillId="0" borderId="2" xfId="1" applyFont="1" applyBorder="1" applyAlignment="1">
      <alignment vertical="top"/>
    </xf>
    <xf numFmtId="0" fontId="0" fillId="0" borderId="5" xfId="0" applyBorder="1"/>
    <xf numFmtId="0" fontId="0" fillId="0" borderId="7" xfId="0" applyBorder="1"/>
    <xf numFmtId="0" fontId="3" fillId="2" borderId="10" xfId="0" applyFont="1" applyFill="1" applyBorder="1" applyAlignment="1">
      <alignment horizontal="center" vertical="top"/>
    </xf>
    <xf numFmtId="0" fontId="3" fillId="2" borderId="11" xfId="0" applyFont="1" applyFill="1" applyBorder="1" applyAlignment="1">
      <alignment horizontal="center" vertical="top"/>
    </xf>
    <xf numFmtId="43" fontId="2" fillId="0" borderId="0" xfId="1" applyFont="1" applyAlignment="1">
      <alignment vertical="top"/>
    </xf>
    <xf numFmtId="43" fontId="0" fillId="0" borderId="0" xfId="1" applyFont="1" applyAlignment="1">
      <alignment vertical="top"/>
    </xf>
    <xf numFmtId="43" fontId="0" fillId="0" borderId="7" xfId="1" applyFont="1" applyBorder="1"/>
    <xf numFmtId="43" fontId="0" fillId="0" borderId="0" xfId="1" applyFont="1"/>
    <xf numFmtId="43" fontId="0" fillId="0" borderId="6" xfId="1" applyFont="1" applyBorder="1"/>
    <xf numFmtId="43" fontId="0" fillId="0" borderId="0" xfId="1" applyFont="1" applyBorder="1"/>
    <xf numFmtId="0" fontId="2" fillId="0" borderId="7" xfId="0" applyFont="1" applyBorder="1" applyAlignment="1">
      <alignment vertical="top"/>
    </xf>
    <xf numFmtId="43" fontId="0" fillId="0" borderId="4" xfId="1" applyFont="1" applyBorder="1"/>
    <xf numFmtId="0" fontId="3" fillId="2" borderId="12" xfId="0" applyFont="1" applyFill="1" applyBorder="1" applyAlignment="1">
      <alignment horizontal="center" vertical="top"/>
    </xf>
    <xf numFmtId="0" fontId="3" fillId="2" borderId="2" xfId="1" applyNumberFormat="1" applyFont="1" applyFill="1" applyBorder="1" applyAlignment="1">
      <alignment horizontal="center" vertical="top"/>
    </xf>
    <xf numFmtId="0" fontId="3" fillId="2" borderId="11" xfId="1" applyNumberFormat="1" applyFont="1" applyFill="1" applyBorder="1" applyAlignment="1">
      <alignment horizontal="center" vertical="top"/>
    </xf>
    <xf numFmtId="0" fontId="3" fillId="2" borderId="10" xfId="1" applyNumberFormat="1" applyFont="1" applyFill="1" applyBorder="1" applyAlignment="1">
      <alignment horizontal="center" vertical="top"/>
    </xf>
    <xf numFmtId="0" fontId="2" fillId="0" borderId="0" xfId="1" applyNumberFormat="1" applyFont="1" applyAlignment="1">
      <alignment horizontal="center" vertical="top" shrinkToFit="1"/>
    </xf>
    <xf numFmtId="0" fontId="5" fillId="0" borderId="0" xfId="0" applyFont="1"/>
    <xf numFmtId="0" fontId="10" fillId="4" borderId="12" xfId="0" applyFont="1" applyFill="1" applyBorder="1" applyAlignment="1">
      <alignment horizontal="center" vertical="top"/>
    </xf>
    <xf numFmtId="10" fontId="0" fillId="0" borderId="0" xfId="0" applyNumberFormat="1"/>
    <xf numFmtId="10" fontId="2" fillId="0" borderId="0" xfId="2" applyNumberFormat="1" applyFont="1" applyBorder="1" applyAlignment="1">
      <alignment vertical="top"/>
    </xf>
    <xf numFmtId="0" fontId="10" fillId="4" borderId="9" xfId="0" applyFont="1" applyFill="1" applyBorder="1" applyAlignment="1">
      <alignment horizontal="center" vertical="top"/>
    </xf>
    <xf numFmtId="0" fontId="3" fillId="2" borderId="9" xfId="1" applyNumberFormat="1" applyFont="1" applyFill="1" applyBorder="1" applyAlignment="1">
      <alignment horizontal="center" vertical="top"/>
    </xf>
    <xf numFmtId="9" fontId="0" fillId="0" borderId="0" xfId="0" applyNumberFormat="1"/>
    <xf numFmtId="0" fontId="4" fillId="2" borderId="1" xfId="0" applyFont="1" applyFill="1" applyBorder="1" applyAlignment="1">
      <alignment vertical="top"/>
    </xf>
    <xf numFmtId="43" fontId="2" fillId="0" borderId="0" xfId="0" applyNumberFormat="1" applyFont="1" applyAlignment="1">
      <alignment vertical="top"/>
    </xf>
    <xf numFmtId="37" fontId="2" fillId="0" borderId="0" xfId="0" applyNumberFormat="1" applyFont="1" applyAlignment="1">
      <alignment vertical="top"/>
    </xf>
    <xf numFmtId="0" fontId="6" fillId="0" borderId="3" xfId="0" applyFont="1" applyBorder="1" applyAlignment="1">
      <alignment vertical="center"/>
    </xf>
    <xf numFmtId="0" fontId="2" fillId="0" borderId="4" xfId="0" applyFont="1" applyBorder="1" applyAlignment="1">
      <alignment vertical="top"/>
    </xf>
    <xf numFmtId="37" fontId="7" fillId="0" borderId="3" xfId="0" applyNumberFormat="1" applyFont="1" applyBorder="1" applyAlignment="1">
      <alignment horizontal="left" vertical="center" wrapText="1" indent="1"/>
    </xf>
    <xf numFmtId="0" fontId="7" fillId="0" borderId="3" xfId="0" applyFont="1" applyBorder="1" applyAlignment="1">
      <alignment horizontal="left" vertical="center" indent="1"/>
    </xf>
    <xf numFmtId="0" fontId="7" fillId="0" borderId="3" xfId="0" applyFont="1" applyBorder="1" applyAlignment="1">
      <alignment vertical="center"/>
    </xf>
    <xf numFmtId="43" fontId="2" fillId="0" borderId="4" xfId="0" applyNumberFormat="1" applyFont="1" applyBorder="1" applyAlignment="1">
      <alignment vertical="top"/>
    </xf>
    <xf numFmtId="37" fontId="7" fillId="0" borderId="3" xfId="0" applyNumberFormat="1" applyFont="1" applyBorder="1" applyAlignment="1">
      <alignment horizontal="left" vertical="center" wrapText="1"/>
    </xf>
    <xf numFmtId="0" fontId="8" fillId="0" borderId="3" xfId="0" applyFont="1" applyBorder="1" applyAlignment="1">
      <alignment vertical="center"/>
    </xf>
    <xf numFmtId="164" fontId="7" fillId="0" borderId="3" xfId="1" applyNumberFormat="1" applyFont="1" applyFill="1" applyBorder="1" applyAlignment="1">
      <alignment vertical="center"/>
    </xf>
    <xf numFmtId="0" fontId="0" fillId="0" borderId="4" xfId="0" applyBorder="1"/>
    <xf numFmtId="0" fontId="8" fillId="0" borderId="5" xfId="0" applyFont="1" applyBorder="1" applyAlignment="1">
      <alignment vertical="center"/>
    </xf>
    <xf numFmtId="0" fontId="0" fillId="0" borderId="7" xfId="0" applyBorder="1" applyAlignment="1">
      <alignment vertical="top"/>
    </xf>
    <xf numFmtId="0" fontId="2" fillId="0" borderId="6" xfId="0" applyFont="1" applyBorder="1" applyAlignment="1">
      <alignment vertical="top"/>
    </xf>
    <xf numFmtId="0" fontId="6" fillId="3" borderId="1" xfId="0" applyFont="1" applyFill="1" applyBorder="1" applyAlignment="1">
      <alignment horizontal="left" vertical="center"/>
    </xf>
    <xf numFmtId="43" fontId="9" fillId="3" borderId="9" xfId="0" applyNumberFormat="1" applyFont="1" applyFill="1" applyBorder="1" applyAlignment="1">
      <alignment vertical="top"/>
    </xf>
    <xf numFmtId="0" fontId="9" fillId="3" borderId="2" xfId="0" applyFont="1" applyFill="1" applyBorder="1" applyAlignment="1">
      <alignment vertical="top"/>
    </xf>
    <xf numFmtId="37" fontId="7" fillId="0" borderId="5" xfId="0" applyNumberFormat="1" applyFont="1" applyBorder="1" applyAlignment="1">
      <alignment horizontal="left" vertical="center" wrapText="1"/>
    </xf>
    <xf numFmtId="43" fontId="2" fillId="0" borderId="7" xfId="0" applyNumberFormat="1" applyFont="1" applyBorder="1" applyAlignment="1">
      <alignment vertical="top"/>
    </xf>
    <xf numFmtId="43" fontId="9" fillId="3" borderId="2" xfId="1" applyFont="1" applyFill="1" applyBorder="1" applyAlignment="1">
      <alignment vertical="top"/>
    </xf>
    <xf numFmtId="0" fontId="7" fillId="0" borderId="5" xfId="0" applyFont="1" applyBorder="1" applyAlignment="1">
      <alignment horizontal="left" vertical="center" indent="1"/>
    </xf>
    <xf numFmtId="43" fontId="2" fillId="0" borderId="6" xfId="0" applyNumberFormat="1" applyFont="1" applyBorder="1" applyAlignment="1">
      <alignment vertical="top"/>
    </xf>
    <xf numFmtId="0" fontId="0" fillId="0" borderId="3" xfId="0" applyBorder="1"/>
    <xf numFmtId="164" fontId="7" fillId="0" borderId="5" xfId="1" applyNumberFormat="1" applyFont="1" applyFill="1" applyBorder="1" applyAlignment="1">
      <alignment vertical="center"/>
    </xf>
    <xf numFmtId="43" fontId="2" fillId="0" borderId="11" xfId="1" applyFont="1" applyBorder="1" applyAlignment="1">
      <alignment vertical="top"/>
    </xf>
    <xf numFmtId="0" fontId="11" fillId="0" borderId="0" xfId="0" applyFont="1"/>
    <xf numFmtId="3" fontId="11" fillId="0" borderId="0" xfId="0" applyNumberFormat="1" applyFont="1"/>
    <xf numFmtId="4" fontId="11" fillId="0" borderId="0" xfId="0" applyNumberFormat="1" applyFont="1"/>
    <xf numFmtId="0" fontId="13" fillId="0" borderId="0" xfId="0" applyFont="1"/>
    <xf numFmtId="0" fontId="3" fillId="2" borderId="1" xfId="0" applyFont="1" applyFill="1" applyBorder="1" applyAlignment="1">
      <alignment vertical="top"/>
    </xf>
    <xf numFmtId="0" fontId="11" fillId="0" borderId="3" xfId="0" applyFont="1" applyBorder="1"/>
    <xf numFmtId="10" fontId="12" fillId="0" borderId="0" xfId="0" applyNumberFormat="1" applyFont="1"/>
    <xf numFmtId="0" fontId="11" fillId="0" borderId="4" xfId="0" applyFont="1" applyBorder="1"/>
    <xf numFmtId="10" fontId="11" fillId="0" borderId="0" xfId="0" applyNumberFormat="1" applyFont="1"/>
    <xf numFmtId="0" fontId="11" fillId="0" borderId="5" xfId="0" applyFont="1" applyBorder="1"/>
    <xf numFmtId="0" fontId="12" fillId="0" borderId="7" xfId="0" applyFont="1" applyBorder="1"/>
    <xf numFmtId="0" fontId="11" fillId="0" borderId="7" xfId="0" applyFont="1" applyBorder="1"/>
    <xf numFmtId="0" fontId="11" fillId="0" borderId="6" xfId="0" applyFont="1" applyBorder="1"/>
    <xf numFmtId="43" fontId="0" fillId="0" borderId="0" xfId="0" applyNumberFormat="1"/>
    <xf numFmtId="9" fontId="0" fillId="0" borderId="0" xfId="2" applyFont="1"/>
    <xf numFmtId="0" fontId="2" fillId="0" borderId="3" xfId="0" applyFont="1" applyBorder="1" applyAlignment="1">
      <alignment horizontal="left" vertical="top" indent="1"/>
    </xf>
    <xf numFmtId="0" fontId="16" fillId="0" borderId="0" xfId="0" applyFont="1"/>
    <xf numFmtId="0" fontId="18" fillId="0" borderId="0" xfId="0" applyFont="1"/>
    <xf numFmtId="0" fontId="7" fillId="0" borderId="0" xfId="0" applyFont="1"/>
    <xf numFmtId="0" fontId="17" fillId="0" borderId="0" xfId="0" applyFont="1"/>
    <xf numFmtId="0" fontId="16" fillId="0" borderId="0" xfId="0" applyFont="1" applyAlignment="1">
      <alignment horizontal="center"/>
    </xf>
    <xf numFmtId="0" fontId="20" fillId="0" borderId="0" xfId="0" applyFont="1"/>
    <xf numFmtId="166" fontId="16" fillId="0" borderId="0" xfId="3" applyNumberFormat="1" applyFont="1" applyBorder="1"/>
    <xf numFmtId="0" fontId="21" fillId="0" borderId="0" xfId="0" applyFont="1"/>
    <xf numFmtId="0" fontId="22" fillId="0" borderId="0" xfId="0" applyFont="1" applyAlignment="1">
      <alignment horizontal="centerContinuous"/>
    </xf>
    <xf numFmtId="2" fontId="23" fillId="0" borderId="0" xfId="2" applyNumberFormat="1" applyFont="1" applyFill="1" applyBorder="1"/>
    <xf numFmtId="165" fontId="23" fillId="0" borderId="0" xfId="2" applyNumberFormat="1" applyFont="1" applyFill="1" applyBorder="1"/>
    <xf numFmtId="0" fontId="22" fillId="0" borderId="0" xfId="0" applyFont="1"/>
    <xf numFmtId="0" fontId="25" fillId="0" borderId="0" xfId="4" applyFont="1"/>
    <xf numFmtId="10" fontId="19" fillId="0" borderId="0" xfId="2" applyNumberFormat="1" applyFont="1" applyFill="1" applyBorder="1"/>
    <xf numFmtId="0" fontId="26" fillId="0" borderId="0" xfId="0" applyFont="1" applyAlignment="1">
      <alignment horizontal="left" vertical="top" wrapText="1"/>
    </xf>
    <xf numFmtId="0" fontId="27" fillId="0" borderId="0" xfId="0" applyFont="1" applyAlignment="1">
      <alignment horizontal="left" vertical="top" wrapText="1" indent="1"/>
    </xf>
    <xf numFmtId="0" fontId="9" fillId="0" borderId="0" xfId="0" applyFont="1" applyAlignment="1">
      <alignment vertical="top"/>
    </xf>
    <xf numFmtId="0" fontId="9" fillId="0" borderId="0" xfId="0" applyFont="1" applyAlignment="1">
      <alignment horizontal="left" vertical="top" indent="1"/>
    </xf>
    <xf numFmtId="10" fontId="5" fillId="0" borderId="0" xfId="0" applyNumberFormat="1" applyFont="1"/>
    <xf numFmtId="0" fontId="29" fillId="0" borderId="32" xfId="0" applyFont="1" applyBorder="1"/>
    <xf numFmtId="0" fontId="29" fillId="0" borderId="0" xfId="0" applyFont="1"/>
    <xf numFmtId="0" fontId="30" fillId="0" borderId="0" xfId="0" applyFont="1"/>
    <xf numFmtId="0" fontId="28" fillId="0" borderId="17" xfId="0" applyFont="1" applyBorder="1"/>
    <xf numFmtId="10" fontId="29" fillId="0" borderId="32" xfId="0" applyNumberFormat="1" applyFont="1" applyBorder="1"/>
    <xf numFmtId="10" fontId="29" fillId="0" borderId="36" xfId="0" applyNumberFormat="1" applyFont="1" applyBorder="1"/>
    <xf numFmtId="0" fontId="33" fillId="0" borderId="0" xfId="0" applyFont="1"/>
    <xf numFmtId="0" fontId="34" fillId="0" borderId="0" xfId="0" applyFont="1"/>
    <xf numFmtId="0" fontId="32" fillId="0" borderId="28" xfId="0" applyFont="1" applyBorder="1"/>
    <xf numFmtId="0" fontId="36" fillId="0" borderId="27" xfId="0" applyFont="1" applyBorder="1"/>
    <xf numFmtId="0" fontId="32" fillId="0" borderId="27" xfId="0" applyFont="1" applyBorder="1"/>
    <xf numFmtId="0" fontId="34" fillId="0" borderId="0" xfId="0" quotePrefix="1" applyFont="1"/>
    <xf numFmtId="0" fontId="37" fillId="0" borderId="0" xfId="0" applyFont="1"/>
    <xf numFmtId="0" fontId="3" fillId="2" borderId="0" xfId="0" applyFont="1" applyFill="1" applyAlignment="1">
      <alignment horizontal="center" vertical="top"/>
    </xf>
    <xf numFmtId="0" fontId="38" fillId="0" borderId="0" xfId="0" applyFont="1"/>
    <xf numFmtId="168" fontId="0" fillId="0" borderId="0" xfId="0" applyNumberFormat="1" applyAlignment="1">
      <alignment vertical="top"/>
    </xf>
    <xf numFmtId="0" fontId="2" fillId="0" borderId="0" xfId="0" applyFont="1" applyAlignment="1">
      <alignment horizontal="left" vertical="top" indent="1"/>
    </xf>
    <xf numFmtId="0" fontId="10" fillId="4" borderId="0" xfId="0" applyFont="1" applyFill="1" applyAlignment="1">
      <alignment horizontal="center" vertical="center"/>
    </xf>
    <xf numFmtId="0" fontId="3" fillId="2" borderId="0" xfId="1" applyNumberFormat="1" applyFont="1" applyFill="1" applyBorder="1" applyAlignment="1">
      <alignment horizontal="center" vertical="center"/>
    </xf>
    <xf numFmtId="0" fontId="2" fillId="0" borderId="3" xfId="0" applyFont="1" applyBorder="1" applyAlignment="1">
      <alignment horizontal="left" vertical="center" wrapText="1" indent="2"/>
    </xf>
    <xf numFmtId="0" fontId="2" fillId="0" borderId="0" xfId="0" applyFont="1" applyAlignment="1">
      <alignment horizontal="left" vertical="top" wrapText="1" indent="1"/>
    </xf>
    <xf numFmtId="0" fontId="2" fillId="0" borderId="0" xfId="0" applyFont="1" applyAlignment="1">
      <alignment horizontal="left" vertical="top" indent="2"/>
    </xf>
    <xf numFmtId="43" fontId="9" fillId="0" borderId="0" xfId="1" applyFont="1" applyBorder="1" applyAlignment="1">
      <alignment vertical="top"/>
    </xf>
    <xf numFmtId="10" fontId="9" fillId="0" borderId="0" xfId="2" applyNumberFormat="1" applyFont="1" applyBorder="1" applyAlignment="1">
      <alignment vertical="top"/>
    </xf>
    <xf numFmtId="0" fontId="40" fillId="0" borderId="0" xfId="0" applyFont="1"/>
    <xf numFmtId="0" fontId="2" fillId="0" borderId="0" xfId="0" applyFont="1" applyAlignment="1">
      <alignment horizontal="left" vertical="top" indent="3"/>
    </xf>
    <xf numFmtId="0" fontId="2" fillId="0" borderId="0" xfId="0" applyFont="1" applyAlignment="1">
      <alignment horizontal="left" vertical="top" indent="4"/>
    </xf>
    <xf numFmtId="0" fontId="9" fillId="0" borderId="0" xfId="0" applyFont="1" applyAlignment="1">
      <alignment horizontal="left" vertical="top" indent="2"/>
    </xf>
    <xf numFmtId="0" fontId="5" fillId="0" borderId="0" xfId="0" applyFont="1" applyAlignment="1">
      <alignment vertical="top"/>
    </xf>
    <xf numFmtId="168" fontId="5" fillId="0" borderId="0" xfId="0" applyNumberFormat="1" applyFont="1" applyAlignment="1">
      <alignment vertical="top"/>
    </xf>
    <xf numFmtId="169" fontId="41" fillId="0" borderId="0" xfId="0" applyNumberFormat="1" applyFont="1"/>
    <xf numFmtId="0" fontId="42" fillId="7" borderId="0" xfId="0" applyFont="1" applyFill="1"/>
    <xf numFmtId="8" fontId="32" fillId="0" borderId="0" xfId="0" applyNumberFormat="1" applyFont="1"/>
    <xf numFmtId="167" fontId="42" fillId="7" borderId="0" xfId="0" applyNumberFormat="1" applyFont="1" applyFill="1"/>
    <xf numFmtId="168" fontId="42" fillId="7" borderId="0" xfId="0" applyNumberFormat="1" applyFont="1" applyFill="1"/>
    <xf numFmtId="44" fontId="2" fillId="0" borderId="0" xfId="2" applyNumberFormat="1" applyFont="1" applyBorder="1" applyAlignment="1">
      <alignment vertical="top"/>
    </xf>
    <xf numFmtId="0" fontId="43" fillId="0" borderId="0" xfId="0" applyFont="1"/>
    <xf numFmtId="10" fontId="38" fillId="0" borderId="0" xfId="0" applyNumberFormat="1" applyFont="1"/>
    <xf numFmtId="168" fontId="39" fillId="0" borderId="0" xfId="0" applyNumberFormat="1" applyFont="1" applyAlignment="1">
      <alignment vertical="top"/>
    </xf>
    <xf numFmtId="10" fontId="9" fillId="0" borderId="0" xfId="0" applyNumberFormat="1" applyFont="1" applyAlignment="1">
      <alignment vertical="top"/>
    </xf>
    <xf numFmtId="10" fontId="2" fillId="0" borderId="0" xfId="0" applyNumberFormat="1" applyFont="1" applyAlignment="1">
      <alignment vertical="top"/>
    </xf>
    <xf numFmtId="43" fontId="32" fillId="0" borderId="0" xfId="0" applyNumberFormat="1" applyFont="1"/>
    <xf numFmtId="0" fontId="44" fillId="0" borderId="13" xfId="0" applyFont="1" applyBorder="1" applyAlignment="1">
      <alignment wrapText="1"/>
    </xf>
    <xf numFmtId="0" fontId="45" fillId="0" borderId="13" xfId="0" applyFont="1" applyBorder="1" applyAlignment="1">
      <alignment wrapText="1"/>
    </xf>
    <xf numFmtId="0" fontId="46" fillId="0" borderId="37" xfId="0" applyFont="1" applyBorder="1" applyAlignment="1">
      <alignment wrapText="1"/>
    </xf>
    <xf numFmtId="167" fontId="32" fillId="0" borderId="0" xfId="0" applyNumberFormat="1" applyFont="1"/>
    <xf numFmtId="167" fontId="0" fillId="0" borderId="0" xfId="0" applyNumberFormat="1"/>
    <xf numFmtId="2" fontId="36" fillId="0" borderId="0" xfId="0" applyNumberFormat="1" applyFont="1"/>
    <xf numFmtId="0" fontId="47" fillId="0" borderId="0" xfId="0" applyFont="1"/>
    <xf numFmtId="43" fontId="42" fillId="7" borderId="0" xfId="0" applyNumberFormat="1" applyFont="1" applyFill="1"/>
    <xf numFmtId="43" fontId="2" fillId="0" borderId="15" xfId="1" applyFont="1" applyBorder="1" applyAlignment="1">
      <alignment vertical="top"/>
    </xf>
    <xf numFmtId="10" fontId="28" fillId="0" borderId="0" xfId="0" applyNumberFormat="1" applyFont="1"/>
    <xf numFmtId="0" fontId="4" fillId="2" borderId="0" xfId="0" applyFont="1" applyFill="1" applyAlignment="1">
      <alignment vertical="top"/>
    </xf>
    <xf numFmtId="0" fontId="10" fillId="4" borderId="0" xfId="0" applyFont="1" applyFill="1" applyAlignment="1">
      <alignment horizontal="center" vertical="top"/>
    </xf>
    <xf numFmtId="0" fontId="3" fillId="2" borderId="0" xfId="1" applyNumberFormat="1" applyFont="1" applyFill="1" applyBorder="1" applyAlignment="1">
      <alignment horizontal="center" vertical="top"/>
    </xf>
    <xf numFmtId="0" fontId="9" fillId="0" borderId="38" xfId="0" applyFont="1" applyBorder="1" applyAlignment="1">
      <alignment vertical="top"/>
    </xf>
    <xf numFmtId="43" fontId="9" fillId="0" borderId="38" xfId="0" applyNumberFormat="1" applyFont="1" applyBorder="1" applyAlignment="1">
      <alignment vertical="top"/>
    </xf>
    <xf numFmtId="43" fontId="48" fillId="0" borderId="0" xfId="0" applyNumberFormat="1" applyFont="1"/>
    <xf numFmtId="43" fontId="9" fillId="0" borderId="0" xfId="0" applyNumberFormat="1" applyFont="1" applyAlignment="1">
      <alignment vertical="top"/>
    </xf>
    <xf numFmtId="10" fontId="32" fillId="0" borderId="0" xfId="0" applyNumberFormat="1" applyFont="1"/>
    <xf numFmtId="0" fontId="45" fillId="0" borderId="0" xfId="0" applyFont="1"/>
    <xf numFmtId="0" fontId="51" fillId="0" borderId="0" xfId="0" applyFont="1" applyAlignment="1">
      <alignment wrapText="1"/>
    </xf>
    <xf numFmtId="0" fontId="52" fillId="0" borderId="0" xfId="0" applyFont="1"/>
    <xf numFmtId="0" fontId="54" fillId="0" borderId="0" xfId="0" applyFont="1"/>
    <xf numFmtId="0" fontId="43" fillId="9" borderId="0" xfId="0" applyFont="1" applyFill="1" applyAlignment="1">
      <alignment wrapText="1"/>
    </xf>
    <xf numFmtId="0" fontId="52" fillId="0" borderId="0" xfId="0" applyFont="1" applyAlignment="1">
      <alignment wrapText="1"/>
    </xf>
    <xf numFmtId="10" fontId="52" fillId="0" borderId="0" xfId="0" applyNumberFormat="1" applyFont="1" applyAlignment="1">
      <alignment wrapText="1"/>
    </xf>
    <xf numFmtId="0" fontId="52" fillId="0" borderId="0" xfId="0" quotePrefix="1" applyFont="1" applyAlignment="1">
      <alignment wrapText="1"/>
    </xf>
    <xf numFmtId="4" fontId="47" fillId="0" borderId="0" xfId="0" applyNumberFormat="1" applyFont="1"/>
    <xf numFmtId="0" fontId="55" fillId="0" borderId="0" xfId="0" applyFont="1"/>
    <xf numFmtId="0" fontId="51" fillId="0" borderId="0" xfId="0" quotePrefix="1" applyFont="1"/>
    <xf numFmtId="43" fontId="2" fillId="0" borderId="15" xfId="0" applyNumberFormat="1" applyFont="1" applyBorder="1" applyAlignment="1">
      <alignment vertical="top"/>
    </xf>
    <xf numFmtId="10" fontId="2" fillId="0" borderId="0" xfId="1" applyNumberFormat="1" applyFont="1" applyBorder="1" applyAlignment="1">
      <alignment vertical="top"/>
    </xf>
    <xf numFmtId="43" fontId="40" fillId="0" borderId="0" xfId="0" applyNumberFormat="1" applyFont="1"/>
    <xf numFmtId="0" fontId="56" fillId="0" borderId="0" xfId="0" applyFont="1" applyAlignment="1">
      <alignment horizontal="left" vertical="top" indent="2"/>
    </xf>
    <xf numFmtId="10" fontId="57" fillId="0" borderId="0" xfId="0" applyNumberFormat="1" applyFont="1"/>
    <xf numFmtId="0" fontId="57" fillId="0" borderId="0" xfId="0" applyFont="1"/>
    <xf numFmtId="43" fontId="57" fillId="0" borderId="0" xfId="0" applyNumberFormat="1" applyFont="1"/>
    <xf numFmtId="168" fontId="39" fillId="0" borderId="15" xfId="0" applyNumberFormat="1" applyFont="1" applyBorder="1" applyAlignment="1">
      <alignment vertical="top"/>
    </xf>
    <xf numFmtId="168" fontId="32" fillId="0" borderId="0" xfId="0" applyNumberFormat="1" applyFont="1"/>
    <xf numFmtId="43" fontId="58" fillId="0" borderId="15" xfId="0" applyNumberFormat="1" applyFont="1" applyBorder="1"/>
    <xf numFmtId="43" fontId="36" fillId="0" borderId="15" xfId="0" applyNumberFormat="1" applyFont="1" applyBorder="1"/>
    <xf numFmtId="43" fontId="58" fillId="0" borderId="39" xfId="0" applyNumberFormat="1" applyFont="1" applyBorder="1"/>
    <xf numFmtId="43" fontId="36" fillId="0" borderId="39" xfId="0" applyNumberFormat="1" applyFont="1" applyBorder="1"/>
    <xf numFmtId="0" fontId="59" fillId="0" borderId="0" xfId="0" applyFont="1"/>
    <xf numFmtId="0" fontId="32" fillId="0" borderId="29" xfId="0" applyFont="1" applyBorder="1"/>
    <xf numFmtId="0" fontId="32" fillId="0" borderId="30" xfId="0" applyFont="1" applyBorder="1"/>
    <xf numFmtId="0" fontId="63" fillId="0" borderId="0" xfId="0" applyFont="1"/>
    <xf numFmtId="0" fontId="64" fillId="0" borderId="0" xfId="0" quotePrefix="1" applyFont="1"/>
    <xf numFmtId="0" fontId="65" fillId="0" borderId="0" xfId="0" applyFont="1"/>
    <xf numFmtId="14" fontId="64" fillId="0" borderId="0" xfId="0" applyNumberFormat="1" applyFont="1"/>
    <xf numFmtId="0" fontId="67" fillId="0" borderId="16" xfId="0" applyFont="1" applyBorder="1"/>
    <xf numFmtId="0" fontId="67" fillId="0" borderId="0" xfId="0" applyFont="1"/>
    <xf numFmtId="0" fontId="71" fillId="0" borderId="0" xfId="0" applyFont="1"/>
    <xf numFmtId="171" fontId="0" fillId="0" borderId="0" xfId="0" applyNumberFormat="1"/>
    <xf numFmtId="165" fontId="70" fillId="0" borderId="0" xfId="0" applyNumberFormat="1" applyFont="1"/>
    <xf numFmtId="10" fontId="70" fillId="0" borderId="0" xfId="0" applyNumberFormat="1" applyFont="1"/>
    <xf numFmtId="172" fontId="0" fillId="0" borderId="0" xfId="0" applyNumberFormat="1"/>
    <xf numFmtId="172" fontId="5" fillId="0" borderId="0" xfId="0" applyNumberFormat="1" applyFont="1"/>
    <xf numFmtId="170" fontId="5" fillId="0" borderId="0" xfId="0" applyNumberFormat="1" applyFont="1"/>
    <xf numFmtId="0" fontId="5" fillId="0" borderId="7" xfId="0" applyFont="1" applyBorder="1"/>
    <xf numFmtId="0" fontId="55" fillId="9" borderId="0" xfId="0" applyFont="1" applyFill="1" applyAlignment="1">
      <alignment wrapText="1"/>
    </xf>
    <xf numFmtId="0" fontId="72" fillId="9" borderId="0" xfId="0" applyFont="1" applyFill="1" applyAlignment="1">
      <alignment wrapText="1"/>
    </xf>
    <xf numFmtId="0" fontId="7" fillId="0" borderId="0" xfId="0" applyFont="1" applyAlignment="1">
      <alignment wrapText="1"/>
    </xf>
    <xf numFmtId="0" fontId="52" fillId="0" borderId="0" xfId="0" quotePrefix="1" applyFont="1"/>
    <xf numFmtId="0" fontId="55" fillId="0" borderId="0" xfId="0" quotePrefix="1" applyFont="1"/>
    <xf numFmtId="165" fontId="0" fillId="0" borderId="0" xfId="0" applyNumberFormat="1"/>
    <xf numFmtId="0" fontId="48" fillId="0" borderId="0" xfId="0" applyFont="1"/>
    <xf numFmtId="173" fontId="0" fillId="0" borderId="0" xfId="0" applyNumberFormat="1"/>
    <xf numFmtId="0" fontId="53" fillId="2" borderId="0" xfId="0" applyFont="1" applyFill="1"/>
    <xf numFmtId="43" fontId="52" fillId="0" borderId="0" xfId="1" applyFont="1" applyAlignment="1">
      <alignment wrapText="1"/>
    </xf>
    <xf numFmtId="43" fontId="52" fillId="0" borderId="0" xfId="1" applyFont="1"/>
    <xf numFmtId="43" fontId="55" fillId="0" borderId="0" xfId="1" applyFont="1" applyAlignment="1">
      <alignment wrapText="1"/>
    </xf>
    <xf numFmtId="43" fontId="52" fillId="0" borderId="0" xfId="1" quotePrefix="1" applyFont="1" applyAlignment="1">
      <alignment wrapText="1"/>
    </xf>
    <xf numFmtId="43" fontId="55" fillId="0" borderId="15" xfId="1" applyFont="1" applyBorder="1" applyAlignment="1">
      <alignment wrapText="1"/>
    </xf>
    <xf numFmtId="3" fontId="0" fillId="0" borderId="0" xfId="0" applyNumberFormat="1"/>
    <xf numFmtId="4" fontId="0" fillId="0" borderId="0" xfId="0" applyNumberFormat="1"/>
    <xf numFmtId="173" fontId="5" fillId="0" borderId="0" xfId="0" applyNumberFormat="1" applyFont="1"/>
    <xf numFmtId="0" fontId="5" fillId="0" borderId="9" xfId="0" applyFont="1" applyBorder="1"/>
    <xf numFmtId="0" fontId="5" fillId="0" borderId="44" xfId="0" applyFont="1" applyBorder="1"/>
    <xf numFmtId="0" fontId="0" fillId="0" borderId="44" xfId="0" applyBorder="1"/>
    <xf numFmtId="3" fontId="5" fillId="0" borderId="44" xfId="0" applyNumberFormat="1" applyFont="1" applyBorder="1"/>
    <xf numFmtId="172" fontId="5" fillId="0" borderId="44" xfId="0" applyNumberFormat="1" applyFont="1" applyBorder="1"/>
    <xf numFmtId="0" fontId="5" fillId="0" borderId="45" xfId="0" applyFont="1" applyBorder="1"/>
    <xf numFmtId="172" fontId="5" fillId="0" borderId="45" xfId="0" applyNumberFormat="1" applyFont="1" applyBorder="1"/>
    <xf numFmtId="173" fontId="5" fillId="0" borderId="9" xfId="0" applyNumberFormat="1" applyFont="1" applyBorder="1"/>
    <xf numFmtId="0" fontId="5" fillId="0" borderId="46" xfId="0" applyFont="1" applyBorder="1"/>
    <xf numFmtId="170" fontId="5" fillId="0" borderId="46" xfId="0" applyNumberFormat="1" applyFont="1" applyBorder="1"/>
    <xf numFmtId="10" fontId="29" fillId="0" borderId="0" xfId="0" applyNumberFormat="1" applyFont="1"/>
    <xf numFmtId="10" fontId="29" fillId="0" borderId="28" xfId="0" applyNumberFormat="1" applyFont="1" applyBorder="1"/>
    <xf numFmtId="10" fontId="29" fillId="0" borderId="0" xfId="2" applyNumberFormat="1" applyFont="1" applyBorder="1"/>
    <xf numFmtId="10" fontId="29" fillId="0" borderId="28" xfId="2" applyNumberFormat="1" applyFont="1" applyBorder="1"/>
    <xf numFmtId="0" fontId="28" fillId="0" borderId="29" xfId="0" applyFont="1" applyBorder="1"/>
    <xf numFmtId="10" fontId="29" fillId="0" borderId="30" xfId="0" applyNumberFormat="1" applyFont="1" applyBorder="1"/>
    <xf numFmtId="10" fontId="29" fillId="0" borderId="31" xfId="0" applyNumberFormat="1" applyFont="1" applyBorder="1"/>
    <xf numFmtId="0" fontId="28" fillId="6" borderId="47" xfId="0" applyFont="1" applyFill="1" applyBorder="1"/>
    <xf numFmtId="0" fontId="28" fillId="0" borderId="24" xfId="0" quotePrefix="1" applyFont="1" applyBorder="1"/>
    <xf numFmtId="0" fontId="29" fillId="0" borderId="26" xfId="0" applyFont="1" applyBorder="1"/>
    <xf numFmtId="0" fontId="28" fillId="0" borderId="27" xfId="0" quotePrefix="1" applyFont="1" applyBorder="1"/>
    <xf numFmtId="0" fontId="28" fillId="0" borderId="31" xfId="0" applyFont="1" applyBorder="1"/>
    <xf numFmtId="0" fontId="73" fillId="2" borderId="49" xfId="0" applyFont="1" applyFill="1" applyBorder="1"/>
    <xf numFmtId="0" fontId="29" fillId="0" borderId="31" xfId="0" applyFont="1" applyBorder="1"/>
    <xf numFmtId="0" fontId="32" fillId="0" borderId="50" xfId="0" applyFont="1" applyBorder="1"/>
    <xf numFmtId="0" fontId="32" fillId="0" borderId="51" xfId="0" applyFont="1" applyBorder="1"/>
    <xf numFmtId="0" fontId="74" fillId="0" borderId="0" xfId="0" applyFont="1"/>
    <xf numFmtId="0" fontId="36" fillId="0" borderId="52" xfId="0" applyFont="1" applyBorder="1"/>
    <xf numFmtId="0" fontId="36" fillId="0" borderId="47" xfId="0" applyFont="1" applyBorder="1"/>
    <xf numFmtId="0" fontId="2" fillId="0" borderId="27" xfId="0" applyFont="1" applyBorder="1" applyAlignment="1">
      <alignment horizontal="left" vertical="top" indent="1"/>
    </xf>
    <xf numFmtId="0" fontId="28" fillId="12" borderId="47" xfId="0" applyFont="1" applyFill="1" applyBorder="1"/>
    <xf numFmtId="0" fontId="28" fillId="12" borderId="48" xfId="0" applyFont="1" applyFill="1" applyBorder="1"/>
    <xf numFmtId="0" fontId="29" fillId="12" borderId="49" xfId="0" applyFont="1" applyFill="1" applyBorder="1"/>
    <xf numFmtId="0" fontId="7" fillId="0" borderId="48" xfId="0" applyFont="1" applyBorder="1"/>
    <xf numFmtId="0" fontId="7" fillId="12" borderId="48" xfId="0" applyFont="1" applyFill="1" applyBorder="1"/>
    <xf numFmtId="0" fontId="33" fillId="0" borderId="35" xfId="0" applyFont="1" applyBorder="1"/>
    <xf numFmtId="10" fontId="66" fillId="0" borderId="0" xfId="0" applyNumberFormat="1" applyFont="1"/>
    <xf numFmtId="10" fontId="66" fillId="0" borderId="28" xfId="0" applyNumberFormat="1" applyFont="1" applyBorder="1"/>
    <xf numFmtId="0" fontId="17" fillId="0" borderId="14" xfId="0" applyFont="1" applyBorder="1"/>
    <xf numFmtId="0" fontId="17" fillId="0" borderId="33" xfId="0" applyFont="1" applyBorder="1"/>
    <xf numFmtId="0" fontId="17" fillId="0" borderId="34" xfId="0" applyFont="1" applyBorder="1"/>
    <xf numFmtId="0" fontId="32" fillId="0" borderId="40" xfId="0" applyFont="1" applyBorder="1" applyAlignment="1">
      <alignment horizontal="right" wrapText="1"/>
    </xf>
    <xf numFmtId="0" fontId="32" fillId="0" borderId="41" xfId="0" applyFont="1" applyBorder="1" applyAlignment="1">
      <alignment horizontal="right" wrapText="1"/>
    </xf>
    <xf numFmtId="0" fontId="32" fillId="0" borderId="42" xfId="0" applyFont="1" applyBorder="1" applyAlignment="1">
      <alignment horizontal="right" wrapText="1"/>
    </xf>
    <xf numFmtId="0" fontId="36" fillId="0" borderId="21" xfId="0" applyFont="1" applyBorder="1"/>
    <xf numFmtId="0" fontId="17" fillId="0" borderId="23" xfId="0" applyFont="1" applyBorder="1"/>
    <xf numFmtId="0" fontId="36" fillId="0" borderId="16" xfId="0" applyFont="1" applyBorder="1"/>
    <xf numFmtId="43" fontId="17" fillId="0" borderId="17" xfId="0" applyNumberFormat="1" applyFont="1" applyBorder="1"/>
    <xf numFmtId="0" fontId="17" fillId="0" borderId="17" xfId="0" applyFont="1" applyBorder="1"/>
    <xf numFmtId="0" fontId="36" fillId="0" borderId="18" xfId="0" applyFont="1" applyBorder="1"/>
    <xf numFmtId="43" fontId="17" fillId="0" borderId="20" xfId="0" applyNumberFormat="1" applyFont="1" applyBorder="1"/>
    <xf numFmtId="43" fontId="32" fillId="0" borderId="26" xfId="0" applyNumberFormat="1" applyFont="1" applyBorder="1"/>
    <xf numFmtId="43" fontId="29" fillId="0" borderId="28" xfId="1" applyFont="1" applyBorder="1"/>
    <xf numFmtId="43" fontId="32" fillId="0" borderId="28" xfId="0" applyNumberFormat="1" applyFont="1" applyBorder="1"/>
    <xf numFmtId="43" fontId="36" fillId="0" borderId="31" xfId="0" applyNumberFormat="1" applyFont="1" applyBorder="1"/>
    <xf numFmtId="0" fontId="77" fillId="0" borderId="0" xfId="0" applyFont="1"/>
    <xf numFmtId="43" fontId="36" fillId="0" borderId="49" xfId="0" applyNumberFormat="1" applyFont="1" applyBorder="1"/>
    <xf numFmtId="15" fontId="78" fillId="0" borderId="0" xfId="0" applyNumberFormat="1" applyFont="1"/>
    <xf numFmtId="0" fontId="2" fillId="0" borderId="0" xfId="0" applyFont="1"/>
    <xf numFmtId="0" fontId="80" fillId="0" borderId="0" xfId="0" applyFont="1"/>
    <xf numFmtId="0" fontId="49" fillId="0" borderId="16" xfId="0" applyFont="1" applyBorder="1"/>
    <xf numFmtId="0" fontId="49" fillId="0" borderId="22" xfId="0" applyFont="1" applyBorder="1"/>
    <xf numFmtId="0" fontId="49" fillId="0" borderId="21" xfId="0" applyFont="1" applyBorder="1"/>
    <xf numFmtId="0" fontId="31" fillId="0" borderId="23" xfId="0" applyFont="1" applyBorder="1"/>
    <xf numFmtId="0" fontId="31" fillId="0" borderId="17" xfId="0" applyFont="1" applyBorder="1"/>
    <xf numFmtId="0" fontId="49" fillId="0" borderId="18" xfId="0" applyFont="1" applyBorder="1"/>
    <xf numFmtId="0" fontId="31" fillId="0" borderId="20" xfId="0" applyFont="1" applyBorder="1"/>
    <xf numFmtId="0" fontId="83" fillId="0" borderId="21" xfId="0" applyFont="1" applyBorder="1"/>
    <xf numFmtId="0" fontId="83" fillId="0" borderId="16" xfId="0" applyFont="1" applyBorder="1"/>
    <xf numFmtId="0" fontId="83" fillId="0" borderId="18" xfId="0" applyFont="1" applyBorder="1"/>
    <xf numFmtId="0" fontId="84" fillId="2" borderId="48" xfId="0" applyFont="1" applyFill="1" applyBorder="1"/>
    <xf numFmtId="0" fontId="84" fillId="2" borderId="49" xfId="0" applyFont="1" applyFill="1" applyBorder="1"/>
    <xf numFmtId="0" fontId="73" fillId="2" borderId="24" xfId="0" applyFont="1" applyFill="1" applyBorder="1"/>
    <xf numFmtId="0" fontId="28" fillId="6" borderId="48" xfId="0" applyFont="1" applyFill="1" applyBorder="1"/>
    <xf numFmtId="0" fontId="28" fillId="6" borderId="49" xfId="0" applyFont="1" applyFill="1" applyBorder="1"/>
    <xf numFmtId="0" fontId="73" fillId="2" borderId="47" xfId="0" applyFont="1" applyFill="1" applyBorder="1" applyAlignment="1">
      <alignment horizontal="left" vertical="top"/>
    </xf>
    <xf numFmtId="0" fontId="73" fillId="2" borderId="48" xfId="0" applyFont="1" applyFill="1" applyBorder="1" applyAlignment="1">
      <alignment horizontal="left" vertical="top"/>
    </xf>
    <xf numFmtId="0" fontId="73" fillId="2" borderId="49" xfId="0" applyFont="1" applyFill="1" applyBorder="1" applyAlignment="1">
      <alignment horizontal="left" vertical="top"/>
    </xf>
    <xf numFmtId="0" fontId="32" fillId="6" borderId="49" xfId="0" applyFont="1" applyFill="1" applyBorder="1"/>
    <xf numFmtId="0" fontId="29" fillId="0" borderId="47" xfId="0" applyFont="1" applyBorder="1"/>
    <xf numFmtId="0" fontId="29" fillId="0" borderId="48" xfId="0" applyFont="1" applyBorder="1"/>
    <xf numFmtId="0" fontId="7" fillId="0" borderId="49" xfId="0" applyFont="1" applyBorder="1"/>
    <xf numFmtId="0" fontId="89" fillId="0" borderId="0" xfId="0" applyFont="1" applyAlignment="1">
      <alignment horizontal="centerContinuous"/>
    </xf>
    <xf numFmtId="0" fontId="62" fillId="0" borderId="0" xfId="0" applyFont="1" applyAlignment="1">
      <alignment horizontal="centerContinuous"/>
    </xf>
    <xf numFmtId="0" fontId="90" fillId="0" borderId="0" xfId="0" applyFont="1" applyAlignment="1">
      <alignment horizontal="centerContinuous"/>
    </xf>
    <xf numFmtId="0" fontId="35" fillId="0" borderId="17" xfId="0" applyFont="1" applyBorder="1"/>
    <xf numFmtId="0" fontId="91" fillId="13" borderId="43" xfId="0" applyFont="1" applyFill="1" applyBorder="1" applyAlignment="1">
      <alignment wrapText="1"/>
    </xf>
    <xf numFmtId="0" fontId="91" fillId="13" borderId="53" xfId="0" applyFont="1" applyFill="1" applyBorder="1" applyAlignment="1">
      <alignment wrapText="1"/>
    </xf>
    <xf numFmtId="0" fontId="92" fillId="0" borderId="54" xfId="0" applyFont="1" applyBorder="1"/>
    <xf numFmtId="6" fontId="2" fillId="0" borderId="6" xfId="0" applyNumberFormat="1" applyFont="1" applyBorder="1"/>
    <xf numFmtId="6" fontId="0" fillId="0" borderId="0" xfId="0" applyNumberFormat="1"/>
    <xf numFmtId="173" fontId="17" fillId="0" borderId="17" xfId="0" applyNumberFormat="1" applyFont="1" applyBorder="1"/>
    <xf numFmtId="2" fontId="29" fillId="0" borderId="0" xfId="0" applyNumberFormat="1" applyFont="1"/>
    <xf numFmtId="0" fontId="18" fillId="0" borderId="28" xfId="0" applyFont="1" applyBorder="1"/>
    <xf numFmtId="0" fontId="7" fillId="0" borderId="28" xfId="0" applyFont="1" applyBorder="1"/>
    <xf numFmtId="0" fontId="59" fillId="0" borderId="27" xfId="0" applyFont="1" applyBorder="1"/>
    <xf numFmtId="0" fontId="61" fillId="0" borderId="29" xfId="0" applyFont="1" applyBorder="1"/>
    <xf numFmtId="0" fontId="7" fillId="0" borderId="30" xfId="0" applyFont="1" applyBorder="1"/>
    <xf numFmtId="165" fontId="60" fillId="0" borderId="0" xfId="2" applyNumberFormat="1" applyFont="1" applyBorder="1"/>
    <xf numFmtId="173" fontId="66" fillId="0" borderId="0" xfId="0" applyNumberFormat="1" applyFont="1"/>
    <xf numFmtId="173" fontId="32" fillId="0" borderId="0" xfId="0" applyNumberFormat="1" applyFont="1"/>
    <xf numFmtId="0" fontId="7" fillId="0" borderId="29" xfId="0" applyFont="1" applyBorder="1"/>
    <xf numFmtId="0" fontId="7" fillId="0" borderId="31" xfId="0" applyFont="1" applyBorder="1"/>
    <xf numFmtId="0" fontId="93" fillId="0" borderId="0" xfId="0" applyFont="1"/>
    <xf numFmtId="10" fontId="16" fillId="0" borderId="0" xfId="0" applyNumberFormat="1" applyFont="1"/>
    <xf numFmtId="0" fontId="94" fillId="0" borderId="0" xfId="0" applyFont="1"/>
    <xf numFmtId="0" fontId="60" fillId="5" borderId="0" xfId="0" applyFont="1" applyFill="1"/>
    <xf numFmtId="0" fontId="93" fillId="9" borderId="0" xfId="0" applyFont="1" applyFill="1"/>
    <xf numFmtId="165" fontId="93" fillId="0" borderId="0" xfId="0" applyNumberFormat="1" applyFont="1"/>
    <xf numFmtId="165" fontId="59" fillId="0" borderId="0" xfId="0" applyNumberFormat="1" applyFont="1"/>
    <xf numFmtId="165" fontId="60" fillId="14" borderId="0" xfId="0" applyNumberFormat="1" applyFont="1" applyFill="1"/>
    <xf numFmtId="10" fontId="31" fillId="0" borderId="0" xfId="0" applyNumberFormat="1" applyFont="1"/>
    <xf numFmtId="3" fontId="17" fillId="0" borderId="0" xfId="0" applyNumberFormat="1" applyFont="1"/>
    <xf numFmtId="3" fontId="31" fillId="0" borderId="0" xfId="0" applyNumberFormat="1" applyFont="1"/>
    <xf numFmtId="173" fontId="82" fillId="0" borderId="0" xfId="0" applyNumberFormat="1" applyFont="1"/>
    <xf numFmtId="173" fontId="31" fillId="0" borderId="0" xfId="0" applyNumberFormat="1" applyFont="1"/>
    <xf numFmtId="2" fontId="82" fillId="0" borderId="22" xfId="0" applyNumberFormat="1" applyFont="1" applyBorder="1"/>
    <xf numFmtId="2" fontId="82" fillId="0" borderId="23" xfId="0" applyNumberFormat="1" applyFont="1" applyBorder="1"/>
    <xf numFmtId="2" fontId="82" fillId="0" borderId="0" xfId="0" applyNumberFormat="1" applyFont="1"/>
    <xf numFmtId="2" fontId="82" fillId="0" borderId="17" xfId="0" applyNumberFormat="1" applyFont="1" applyBorder="1"/>
    <xf numFmtId="2" fontId="82" fillId="0" borderId="19" xfId="0" applyNumberFormat="1" applyFont="1" applyBorder="1"/>
    <xf numFmtId="2" fontId="82" fillId="0" borderId="20" xfId="0" applyNumberFormat="1" applyFont="1" applyBorder="1"/>
    <xf numFmtId="0" fontId="49" fillId="0" borderId="24" xfId="0" applyFont="1" applyBorder="1"/>
    <xf numFmtId="0" fontId="49" fillId="0" borderId="25" xfId="0" applyFont="1" applyBorder="1"/>
    <xf numFmtId="0" fontId="31" fillId="0" borderId="26" xfId="0" applyFont="1" applyBorder="1"/>
    <xf numFmtId="0" fontId="31" fillId="0" borderId="27" xfId="0" applyFont="1" applyBorder="1"/>
    <xf numFmtId="0" fontId="21" fillId="0" borderId="28" xfId="0" applyFont="1" applyBorder="1"/>
    <xf numFmtId="0" fontId="49" fillId="0" borderId="27" xfId="0" applyFont="1" applyBorder="1"/>
    <xf numFmtId="0" fontId="74" fillId="0" borderId="28" xfId="0" applyFont="1" applyBorder="1"/>
    <xf numFmtId="0" fontId="31" fillId="0" borderId="28" xfId="0" applyFont="1" applyBorder="1"/>
    <xf numFmtId="0" fontId="49" fillId="0" borderId="29" xfId="0" applyFont="1" applyBorder="1"/>
    <xf numFmtId="0" fontId="49" fillId="0" borderId="30" xfId="0" applyFont="1" applyBorder="1"/>
    <xf numFmtId="3" fontId="49" fillId="0" borderId="30" xfId="0" applyNumberFormat="1" applyFont="1" applyBorder="1"/>
    <xf numFmtId="0" fontId="49" fillId="0" borderId="31" xfId="0" applyFont="1" applyBorder="1"/>
    <xf numFmtId="1" fontId="28" fillId="0" borderId="28" xfId="0" applyNumberFormat="1" applyFont="1" applyBorder="1"/>
    <xf numFmtId="1" fontId="29" fillId="0" borderId="28" xfId="0" applyNumberFormat="1" applyFont="1" applyBorder="1"/>
    <xf numFmtId="165" fontId="70" fillId="14" borderId="0" xfId="0" applyNumberFormat="1" applyFont="1" applyFill="1"/>
    <xf numFmtId="10" fontId="70" fillId="14" borderId="0" xfId="0" applyNumberFormat="1" applyFont="1" applyFill="1"/>
    <xf numFmtId="0" fontId="17" fillId="6" borderId="48" xfId="0" applyFont="1" applyFill="1" applyBorder="1"/>
    <xf numFmtId="0" fontId="17" fillId="6" borderId="49" xfId="0" applyFont="1" applyFill="1" applyBorder="1"/>
    <xf numFmtId="9" fontId="17" fillId="6" borderId="48" xfId="2" applyFont="1" applyFill="1" applyBorder="1"/>
    <xf numFmtId="9" fontId="17" fillId="6" borderId="49" xfId="2" applyFont="1" applyFill="1" applyBorder="1"/>
    <xf numFmtId="0" fontId="2" fillId="0" borderId="29" xfId="0" applyFont="1" applyBorder="1" applyAlignment="1">
      <alignment horizontal="left" vertical="top" indent="1"/>
    </xf>
    <xf numFmtId="44" fontId="2" fillId="0" borderId="0" xfId="2" applyNumberFormat="1" applyFont="1" applyAlignment="1">
      <alignment vertical="top"/>
    </xf>
    <xf numFmtId="0" fontId="9" fillId="0" borderId="3" xfId="0" applyFont="1" applyBorder="1" applyAlignment="1">
      <alignment vertical="top"/>
    </xf>
    <xf numFmtId="0" fontId="3" fillId="2" borderId="0" xfId="1" applyNumberFormat="1" applyFont="1" applyFill="1" applyAlignment="1">
      <alignment horizontal="center" vertical="center"/>
    </xf>
    <xf numFmtId="10" fontId="2" fillId="0" borderId="0" xfId="1" applyNumberFormat="1" applyFont="1" applyAlignment="1">
      <alignment vertical="top"/>
    </xf>
    <xf numFmtId="0" fontId="7" fillId="6" borderId="0" xfId="0" applyFont="1" applyFill="1"/>
    <xf numFmtId="0" fontId="6" fillId="10" borderId="0" xfId="0" applyFont="1" applyFill="1"/>
    <xf numFmtId="0" fontId="7" fillId="10" borderId="0" xfId="0" applyFont="1" applyFill="1"/>
    <xf numFmtId="2" fontId="7" fillId="0" borderId="0" xfId="0" applyNumberFormat="1" applyFont="1" applyAlignment="1">
      <alignment wrapText="1"/>
    </xf>
    <xf numFmtId="10" fontId="7" fillId="0" borderId="0" xfId="0" applyNumberFormat="1" applyFont="1" applyAlignment="1">
      <alignment wrapText="1"/>
    </xf>
    <xf numFmtId="0" fontId="79" fillId="0" borderId="0" xfId="0" applyFont="1"/>
    <xf numFmtId="0" fontId="81" fillId="0" borderId="0" xfId="0" applyFont="1"/>
    <xf numFmtId="0" fontId="85" fillId="0" borderId="0" xfId="0" applyFont="1"/>
    <xf numFmtId="0" fontId="84" fillId="2" borderId="26" xfId="0" applyFont="1" applyFill="1" applyBorder="1"/>
    <xf numFmtId="0" fontId="30" fillId="0" borderId="28" xfId="0" applyFont="1" applyBorder="1"/>
    <xf numFmtId="0" fontId="30" fillId="0" borderId="31" xfId="0" applyFont="1" applyBorder="1"/>
    <xf numFmtId="0" fontId="31" fillId="0" borderId="29" xfId="0" applyFont="1" applyBorder="1"/>
    <xf numFmtId="9" fontId="31" fillId="0" borderId="30" xfId="0" applyNumberFormat="1" applyFont="1" applyBorder="1"/>
    <xf numFmtId="0" fontId="31" fillId="6" borderId="47" xfId="0" applyFont="1" applyFill="1" applyBorder="1"/>
    <xf numFmtId="0" fontId="31" fillId="6" borderId="48" xfId="0" applyFont="1" applyFill="1" applyBorder="1"/>
    <xf numFmtId="0" fontId="31" fillId="6" borderId="49" xfId="0" applyFont="1" applyFill="1" applyBorder="1"/>
    <xf numFmtId="165" fontId="70" fillId="0" borderId="31" xfId="0" applyNumberFormat="1" applyFont="1" applyBorder="1"/>
    <xf numFmtId="0" fontId="33" fillId="0" borderId="27" xfId="0" applyFont="1" applyBorder="1"/>
    <xf numFmtId="2" fontId="32" fillId="0" borderId="28" xfId="0" applyNumberFormat="1" applyFont="1" applyBorder="1"/>
    <xf numFmtId="0" fontId="33" fillId="0" borderId="55" xfId="0" applyFont="1" applyBorder="1"/>
    <xf numFmtId="2" fontId="32" fillId="0" borderId="56" xfId="0" applyNumberFormat="1" applyFont="1" applyBorder="1"/>
    <xf numFmtId="174" fontId="32" fillId="0" borderId="28" xfId="0" applyNumberFormat="1" applyFont="1" applyBorder="1"/>
    <xf numFmtId="174" fontId="32" fillId="0" borderId="31" xfId="0" applyNumberFormat="1" applyFont="1" applyBorder="1"/>
    <xf numFmtId="0" fontId="49" fillId="6" borderId="47" xfId="0" applyFont="1" applyFill="1" applyBorder="1"/>
    <xf numFmtId="168" fontId="32" fillId="0" borderId="0" xfId="0" applyNumberFormat="1" applyFont="1" applyAlignment="1">
      <alignment horizontal="right" vertical="top" wrapText="1"/>
    </xf>
    <xf numFmtId="1" fontId="28" fillId="0" borderId="0" xfId="0" applyNumberFormat="1" applyFont="1" applyAlignment="1">
      <alignment horizontal="right" vertical="top" wrapText="1"/>
    </xf>
    <xf numFmtId="1" fontId="28" fillId="0" borderId="28" xfId="0" applyNumberFormat="1" applyFont="1" applyBorder="1" applyAlignment="1">
      <alignment horizontal="right" vertical="top" wrapText="1"/>
    </xf>
    <xf numFmtId="168" fontId="60" fillId="0" borderId="0" xfId="0" applyNumberFormat="1" applyFont="1" applyAlignment="1">
      <alignment horizontal="right" vertical="top" wrapText="1"/>
    </xf>
    <xf numFmtId="1" fontId="60" fillId="0" borderId="0" xfId="0" applyNumberFormat="1" applyFont="1" applyAlignment="1">
      <alignment horizontal="right" vertical="top" wrapText="1"/>
    </xf>
    <xf numFmtId="1" fontId="60" fillId="0" borderId="28" xfId="0" applyNumberFormat="1" applyFont="1" applyBorder="1" applyAlignment="1">
      <alignment horizontal="right" vertical="top" wrapText="1"/>
    </xf>
    <xf numFmtId="168" fontId="31" fillId="0" borderId="30" xfId="0" applyNumberFormat="1" applyFont="1" applyBorder="1" applyAlignment="1">
      <alignment horizontal="right" vertical="top" wrapText="1"/>
    </xf>
    <xf numFmtId="1" fontId="31" fillId="0" borderId="30" xfId="0" applyNumberFormat="1" applyFont="1" applyBorder="1" applyAlignment="1">
      <alignment horizontal="right" vertical="top" wrapText="1"/>
    </xf>
    <xf numFmtId="1" fontId="16" fillId="0" borderId="30" xfId="0" applyNumberFormat="1" applyFont="1" applyBorder="1" applyAlignment="1">
      <alignment horizontal="right" vertical="top" wrapText="1"/>
    </xf>
    <xf numFmtId="1" fontId="18" fillId="0" borderId="30" xfId="0" applyNumberFormat="1" applyFont="1" applyBorder="1" applyAlignment="1">
      <alignment horizontal="right" vertical="top" wrapText="1"/>
    </xf>
    <xf numFmtId="1" fontId="18" fillId="0" borderId="31" xfId="0" applyNumberFormat="1" applyFont="1" applyBorder="1" applyAlignment="1">
      <alignment horizontal="right" vertical="top" wrapText="1"/>
    </xf>
    <xf numFmtId="0" fontId="53" fillId="8" borderId="0" xfId="0" applyFont="1" applyFill="1"/>
    <xf numFmtId="0" fontId="6" fillId="0" borderId="0" xfId="0" applyFont="1"/>
    <xf numFmtId="0" fontId="64" fillId="0" borderId="0" xfId="0" applyFont="1"/>
    <xf numFmtId="0" fontId="28" fillId="0" borderId="27" xfId="0" applyFont="1" applyBorder="1"/>
    <xf numFmtId="0" fontId="28" fillId="0" borderId="0" xfId="0" applyFont="1"/>
    <xf numFmtId="0" fontId="28" fillId="0" borderId="16" xfId="0" applyFont="1" applyBorder="1"/>
    <xf numFmtId="0" fontId="28" fillId="0" borderId="30" xfId="0" applyFont="1" applyBorder="1"/>
    <xf numFmtId="0" fontId="35" fillId="0" borderId="16" xfId="0" applyFont="1" applyBorder="1"/>
    <xf numFmtId="0" fontId="35" fillId="0" borderId="0" xfId="0" applyFont="1"/>
    <xf numFmtId="0" fontId="28" fillId="0" borderId="19" xfId="0" applyFont="1" applyBorder="1"/>
    <xf numFmtId="0" fontId="7" fillId="0" borderId="27" xfId="0" applyFont="1" applyBorder="1"/>
    <xf numFmtId="0" fontId="28" fillId="0" borderId="25" xfId="0" applyFont="1" applyBorder="1"/>
    <xf numFmtId="0" fontId="28" fillId="0" borderId="28" xfId="0" applyFont="1" applyBorder="1"/>
    <xf numFmtId="0" fontId="32" fillId="6" borderId="47" xfId="0" applyFont="1" applyFill="1" applyBorder="1"/>
    <xf numFmtId="0" fontId="32" fillId="6" borderId="48" xfId="0" applyFont="1" applyFill="1" applyBorder="1"/>
    <xf numFmtId="0" fontId="73" fillId="2" borderId="47" xfId="0" applyFont="1" applyFill="1" applyBorder="1"/>
    <xf numFmtId="0" fontId="73" fillId="2" borderId="48" xfId="0" applyFont="1" applyFill="1" applyBorder="1"/>
    <xf numFmtId="0" fontId="32" fillId="0" borderId="0" xfId="0" applyFont="1"/>
    <xf numFmtId="0" fontId="36" fillId="0" borderId="0" xfId="0" applyFont="1"/>
    <xf numFmtId="0" fontId="31" fillId="0" borderId="0" xfId="0" applyFont="1"/>
    <xf numFmtId="0" fontId="49" fillId="0" borderId="0" xfId="0" applyFont="1"/>
    <xf numFmtId="0" fontId="86" fillId="2" borderId="21" xfId="0" applyFont="1" applyFill="1" applyBorder="1" applyAlignment="1">
      <alignment horizontal="centerContinuous"/>
    </xf>
    <xf numFmtId="0" fontId="86" fillId="2" borderId="22" xfId="0" applyFont="1" applyFill="1" applyBorder="1" applyAlignment="1">
      <alignment horizontal="centerContinuous"/>
    </xf>
    <xf numFmtId="0" fontId="86" fillId="2" borderId="57" xfId="0" applyFont="1" applyFill="1" applyBorder="1" applyAlignment="1">
      <alignment horizontal="centerContinuous"/>
    </xf>
    <xf numFmtId="0" fontId="87" fillId="2" borderId="22" xfId="0" applyFont="1" applyFill="1" applyBorder="1" applyAlignment="1">
      <alignment horizontal="centerContinuous"/>
    </xf>
    <xf numFmtId="0" fontId="62" fillId="2" borderId="22" xfId="0" applyFont="1" applyFill="1" applyBorder="1" applyAlignment="1">
      <alignment horizontal="centerContinuous"/>
    </xf>
    <xf numFmtId="0" fontId="88" fillId="2" borderId="22" xfId="0" applyFont="1" applyFill="1" applyBorder="1" applyAlignment="1">
      <alignment horizontal="centerContinuous"/>
    </xf>
    <xf numFmtId="0" fontId="88" fillId="2" borderId="23" xfId="0" applyFont="1" applyFill="1" applyBorder="1" applyAlignment="1">
      <alignment horizontal="centerContinuous"/>
    </xf>
    <xf numFmtId="0" fontId="86" fillId="2" borderId="18" xfId="0" applyFont="1" applyFill="1" applyBorder="1" applyAlignment="1">
      <alignment horizontal="centerContinuous"/>
    </xf>
    <xf numFmtId="0" fontId="86" fillId="2" borderId="19" xfId="0" applyFont="1" applyFill="1" applyBorder="1" applyAlignment="1">
      <alignment horizontal="centerContinuous"/>
    </xf>
    <xf numFmtId="0" fontId="86" fillId="2" borderId="58" xfId="0" applyFont="1" applyFill="1" applyBorder="1" applyAlignment="1">
      <alignment horizontal="centerContinuous"/>
    </xf>
    <xf numFmtId="0" fontId="87" fillId="2" borderId="19" xfId="0" applyFont="1" applyFill="1" applyBorder="1" applyAlignment="1">
      <alignment horizontal="centerContinuous"/>
    </xf>
    <xf numFmtId="0" fontId="62" fillId="2" borderId="19" xfId="0" applyFont="1" applyFill="1" applyBorder="1" applyAlignment="1">
      <alignment horizontal="centerContinuous"/>
    </xf>
    <xf numFmtId="0" fontId="88" fillId="2" borderId="19" xfId="0" applyFont="1" applyFill="1" applyBorder="1" applyAlignment="1">
      <alignment horizontal="centerContinuous"/>
    </xf>
    <xf numFmtId="0" fontId="88" fillId="2" borderId="20" xfId="0" applyFont="1" applyFill="1" applyBorder="1" applyAlignment="1">
      <alignment horizontal="centerContinuous"/>
    </xf>
    <xf numFmtId="165" fontId="75" fillId="0" borderId="28" xfId="0" applyNumberFormat="1" applyFont="1" applyBorder="1"/>
    <xf numFmtId="165" fontId="66" fillId="0" borderId="28" xfId="0" applyNumberFormat="1" applyFont="1" applyBorder="1"/>
    <xf numFmtId="0" fontId="9" fillId="0" borderId="0" xfId="0" applyFont="1"/>
    <xf numFmtId="0" fontId="95" fillId="0" borderId="0" xfId="0" applyFont="1"/>
    <xf numFmtId="0" fontId="96" fillId="0" borderId="0" xfId="0" applyFont="1"/>
    <xf numFmtId="0" fontId="97" fillId="2" borderId="0" xfId="0" applyFont="1" applyFill="1"/>
    <xf numFmtId="0" fontId="98" fillId="9" borderId="0" xfId="0" applyFont="1" applyFill="1"/>
    <xf numFmtId="9" fontId="96" fillId="0" borderId="0" xfId="0" applyNumberFormat="1" applyFont="1"/>
    <xf numFmtId="9" fontId="98" fillId="9" borderId="0" xfId="0" applyNumberFormat="1" applyFont="1" applyFill="1"/>
    <xf numFmtId="44" fontId="9" fillId="0" borderId="0" xfId="2" applyNumberFormat="1" applyFont="1" applyBorder="1" applyAlignment="1">
      <alignment vertical="top"/>
    </xf>
    <xf numFmtId="0" fontId="99" fillId="0" borderId="0" xfId="0" applyFont="1"/>
    <xf numFmtId="0" fontId="100" fillId="0" borderId="0" xfId="0" applyFont="1"/>
    <xf numFmtId="0" fontId="101" fillId="2" borderId="0" xfId="0" applyFont="1" applyFill="1"/>
    <xf numFmtId="0" fontId="101" fillId="2" borderId="0" xfId="0" applyFont="1" applyFill="1" applyAlignment="1">
      <alignment horizontal="center"/>
    </xf>
    <xf numFmtId="0" fontId="0" fillId="0" borderId="59" xfId="0" applyBorder="1"/>
    <xf numFmtId="0" fontId="104" fillId="16" borderId="60" xfId="0" applyFont="1" applyFill="1" applyBorder="1"/>
    <xf numFmtId="174" fontId="104" fillId="16" borderId="60" xfId="0" applyNumberFormat="1" applyFont="1" applyFill="1" applyBorder="1" applyAlignment="1">
      <alignment horizontal="center"/>
    </xf>
    <xf numFmtId="0" fontId="104" fillId="16" borderId="61" xfId="0" applyFont="1" applyFill="1" applyBorder="1"/>
    <xf numFmtId="174" fontId="104" fillId="16" borderId="61" xfId="0" applyNumberFormat="1" applyFont="1" applyFill="1" applyBorder="1" applyAlignment="1">
      <alignment horizontal="center"/>
    </xf>
    <xf numFmtId="0" fontId="104" fillId="17" borderId="62" xfId="0" applyFont="1" applyFill="1" applyBorder="1"/>
    <xf numFmtId="175" fontId="104" fillId="17" borderId="62" xfId="0" applyNumberFormat="1" applyFont="1" applyFill="1" applyBorder="1" applyAlignment="1">
      <alignment horizontal="center"/>
    </xf>
    <xf numFmtId="0" fontId="105" fillId="0" borderId="28" xfId="0" applyFont="1" applyBorder="1"/>
    <xf numFmtId="40" fontId="106" fillId="0" borderId="0" xfId="2" applyNumberFormat="1" applyFont="1" applyBorder="1" applyAlignment="1">
      <alignment vertical="top"/>
    </xf>
    <xf numFmtId="0" fontId="109" fillId="0" borderId="0" xfId="0" applyFont="1"/>
    <xf numFmtId="0" fontId="113" fillId="0" borderId="0" xfId="0" applyFont="1"/>
    <xf numFmtId="0" fontId="114" fillId="0" borderId="0" xfId="0" applyFont="1"/>
    <xf numFmtId="0" fontId="115" fillId="0" borderId="0" xfId="0" applyFont="1"/>
    <xf numFmtId="0" fontId="117" fillId="0" borderId="0" xfId="0" applyFont="1"/>
    <xf numFmtId="165" fontId="0" fillId="0" borderId="63" xfId="0" applyNumberFormat="1" applyBorder="1"/>
    <xf numFmtId="165" fontId="0" fillId="0" borderId="63" xfId="2" applyNumberFormat="1" applyFont="1" applyBorder="1"/>
    <xf numFmtId="1" fontId="38" fillId="0" borderId="67" xfId="0" applyNumberFormat="1" applyFont="1" applyBorder="1" applyAlignment="1">
      <alignment horizontal="center"/>
    </xf>
    <xf numFmtId="0" fontId="0" fillId="0" borderId="70" xfId="0" applyBorder="1" applyAlignment="1">
      <alignment horizontal="center"/>
    </xf>
    <xf numFmtId="165" fontId="0" fillId="0" borderId="63" xfId="0" applyNumberFormat="1" applyBorder="1" applyAlignment="1">
      <alignment horizontal="center"/>
    </xf>
    <xf numFmtId="165" fontId="0" fillId="11" borderId="63" xfId="0" applyNumberFormat="1" applyFill="1" applyBorder="1" applyAlignment="1">
      <alignment horizontal="center"/>
    </xf>
    <xf numFmtId="165" fontId="0" fillId="19" borderId="65" xfId="0" applyNumberFormat="1" applyFill="1" applyBorder="1" applyAlignment="1">
      <alignment horizontal="center"/>
    </xf>
    <xf numFmtId="0" fontId="110" fillId="0" borderId="67" xfId="0" applyFont="1" applyBorder="1"/>
    <xf numFmtId="0" fontId="111" fillId="0" borderId="67" xfId="0" applyFont="1" applyBorder="1"/>
    <xf numFmtId="0" fontId="112" fillId="0" borderId="68" xfId="0" applyFont="1" applyBorder="1"/>
    <xf numFmtId="0" fontId="0" fillId="0" borderId="70" xfId="0" applyBorder="1"/>
    <xf numFmtId="0" fontId="0" fillId="0" borderId="71" xfId="0" applyBorder="1"/>
    <xf numFmtId="1" fontId="95" fillId="0" borderId="0" xfId="0" applyNumberFormat="1" applyFont="1"/>
    <xf numFmtId="165" fontId="95" fillId="0" borderId="0" xfId="0" applyNumberFormat="1" applyFont="1"/>
    <xf numFmtId="0" fontId="130" fillId="0" borderId="0" xfId="0" applyFont="1"/>
    <xf numFmtId="1" fontId="130" fillId="0" borderId="0" xfId="0" applyNumberFormat="1" applyFont="1"/>
    <xf numFmtId="165" fontId="130" fillId="0" borderId="0" xfId="0" applyNumberFormat="1" applyFont="1"/>
    <xf numFmtId="0" fontId="0" fillId="0" borderId="63" xfId="0" applyBorder="1"/>
    <xf numFmtId="0" fontId="118" fillId="0" borderId="0" xfId="0" applyFont="1"/>
    <xf numFmtId="0" fontId="62" fillId="0" borderId="0" xfId="0" applyFont="1"/>
    <xf numFmtId="0" fontId="131" fillId="0" borderId="0" xfId="0" applyFont="1"/>
    <xf numFmtId="165" fontId="119" fillId="0" borderId="0" xfId="0" applyNumberFormat="1" applyFont="1"/>
    <xf numFmtId="0" fontId="120" fillId="0" borderId="0" xfId="0" applyFont="1"/>
    <xf numFmtId="0" fontId="121" fillId="0" borderId="0" xfId="0" applyFont="1"/>
    <xf numFmtId="165" fontId="123" fillId="0" borderId="0" xfId="0" applyNumberFormat="1" applyFont="1"/>
    <xf numFmtId="165" fontId="124" fillId="0" borderId="0" xfId="0" applyNumberFormat="1" applyFont="1"/>
    <xf numFmtId="1" fontId="126" fillId="0" borderId="0" xfId="0" applyNumberFormat="1" applyFont="1"/>
    <xf numFmtId="165" fontId="41" fillId="0" borderId="63" xfId="0" applyNumberFormat="1" applyFont="1" applyBorder="1"/>
    <xf numFmtId="165" fontId="57" fillId="0" borderId="63" xfId="0" applyNumberFormat="1" applyFont="1" applyBorder="1"/>
    <xf numFmtId="165" fontId="128" fillId="0" borderId="63" xfId="0" applyNumberFormat="1" applyFont="1" applyBorder="1"/>
    <xf numFmtId="165" fontId="0" fillId="0" borderId="65" xfId="0" applyNumberFormat="1" applyBorder="1"/>
    <xf numFmtId="165" fontId="57" fillId="0" borderId="65" xfId="0" applyNumberFormat="1" applyFont="1" applyBorder="1"/>
    <xf numFmtId="0" fontId="107" fillId="2" borderId="66" xfId="0" applyFont="1" applyFill="1" applyBorder="1" applyAlignment="1">
      <alignment horizontal="center"/>
    </xf>
    <xf numFmtId="0" fontId="108" fillId="2" borderId="64" xfId="0" applyFont="1" applyFill="1" applyBorder="1" applyAlignment="1">
      <alignment horizontal="center"/>
    </xf>
    <xf numFmtId="0" fontId="108" fillId="2" borderId="69" xfId="0" applyFont="1" applyFill="1" applyBorder="1" applyAlignment="1">
      <alignment horizontal="center"/>
    </xf>
    <xf numFmtId="1" fontId="38" fillId="21" borderId="67" xfId="0" applyNumberFormat="1" applyFont="1" applyFill="1" applyBorder="1" applyAlignment="1">
      <alignment horizontal="center"/>
    </xf>
    <xf numFmtId="165" fontId="0" fillId="21" borderId="63" xfId="0" applyNumberFormat="1" applyFill="1" applyBorder="1"/>
    <xf numFmtId="0" fontId="0" fillId="21" borderId="70" xfId="0" applyFill="1" applyBorder="1" applyAlignment="1">
      <alignment horizontal="center"/>
    </xf>
    <xf numFmtId="1" fontId="38" fillId="22" borderId="67" xfId="0" applyNumberFormat="1" applyFont="1" applyFill="1" applyBorder="1" applyAlignment="1">
      <alignment horizontal="center"/>
    </xf>
    <xf numFmtId="165" fontId="0" fillId="22" borderId="63" xfId="0" applyNumberFormat="1" applyFill="1" applyBorder="1"/>
    <xf numFmtId="0" fontId="0" fillId="22" borderId="70" xfId="0" applyFill="1" applyBorder="1" applyAlignment="1">
      <alignment horizontal="center"/>
    </xf>
    <xf numFmtId="1" fontId="38" fillId="22" borderId="68" xfId="0" applyNumberFormat="1" applyFont="1" applyFill="1" applyBorder="1" applyAlignment="1">
      <alignment horizontal="center"/>
    </xf>
    <xf numFmtId="165" fontId="0" fillId="22" borderId="65" xfId="0" applyNumberFormat="1" applyFill="1" applyBorder="1"/>
    <xf numFmtId="0" fontId="0" fillId="22" borderId="71" xfId="0" applyFill="1" applyBorder="1" applyAlignment="1">
      <alignment horizontal="center"/>
    </xf>
    <xf numFmtId="0" fontId="134" fillId="2" borderId="0" xfId="0" applyFont="1" applyFill="1"/>
    <xf numFmtId="0" fontId="135" fillId="2" borderId="66" xfId="0" applyFont="1" applyFill="1" applyBorder="1"/>
    <xf numFmtId="14" fontId="135" fillId="2" borderId="64" xfId="1" applyNumberFormat="1" applyFont="1" applyFill="1" applyBorder="1" applyAlignment="1">
      <alignment horizontal="center"/>
    </xf>
    <xf numFmtId="0" fontId="135" fillId="2" borderId="69" xfId="0" applyFont="1" applyFill="1" applyBorder="1"/>
    <xf numFmtId="0" fontId="136" fillId="0" borderId="0" xfId="0" applyFont="1"/>
    <xf numFmtId="0" fontId="127" fillId="0" borderId="72" xfId="0" applyFont="1" applyBorder="1" applyAlignment="1">
      <alignment horizontal="center"/>
    </xf>
    <xf numFmtId="0" fontId="108" fillId="0" borderId="73" xfId="0" applyFont="1" applyBorder="1" applyAlignment="1">
      <alignment horizontal="center"/>
    </xf>
    <xf numFmtId="0" fontId="108" fillId="0" borderId="74" xfId="0" applyFont="1" applyBorder="1" applyAlignment="1">
      <alignment horizontal="center"/>
    </xf>
    <xf numFmtId="1" fontId="62" fillId="0" borderId="75" xfId="0" applyNumberFormat="1" applyFont="1" applyBorder="1" applyAlignment="1">
      <alignment horizontal="center"/>
    </xf>
    <xf numFmtId="165" fontId="0" fillId="0" borderId="76" xfId="0" applyNumberFormat="1" applyBorder="1"/>
    <xf numFmtId="1" fontId="62" fillId="0" borderId="77" xfId="0" applyNumberFormat="1" applyFont="1" applyBorder="1" applyAlignment="1">
      <alignment horizontal="center"/>
    </xf>
    <xf numFmtId="0" fontId="0" fillId="0" borderId="78" xfId="0" applyBorder="1"/>
    <xf numFmtId="165" fontId="0" fillId="0" borderId="78" xfId="0" applyNumberFormat="1" applyBorder="1"/>
    <xf numFmtId="165" fontId="57" fillId="0" borderId="78" xfId="0" applyNumberFormat="1" applyFont="1" applyBorder="1"/>
    <xf numFmtId="0" fontId="137" fillId="0" borderId="0" xfId="0" applyFont="1"/>
    <xf numFmtId="0" fontId="116" fillId="23" borderId="0" xfId="0" applyFont="1" applyFill="1"/>
    <xf numFmtId="165" fontId="39" fillId="0" borderId="63" xfId="0" applyNumberFormat="1" applyFont="1" applyBorder="1"/>
    <xf numFmtId="165" fontId="125" fillId="0" borderId="63" xfId="0" applyNumberFormat="1" applyFont="1" applyBorder="1"/>
    <xf numFmtId="0" fontId="121" fillId="11" borderId="0" xfId="0" applyFont="1" applyFill="1"/>
    <xf numFmtId="0" fontId="121" fillId="20" borderId="0" xfId="0" applyFont="1" applyFill="1"/>
    <xf numFmtId="0" fontId="0" fillId="0" borderId="65" xfId="0" applyBorder="1"/>
    <xf numFmtId="0" fontId="134" fillId="0" borderId="0" xfId="0" applyFont="1"/>
    <xf numFmtId="0" fontId="3" fillId="0" borderId="0" xfId="0" applyFont="1"/>
    <xf numFmtId="165" fontId="0" fillId="0" borderId="79" xfId="0" applyNumberFormat="1" applyBorder="1"/>
    <xf numFmtId="0" fontId="108" fillId="2" borderId="66" xfId="0" applyFont="1" applyFill="1" applyBorder="1" applyAlignment="1">
      <alignment horizontal="center"/>
    </xf>
    <xf numFmtId="1" fontId="0" fillId="0" borderId="67" xfId="0" applyNumberFormat="1" applyBorder="1" applyAlignment="1">
      <alignment horizontal="center"/>
    </xf>
    <xf numFmtId="1" fontId="0" fillId="0" borderId="68" xfId="0" applyNumberFormat="1" applyBorder="1" applyAlignment="1">
      <alignment horizontal="center"/>
    </xf>
    <xf numFmtId="0" fontId="0" fillId="0" borderId="71" xfId="0" applyBorder="1" applyAlignment="1">
      <alignment horizontal="center"/>
    </xf>
    <xf numFmtId="0" fontId="142" fillId="24" borderId="0" xfId="0" applyFont="1" applyFill="1"/>
    <xf numFmtId="165" fontId="143" fillId="24" borderId="0" xfId="0" applyNumberFormat="1" applyFont="1" applyFill="1"/>
    <xf numFmtId="0" fontId="144" fillId="24" borderId="0" xfId="0" applyFont="1" applyFill="1"/>
    <xf numFmtId="0" fontId="142" fillId="25" borderId="0" xfId="0" applyFont="1" applyFill="1"/>
    <xf numFmtId="165" fontId="143" fillId="25" borderId="0" xfId="0" applyNumberFormat="1" applyFont="1" applyFill="1"/>
    <xf numFmtId="0" fontId="144" fillId="25" borderId="0" xfId="0" applyFont="1" applyFill="1"/>
    <xf numFmtId="0" fontId="145" fillId="0" borderId="0" xfId="0" applyFont="1"/>
    <xf numFmtId="0" fontId="146" fillId="0" borderId="0" xfId="0" applyFont="1"/>
    <xf numFmtId="0" fontId="147" fillId="0" borderId="0" xfId="0" applyFont="1"/>
    <xf numFmtId="0" fontId="148" fillId="0" borderId="0" xfId="0" applyFont="1"/>
    <xf numFmtId="165" fontId="141" fillId="11" borderId="0" xfId="0" applyNumberFormat="1" applyFont="1" applyFill="1"/>
    <xf numFmtId="0" fontId="102" fillId="11" borderId="0" xfId="0" applyFont="1" applyFill="1"/>
    <xf numFmtId="0" fontId="141" fillId="11" borderId="0" xfId="0" applyFont="1" applyFill="1"/>
    <xf numFmtId="165" fontId="141" fillId="15" borderId="0" xfId="0" applyNumberFormat="1" applyFont="1" applyFill="1"/>
    <xf numFmtId="0" fontId="102" fillId="15" borderId="0" xfId="0" applyFont="1" applyFill="1"/>
    <xf numFmtId="0" fontId="141" fillId="20" borderId="0" xfId="0" applyFont="1" applyFill="1"/>
    <xf numFmtId="0" fontId="102" fillId="20" borderId="0" xfId="0" applyFont="1" applyFill="1"/>
    <xf numFmtId="0" fontId="150" fillId="0" borderId="0" xfId="0" applyFont="1"/>
    <xf numFmtId="0" fontId="3" fillId="2" borderId="1" xfId="0" applyFont="1" applyFill="1" applyBorder="1" applyAlignment="1">
      <alignment horizontal="left" vertical="center"/>
    </xf>
    <xf numFmtId="176" fontId="73" fillId="2" borderId="9" xfId="0" applyNumberFormat="1" applyFont="1" applyFill="1" applyBorder="1" applyAlignment="1">
      <alignment horizontal="right" vertical="center"/>
    </xf>
    <xf numFmtId="177" fontId="73" fillId="2" borderId="9" xfId="0" applyNumberFormat="1" applyFont="1" applyFill="1" applyBorder="1" applyAlignment="1">
      <alignment horizontal="right" vertical="center"/>
    </xf>
    <xf numFmtId="177" fontId="73" fillId="2" borderId="2" xfId="0" applyNumberFormat="1" applyFont="1" applyFill="1" applyBorder="1" applyAlignment="1">
      <alignment horizontal="right" vertical="center"/>
    </xf>
    <xf numFmtId="0" fontId="132" fillId="23" borderId="5" xfId="0" applyFont="1" applyFill="1" applyBorder="1" applyAlignment="1">
      <alignment vertical="top"/>
    </xf>
    <xf numFmtId="176" fontId="73" fillId="23" borderId="7" xfId="0" applyNumberFormat="1" applyFont="1" applyFill="1" applyBorder="1"/>
    <xf numFmtId="177" fontId="73" fillId="23" borderId="7" xfId="0" applyNumberFormat="1" applyFont="1" applyFill="1" applyBorder="1"/>
    <xf numFmtId="177" fontId="73" fillId="23" borderId="6" xfId="0" applyNumberFormat="1" applyFont="1" applyFill="1" applyBorder="1"/>
    <xf numFmtId="0" fontId="132" fillId="23" borderId="10" xfId="0" applyFont="1" applyFill="1" applyBorder="1" applyAlignment="1">
      <alignment vertical="top"/>
    </xf>
    <xf numFmtId="177" fontId="73" fillId="23" borderId="12" xfId="0" applyNumberFormat="1" applyFont="1" applyFill="1" applyBorder="1"/>
    <xf numFmtId="177" fontId="73" fillId="23" borderId="11" xfId="0" applyNumberFormat="1" applyFont="1" applyFill="1" applyBorder="1"/>
    <xf numFmtId="43" fontId="32" fillId="0" borderId="9" xfId="0" applyNumberFormat="1" applyFont="1" applyBorder="1"/>
    <xf numFmtId="43" fontId="32" fillId="0" borderId="44" xfId="0" applyNumberFormat="1" applyFont="1" applyBorder="1"/>
    <xf numFmtId="2" fontId="32" fillId="0" borderId="9" xfId="0" applyNumberFormat="1" applyFont="1" applyBorder="1"/>
    <xf numFmtId="168" fontId="0" fillId="0" borderId="44" xfId="0" applyNumberFormat="1" applyBorder="1" applyAlignment="1">
      <alignment vertical="top"/>
    </xf>
    <xf numFmtId="44" fontId="2" fillId="0" borderId="44" xfId="2" applyNumberFormat="1" applyFont="1" applyBorder="1" applyAlignment="1">
      <alignment vertical="top"/>
    </xf>
    <xf numFmtId="2" fontId="36" fillId="0" borderId="9" xfId="0" applyNumberFormat="1" applyFont="1" applyBorder="1"/>
    <xf numFmtId="2" fontId="36" fillId="0" borderId="44" xfId="0" applyNumberFormat="1" applyFont="1" applyBorder="1"/>
    <xf numFmtId="44" fontId="151" fillId="0" borderId="0" xfId="2" applyNumberFormat="1" applyFont="1" applyBorder="1" applyAlignment="1">
      <alignment vertical="top"/>
    </xf>
    <xf numFmtId="10" fontId="151" fillId="0" borderId="0" xfId="2" applyNumberFormat="1" applyFont="1" applyBorder="1" applyAlignment="1">
      <alignment vertical="top"/>
    </xf>
    <xf numFmtId="44" fontId="152" fillId="0" borderId="0" xfId="2" applyNumberFormat="1" applyFont="1" applyBorder="1" applyAlignment="1">
      <alignment vertical="top"/>
    </xf>
    <xf numFmtId="0" fontId="153" fillId="0" borderId="0" xfId="0" applyFont="1" applyAlignment="1">
      <alignment vertical="top"/>
    </xf>
    <xf numFmtId="168" fontId="153" fillId="0" borderId="0" xfId="0" applyNumberFormat="1" applyFont="1" applyAlignment="1">
      <alignment vertical="top"/>
    </xf>
    <xf numFmtId="176" fontId="154" fillId="23" borderId="12" xfId="0" applyNumberFormat="1" applyFont="1" applyFill="1" applyBorder="1"/>
    <xf numFmtId="43" fontId="152" fillId="0" borderId="0" xfId="1" applyFont="1" applyBorder="1" applyAlignment="1">
      <alignment vertical="top"/>
    </xf>
    <xf numFmtId="43" fontId="153" fillId="0" borderId="0" xfId="1" applyFont="1" applyBorder="1"/>
    <xf numFmtId="43" fontId="155" fillId="0" borderId="0" xfId="0" applyNumberFormat="1" applyFont="1"/>
    <xf numFmtId="43" fontId="151" fillId="0" borderId="38" xfId="0" applyNumberFormat="1" applyFont="1" applyBorder="1" applyAlignment="1">
      <alignment vertical="top"/>
    </xf>
    <xf numFmtId="43" fontId="151" fillId="0" borderId="0" xfId="0" applyNumberFormat="1" applyFont="1" applyAlignment="1">
      <alignment vertical="top"/>
    </xf>
    <xf numFmtId="10" fontId="151" fillId="0" borderId="0" xfId="0" applyNumberFormat="1" applyFont="1" applyAlignment="1">
      <alignment vertical="top"/>
    </xf>
    <xf numFmtId="0" fontId="151" fillId="0" borderId="0" xfId="0" applyFont="1" applyAlignment="1">
      <alignment vertical="top"/>
    </xf>
    <xf numFmtId="176" fontId="154" fillId="2" borderId="9" xfId="0" applyNumberFormat="1" applyFont="1" applyFill="1" applyBorder="1" applyAlignment="1">
      <alignment horizontal="right" vertical="center"/>
    </xf>
    <xf numFmtId="44" fontId="152" fillId="0" borderId="15" xfId="2" applyNumberFormat="1" applyFont="1" applyBorder="1" applyAlignment="1">
      <alignment vertical="top"/>
    </xf>
    <xf numFmtId="168" fontId="153" fillId="0" borderId="44" xfId="0" applyNumberFormat="1" applyFont="1" applyBorder="1" applyAlignment="1">
      <alignment vertical="top"/>
    </xf>
    <xf numFmtId="10" fontId="153" fillId="0" borderId="0" xfId="0" applyNumberFormat="1" applyFont="1"/>
    <xf numFmtId="44" fontId="152" fillId="0" borderId="0" xfId="2" applyNumberFormat="1" applyFont="1" applyAlignment="1">
      <alignment vertical="top"/>
    </xf>
    <xf numFmtId="44" fontId="152" fillId="0" borderId="44" xfId="2" applyNumberFormat="1" applyFont="1" applyBorder="1" applyAlignment="1">
      <alignment vertical="top"/>
    </xf>
    <xf numFmtId="44" fontId="154" fillId="0" borderId="0" xfId="0" applyNumberFormat="1" applyFont="1"/>
    <xf numFmtId="44" fontId="156" fillId="0" borderId="44" xfId="0" applyNumberFormat="1" applyFont="1" applyBorder="1"/>
    <xf numFmtId="0" fontId="154" fillId="0" borderId="0" xfId="0" applyFont="1"/>
    <xf numFmtId="43" fontId="154" fillId="0" borderId="0" xfId="0" applyNumberFormat="1" applyFont="1"/>
    <xf numFmtId="0" fontId="153" fillId="0" borderId="0" xfId="0" applyFont="1"/>
    <xf numFmtId="43" fontId="154" fillId="0" borderId="9" xfId="0" applyNumberFormat="1" applyFont="1" applyBorder="1"/>
    <xf numFmtId="0" fontId="157" fillId="0" borderId="0" xfId="0" applyFont="1"/>
    <xf numFmtId="43" fontId="152" fillId="0" borderId="0" xfId="1" applyFont="1" applyAlignment="1">
      <alignment vertical="top"/>
    </xf>
    <xf numFmtId="43" fontId="152" fillId="0" borderId="0" xfId="1" applyFont="1" applyFill="1" applyAlignment="1">
      <alignment vertical="top"/>
    </xf>
    <xf numFmtId="44" fontId="158" fillId="0" borderId="0" xfId="0" applyNumberFormat="1" applyFont="1"/>
    <xf numFmtId="44" fontId="159" fillId="0" borderId="44" xfId="0" applyNumberFormat="1" applyFont="1" applyBorder="1"/>
    <xf numFmtId="43" fontId="152" fillId="0" borderId="9" xfId="1" applyFont="1" applyBorder="1" applyAlignment="1">
      <alignment vertical="top"/>
    </xf>
    <xf numFmtId="43" fontId="2" fillId="0" borderId="9" xfId="1" applyFont="1" applyBorder="1" applyAlignment="1">
      <alignment vertical="top"/>
    </xf>
    <xf numFmtId="43" fontId="151" fillId="0" borderId="0" xfId="1" applyFont="1" applyAlignment="1">
      <alignment vertical="top"/>
    </xf>
    <xf numFmtId="43" fontId="9" fillId="0" borderId="0" xfId="1" applyFont="1" applyAlignment="1">
      <alignment vertical="top"/>
    </xf>
    <xf numFmtId="43" fontId="151" fillId="0" borderId="9" xfId="1" applyFont="1" applyBorder="1" applyAlignment="1">
      <alignment vertical="top"/>
    </xf>
    <xf numFmtId="43" fontId="9" fillId="0" borderId="9" xfId="1" applyFont="1" applyBorder="1" applyAlignment="1">
      <alignment vertical="top"/>
    </xf>
    <xf numFmtId="0" fontId="9" fillId="0" borderId="1" xfId="0" applyFont="1" applyBorder="1" applyAlignment="1">
      <alignment vertical="top"/>
    </xf>
    <xf numFmtId="43" fontId="2" fillId="0" borderId="44" xfId="1" applyFont="1" applyBorder="1" applyAlignment="1">
      <alignment vertical="top"/>
    </xf>
    <xf numFmtId="43" fontId="151" fillId="0" borderId="44" xfId="1" applyFont="1" applyBorder="1" applyAlignment="1">
      <alignment vertical="top"/>
    </xf>
    <xf numFmtId="43" fontId="9" fillId="0" borderId="44" xfId="1" applyFont="1" applyBorder="1" applyAlignment="1">
      <alignment vertical="top"/>
    </xf>
    <xf numFmtId="0" fontId="3" fillId="2" borderId="0" xfId="0" applyFont="1" applyFill="1" applyAlignment="1">
      <alignment horizontal="left" vertical="center"/>
    </xf>
    <xf numFmtId="176" fontId="73" fillId="2" borderId="0" xfId="0" applyNumberFormat="1" applyFont="1" applyFill="1" applyAlignment="1">
      <alignment horizontal="right" vertical="center"/>
    </xf>
    <xf numFmtId="177" fontId="73" fillId="2" borderId="0" xfId="0" applyNumberFormat="1" applyFont="1" applyFill="1" applyAlignment="1">
      <alignment horizontal="right" vertical="center"/>
    </xf>
    <xf numFmtId="43" fontId="153" fillId="0" borderId="0" xfId="1" applyFont="1" applyBorder="1" applyAlignment="1">
      <alignment vertical="top"/>
    </xf>
    <xf numFmtId="43" fontId="39" fillId="0" borderId="0" xfId="0" applyNumberFormat="1" applyFont="1"/>
    <xf numFmtId="0" fontId="106" fillId="0" borderId="0" xfId="0" applyFont="1" applyAlignment="1">
      <alignment vertical="top"/>
    </xf>
    <xf numFmtId="0" fontId="104" fillId="15" borderId="80" xfId="0" applyFont="1" applyFill="1" applyBorder="1"/>
    <xf numFmtId="174" fontId="104" fillId="15" borderId="80" xfId="0" applyNumberFormat="1" applyFont="1" applyFill="1" applyBorder="1" applyAlignment="1">
      <alignment horizontal="center"/>
    </xf>
    <xf numFmtId="0" fontId="103" fillId="0" borderId="0" xfId="0" applyFont="1"/>
    <xf numFmtId="174" fontId="103" fillId="0" borderId="0" xfId="0" applyNumberFormat="1" applyFont="1" applyAlignment="1">
      <alignment horizontal="center"/>
    </xf>
    <xf numFmtId="0" fontId="108" fillId="18" borderId="64" xfId="0" applyFont="1" applyFill="1" applyBorder="1" applyAlignment="1">
      <alignment wrapText="1"/>
    </xf>
    <xf numFmtId="0" fontId="108" fillId="18" borderId="69" xfId="0" applyFont="1" applyFill="1" applyBorder="1" applyAlignment="1">
      <alignment wrapText="1"/>
    </xf>
    <xf numFmtId="0" fontId="0" fillId="0" borderId="63" xfId="0" applyBorder="1" applyAlignment="1">
      <alignment wrapText="1"/>
    </xf>
    <xf numFmtId="0" fontId="39" fillId="0" borderId="63" xfId="0" applyFont="1" applyBorder="1" applyAlignment="1">
      <alignment wrapText="1"/>
    </xf>
    <xf numFmtId="0" fontId="0" fillId="0" borderId="70" xfId="0" applyBorder="1" applyAlignment="1">
      <alignment wrapText="1"/>
    </xf>
    <xf numFmtId="0" fontId="125" fillId="0" borderId="63" xfId="0" applyFont="1" applyBorder="1" applyAlignment="1">
      <alignment wrapText="1"/>
    </xf>
    <xf numFmtId="0" fontId="0" fillId="0" borderId="65" xfId="0" applyBorder="1" applyAlignment="1">
      <alignment wrapText="1"/>
    </xf>
    <xf numFmtId="0" fontId="39" fillId="0" borderId="65" xfId="0" applyFont="1" applyBorder="1" applyAlignment="1">
      <alignment wrapText="1"/>
    </xf>
    <xf numFmtId="0" fontId="0" fillId="0" borderId="71" xfId="0" applyBorder="1" applyAlignment="1">
      <alignment wrapText="1"/>
    </xf>
    <xf numFmtId="0" fontId="108" fillId="2" borderId="64" xfId="0" applyFont="1" applyFill="1" applyBorder="1" applyAlignment="1">
      <alignment horizontal="center" wrapText="1"/>
    </xf>
    <xf numFmtId="0" fontId="108" fillId="2" borderId="69" xfId="0" applyFont="1" applyFill="1" applyBorder="1" applyAlignment="1">
      <alignment horizontal="center" wrapText="1"/>
    </xf>
    <xf numFmtId="0" fontId="0" fillId="0" borderId="0" xfId="0" applyAlignment="1">
      <alignment wrapText="1"/>
    </xf>
    <xf numFmtId="3" fontId="0" fillId="0" borderId="63" xfId="0" applyNumberFormat="1" applyBorder="1" applyAlignment="1">
      <alignment wrapText="1"/>
    </xf>
    <xf numFmtId="165" fontId="0" fillId="0" borderId="63" xfId="0" applyNumberFormat="1" applyBorder="1" applyAlignment="1">
      <alignment wrapText="1"/>
    </xf>
    <xf numFmtId="165" fontId="39" fillId="0" borderId="63" xfId="0" applyNumberFormat="1" applyFont="1" applyBorder="1" applyAlignment="1">
      <alignment wrapText="1"/>
    </xf>
    <xf numFmtId="3" fontId="0" fillId="11" borderId="63" xfId="0" applyNumberFormat="1" applyFill="1" applyBorder="1" applyAlignment="1">
      <alignment wrapText="1"/>
    </xf>
    <xf numFmtId="165" fontId="41" fillId="11" borderId="63" xfId="0" applyNumberFormat="1" applyFont="1" applyFill="1" applyBorder="1" applyAlignment="1">
      <alignment wrapText="1"/>
    </xf>
    <xf numFmtId="165" fontId="39" fillId="11" borderId="63" xfId="0" applyNumberFormat="1" applyFont="1" applyFill="1" applyBorder="1" applyAlignment="1">
      <alignment wrapText="1"/>
    </xf>
    <xf numFmtId="0" fontId="5" fillId="11" borderId="70" xfId="0" applyFont="1" applyFill="1" applyBorder="1" applyAlignment="1">
      <alignment wrapText="1"/>
    </xf>
    <xf numFmtId="165" fontId="125" fillId="0" borderId="63" xfId="0" applyNumberFormat="1" applyFont="1" applyBorder="1" applyAlignment="1">
      <alignment wrapText="1"/>
    </xf>
    <xf numFmtId="3" fontId="0" fillId="0" borderId="65" xfId="0" applyNumberFormat="1" applyBorder="1" applyAlignment="1">
      <alignment wrapText="1"/>
    </xf>
    <xf numFmtId="165" fontId="0" fillId="0" borderId="65" xfId="0" applyNumberFormat="1" applyBorder="1" applyAlignment="1">
      <alignment wrapText="1"/>
    </xf>
    <xf numFmtId="0" fontId="0" fillId="15" borderId="63" xfId="0" applyFill="1" applyBorder="1" applyAlignment="1">
      <alignment horizontal="center" wrapText="1"/>
    </xf>
    <xf numFmtId="0" fontId="138" fillId="15" borderId="63" xfId="0" applyFont="1" applyFill="1" applyBorder="1" applyAlignment="1">
      <alignment horizontal="center" wrapText="1"/>
    </xf>
    <xf numFmtId="0" fontId="0" fillId="15" borderId="70" xfId="0" applyFill="1" applyBorder="1" applyAlignment="1">
      <alignment horizontal="center" wrapText="1"/>
    </xf>
    <xf numFmtId="0" fontId="0" fillId="17" borderId="63" xfId="0" applyFill="1" applyBorder="1" applyAlignment="1">
      <alignment horizontal="center" wrapText="1"/>
    </xf>
    <xf numFmtId="0" fontId="139" fillId="17" borderId="63" xfId="0" applyFont="1" applyFill="1" applyBorder="1" applyAlignment="1">
      <alignment horizontal="center" wrapText="1"/>
    </xf>
    <xf numFmtId="0" fontId="0" fillId="17" borderId="70" xfId="0" applyFill="1" applyBorder="1" applyAlignment="1">
      <alignment horizontal="center" wrapText="1"/>
    </xf>
    <xf numFmtId="0" fontId="0" fillId="11" borderId="65" xfId="0" applyFill="1" applyBorder="1" applyAlignment="1">
      <alignment horizontal="center" wrapText="1"/>
    </xf>
    <xf numFmtId="0" fontId="41" fillId="11" borderId="65" xfId="0" applyFont="1" applyFill="1" applyBorder="1" applyAlignment="1">
      <alignment horizontal="center" wrapText="1"/>
    </xf>
    <xf numFmtId="0" fontId="0" fillId="11" borderId="71" xfId="0" applyFill="1" applyBorder="1" applyAlignment="1">
      <alignment horizontal="center" wrapText="1"/>
    </xf>
    <xf numFmtId="165" fontId="122" fillId="0" borderId="63" xfId="0" applyNumberFormat="1" applyFont="1" applyBorder="1" applyAlignment="1">
      <alignment wrapText="1"/>
    </xf>
    <xf numFmtId="165" fontId="0" fillId="15" borderId="63" xfId="0" applyNumberFormat="1" applyFill="1" applyBorder="1" applyAlignment="1">
      <alignment wrapText="1"/>
    </xf>
    <xf numFmtId="165" fontId="125" fillId="15" borderId="63" xfId="0" applyNumberFormat="1" applyFont="1" applyFill="1" applyBorder="1" applyAlignment="1">
      <alignment wrapText="1"/>
    </xf>
    <xf numFmtId="0" fontId="138" fillId="15" borderId="70" xfId="0" applyFont="1" applyFill="1" applyBorder="1" applyAlignment="1">
      <alignment wrapText="1"/>
    </xf>
    <xf numFmtId="0" fontId="125" fillId="15" borderId="70" xfId="0" applyFont="1" applyFill="1" applyBorder="1" applyAlignment="1">
      <alignment wrapText="1"/>
    </xf>
    <xf numFmtId="165" fontId="0" fillId="17" borderId="63" xfId="0" applyNumberFormat="1" applyFill="1" applyBorder="1" applyAlignment="1">
      <alignment wrapText="1"/>
    </xf>
    <xf numFmtId="165" fontId="125" fillId="17" borderId="63" xfId="0" applyNumberFormat="1" applyFont="1" applyFill="1" applyBorder="1" applyAlignment="1">
      <alignment wrapText="1"/>
    </xf>
    <xf numFmtId="0" fontId="140" fillId="17" borderId="70" xfId="0" applyFont="1" applyFill="1" applyBorder="1" applyAlignment="1">
      <alignment wrapText="1"/>
    </xf>
    <xf numFmtId="165" fontId="0" fillId="17" borderId="65" xfId="0" applyNumberFormat="1" applyFill="1" applyBorder="1" applyAlignment="1">
      <alignment wrapText="1"/>
    </xf>
    <xf numFmtId="165" fontId="125" fillId="17" borderId="65" xfId="0" applyNumberFormat="1" applyFont="1" applyFill="1" applyBorder="1" applyAlignment="1">
      <alignment wrapText="1"/>
    </xf>
    <xf numFmtId="0" fontId="140" fillId="17" borderId="71" xfId="0" applyFont="1" applyFill="1" applyBorder="1" applyAlignment="1">
      <alignment wrapText="1"/>
    </xf>
    <xf numFmtId="0" fontId="127" fillId="2" borderId="66" xfId="0" applyFont="1" applyFill="1" applyBorder="1" applyAlignment="1">
      <alignment horizontal="center" wrapText="1"/>
    </xf>
    <xf numFmtId="0" fontId="108" fillId="2" borderId="69" xfId="0" applyFont="1" applyFill="1" applyBorder="1" applyAlignment="1">
      <alignment wrapText="1"/>
    </xf>
    <xf numFmtId="165" fontId="125" fillId="0" borderId="65" xfId="0" applyNumberFormat="1" applyFont="1" applyBorder="1" applyAlignment="1">
      <alignment wrapText="1"/>
    </xf>
    <xf numFmtId="165" fontId="122" fillId="0" borderId="65" xfId="0" applyNumberFormat="1" applyFont="1" applyBorder="1" applyAlignment="1">
      <alignment wrapText="1"/>
    </xf>
    <xf numFmtId="165" fontId="39" fillId="0" borderId="65" xfId="0" applyNumberFormat="1" applyFont="1" applyBorder="1" applyAlignment="1">
      <alignment wrapText="1"/>
    </xf>
    <xf numFmtId="0" fontId="160" fillId="2" borderId="0" xfId="0" applyFont="1" applyFill="1" applyAlignment="1">
      <alignment horizontal="center" wrapText="1"/>
    </xf>
    <xf numFmtId="1" fontId="131" fillId="0" borderId="67" xfId="0" applyNumberFormat="1" applyFont="1" applyBorder="1" applyAlignment="1">
      <alignment horizontal="center" wrapText="1"/>
    </xf>
    <xf numFmtId="1" fontId="131" fillId="0" borderId="68" xfId="0" applyNumberFormat="1" applyFont="1" applyBorder="1" applyAlignment="1">
      <alignment horizontal="center" wrapText="1"/>
    </xf>
    <xf numFmtId="1" fontId="62" fillId="0" borderId="0" xfId="0" applyNumberFormat="1" applyFont="1" applyAlignment="1">
      <alignment horizontal="center"/>
    </xf>
    <xf numFmtId="165" fontId="57" fillId="0" borderId="0" xfId="0" applyNumberFormat="1" applyFont="1"/>
    <xf numFmtId="0" fontId="104" fillId="0" borderId="0" xfId="0" applyFont="1" applyAlignment="1">
      <alignment wrapText="1"/>
    </xf>
    <xf numFmtId="0" fontId="98" fillId="0" borderId="0" xfId="0" applyFont="1"/>
    <xf numFmtId="0" fontId="132" fillId="0" borderId="0" xfId="0" applyFont="1"/>
    <xf numFmtId="0" fontId="104" fillId="0" borderId="0" xfId="0" applyFont="1"/>
    <xf numFmtId="0" fontId="133" fillId="0" borderId="0" xfId="0" applyFont="1"/>
    <xf numFmtId="173" fontId="161" fillId="0" borderId="19" xfId="0" applyNumberFormat="1" applyFont="1" applyBorder="1"/>
    <xf numFmtId="170" fontId="0" fillId="0" borderId="0" xfId="0" applyNumberFormat="1"/>
    <xf numFmtId="170" fontId="162" fillId="0" borderId="0" xfId="0" applyNumberFormat="1" applyFont="1"/>
    <xf numFmtId="10" fontId="163" fillId="0" borderId="0" xfId="2" applyNumberFormat="1" applyFont="1"/>
    <xf numFmtId="170" fontId="0" fillId="5" borderId="0" xfId="0" applyNumberFormat="1" applyFill="1"/>
    <xf numFmtId="0" fontId="162" fillId="0" borderId="0" xfId="0" applyFont="1" applyAlignment="1">
      <alignment horizontal="centerContinuous"/>
    </xf>
    <xf numFmtId="0" fontId="162" fillId="0" borderId="0" xfId="0" applyFont="1"/>
    <xf numFmtId="9" fontId="163" fillId="0" borderId="0" xfId="0" applyNumberFormat="1" applyFont="1"/>
    <xf numFmtId="14" fontId="86" fillId="2" borderId="18" xfId="0" applyNumberFormat="1" applyFont="1" applyFill="1" applyBorder="1" applyAlignment="1">
      <alignment horizontal="centerContinuous"/>
    </xf>
    <xf numFmtId="0" fontId="86" fillId="2" borderId="16" xfId="0" applyFont="1" applyFill="1" applyBorder="1" applyAlignment="1">
      <alignment horizontal="centerContinuous"/>
    </xf>
    <xf numFmtId="0" fontId="86" fillId="2" borderId="0" xfId="0" applyFont="1" applyFill="1" applyAlignment="1">
      <alignment horizontal="centerContinuous"/>
    </xf>
    <xf numFmtId="0" fontId="86" fillId="2" borderId="28" xfId="0" applyFont="1" applyFill="1" applyBorder="1" applyAlignment="1">
      <alignment horizontal="centerContinuous"/>
    </xf>
    <xf numFmtId="0" fontId="87" fillId="2" borderId="0" xfId="0" applyFont="1" applyFill="1" applyAlignment="1">
      <alignment horizontal="centerContinuous"/>
    </xf>
    <xf numFmtId="4" fontId="31" fillId="0" borderId="0" xfId="0" applyNumberFormat="1" applyFont="1"/>
    <xf numFmtId="4" fontId="49" fillId="0" borderId="30" xfId="0" applyNumberFormat="1" applyFont="1" applyBorder="1"/>
    <xf numFmtId="4" fontId="82" fillId="0" borderId="0" xfId="0" applyNumberFormat="1" applyFont="1"/>
    <xf numFmtId="4" fontId="161" fillId="0" borderId="19" xfId="0" applyNumberFormat="1" applyFont="1" applyBorder="1"/>
    <xf numFmtId="0" fontId="36" fillId="0" borderId="0" xfId="0" applyFont="1"/>
    <xf numFmtId="0" fontId="73" fillId="2" borderId="0" xfId="0" applyFont="1" applyFill="1"/>
    <xf numFmtId="0" fontId="83" fillId="0" borderId="19" xfId="0" applyFont="1" applyBorder="1"/>
    <xf numFmtId="0" fontId="83" fillId="0" borderId="0" xfId="0" applyFont="1"/>
    <xf numFmtId="0" fontId="28" fillId="0" borderId="27" xfId="0" applyFont="1" applyBorder="1"/>
    <xf numFmtId="0" fontId="28" fillId="0" borderId="0" xfId="0" applyFont="1"/>
    <xf numFmtId="0" fontId="28" fillId="0" borderId="16" xfId="0" applyFont="1" applyBorder="1"/>
    <xf numFmtId="0" fontId="47" fillId="0" borderId="29" xfId="0" applyFont="1" applyBorder="1"/>
    <xf numFmtId="0" fontId="28" fillId="0" borderId="30" xfId="0" applyFont="1" applyBorder="1"/>
    <xf numFmtId="0" fontId="35" fillId="0" borderId="16" xfId="0" applyFont="1" applyBorder="1"/>
    <xf numFmtId="0" fontId="35" fillId="0" borderId="0" xfId="0" applyFont="1"/>
    <xf numFmtId="0" fontId="28" fillId="0" borderId="18" xfId="0" applyFont="1" applyBorder="1"/>
    <xf numFmtId="0" fontId="28" fillId="0" borderId="19" xfId="0" applyFont="1" applyBorder="1"/>
    <xf numFmtId="0" fontId="7" fillId="0" borderId="27" xfId="0" applyFont="1" applyBorder="1"/>
    <xf numFmtId="0" fontId="7" fillId="0" borderId="0" xfId="0" applyFont="1"/>
    <xf numFmtId="0" fontId="28" fillId="0" borderId="25" xfId="0" applyFont="1" applyBorder="1"/>
    <xf numFmtId="0" fontId="28" fillId="0" borderId="28" xfId="0" applyFont="1" applyBorder="1"/>
    <xf numFmtId="0" fontId="32" fillId="6" borderId="47" xfId="0" applyFont="1" applyFill="1" applyBorder="1"/>
    <xf numFmtId="0" fontId="32" fillId="6" borderId="48" xfId="0" applyFont="1" applyFill="1" applyBorder="1"/>
    <xf numFmtId="0" fontId="73" fillId="2" borderId="47" xfId="0" applyFont="1" applyFill="1" applyBorder="1"/>
    <xf numFmtId="0" fontId="73" fillId="2" borderId="48" xfId="0" applyFont="1" applyFill="1" applyBorder="1"/>
    <xf numFmtId="0" fontId="32" fillId="0" borderId="0" xfId="0" applyFont="1"/>
    <xf numFmtId="0" fontId="31" fillId="0" borderId="0" xfId="0" applyFont="1"/>
    <xf numFmtId="0" fontId="49" fillId="0" borderId="0" xfId="0" applyFont="1"/>
    <xf numFmtId="0" fontId="129" fillId="0" borderId="0" xfId="0" applyFont="1" applyAlignment="1">
      <alignment horizontal="center" wrapText="1"/>
    </xf>
    <xf numFmtId="0" fontId="104" fillId="0" borderId="0" xfId="0" applyFont="1" applyAlignment="1">
      <alignment horizontal="center" wrapText="1"/>
    </xf>
    <xf numFmtId="0" fontId="149" fillId="0" borderId="0" xfId="0" applyFont="1" applyAlignment="1">
      <alignment horizontal="center" wrapText="1"/>
    </xf>
    <xf numFmtId="0" fontId="50" fillId="0" borderId="0" xfId="0" applyFont="1"/>
    <xf numFmtId="0" fontId="53" fillId="8" borderId="0" xfId="0" applyFont="1" applyFill="1"/>
    <xf numFmtId="0" fontId="6" fillId="0" borderId="0" xfId="0" applyFont="1"/>
    <xf numFmtId="0" fontId="64" fillId="0" borderId="0" xfId="0" applyFont="1"/>
    <xf numFmtId="0" fontId="134" fillId="2" borderId="0" xfId="0" applyFont="1" applyFill="1" applyBorder="1"/>
  </cellXfs>
  <cellStyles count="5">
    <cellStyle name="Comma" xfId="1" builtinId="3"/>
    <cellStyle name="Currency" xfId="3" builtinId="4"/>
    <cellStyle name="Hyperlink" xfId="4"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Global Inflation Trends (2020–2031) — IMF WEO April 2025</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 Source'!$B$5</c:f>
              <c:strCache>
                <c:ptCount val="1"/>
                <c:pt idx="0">
                  <c:v>World</c:v>
                </c:pt>
              </c:strCache>
            </c:strRef>
          </c:tx>
          <c:spPr>
            <a:ln w="28575" cap="rnd">
              <a:solidFill>
                <a:srgbClr val="4472C4"/>
              </a:solidFill>
              <a:prstDash val="solid"/>
              <a:round/>
            </a:ln>
            <a:effectLst/>
          </c:spPr>
          <c:marker>
            <c:symbol val="circle"/>
            <c:size val="6"/>
            <c:spPr>
              <a:solidFill>
                <a:schemeClr val="accent1"/>
              </a:solidFill>
              <a:ln w="9525">
                <a:solidFill>
                  <a:schemeClr val="accent1"/>
                </a:solidFill>
              </a:ln>
              <a:effectLst/>
            </c:spPr>
          </c:marker>
          <c:cat>
            <c:numRef>
              <c:f>'Data Source'!$A$6:$A$17</c:f>
              <c:numCache>
                <c:formatCode>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'Data Source'!$B$6:$B$17</c:f>
              <c:numCache>
                <c:formatCode>0.0%</c:formatCode>
                <c:ptCount val="12"/>
                <c:pt idx="0">
                  <c:v>3.2000000000000001E-2</c:v>
                </c:pt>
                <c:pt idx="1">
                  <c:v>4.7E-2</c:v>
                </c:pt>
                <c:pt idx="2">
                  <c:v>8.6999999999999994E-2</c:v>
                </c:pt>
                <c:pt idx="3">
                  <c:v>6.9000000000000006E-2</c:v>
                </c:pt>
                <c:pt idx="4">
                  <c:v>5.8000000000000003E-2</c:v>
                </c:pt>
                <c:pt idx="5">
                  <c:v>4.1000000000000002E-2</c:v>
                </c:pt>
                <c:pt idx="6">
                  <c:v>4.3999999999999997E-2</c:v>
                </c:pt>
                <c:pt idx="7">
                  <c:v>3.4000000000000002E-2</c:v>
                </c:pt>
                <c:pt idx="8">
                  <c:v>3.1E-2</c:v>
                </c:pt>
                <c:pt idx="9">
                  <c:v>2.9000000000000001E-2</c:v>
                </c:pt>
                <c:pt idx="10">
                  <c:v>2.8000000000000001E-2</c:v>
                </c:pt>
                <c:pt idx="11">
                  <c:v>2.7E-2</c:v>
                </c:pt>
              </c:numCache>
            </c:numRef>
          </c:val>
          <c:smooth val="0"/>
          <c:extLst>
            <c:ext xmlns:c16="http://schemas.microsoft.com/office/drawing/2014/chart" uri="{C3380CC4-5D6E-409C-BE32-E72D297353CC}">
              <c16:uniqueId val="{00000000-2565-DC4B-8859-15A2FC4AF7B6}"/>
            </c:ext>
          </c:extLst>
        </c:ser>
        <c:ser>
          <c:idx val="1"/>
          <c:order val="1"/>
          <c:tx>
            <c:strRef>
              <c:f>'Data Source'!$C$5</c:f>
              <c:strCache>
                <c:ptCount val="1"/>
                <c:pt idx="0">
                  <c:v>Advanced</c:v>
                </c:pt>
              </c:strCache>
            </c:strRef>
          </c:tx>
          <c:spPr>
            <a:ln w="28575" cap="rnd">
              <a:solidFill>
                <a:srgbClr val="ED7D31"/>
              </a:solidFill>
              <a:prstDash val="solid"/>
              <a:round/>
            </a:ln>
            <a:effectLst/>
          </c:spPr>
          <c:marker>
            <c:symbol val="circle"/>
            <c:size val="6"/>
            <c:spPr>
              <a:solidFill>
                <a:schemeClr val="accent2"/>
              </a:solidFill>
              <a:ln w="9525">
                <a:solidFill>
                  <a:schemeClr val="accent2"/>
                </a:solidFill>
              </a:ln>
              <a:effectLst/>
            </c:spPr>
          </c:marker>
          <c:cat>
            <c:numRef>
              <c:f>'Data Source'!$A$6:$A$17</c:f>
              <c:numCache>
                <c:formatCode>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'Data Source'!$C$6:$C$17</c:f>
              <c:numCache>
                <c:formatCode>0.0%</c:formatCode>
                <c:ptCount val="12"/>
                <c:pt idx="0">
                  <c:v>7.0000000000000001E-3</c:v>
                </c:pt>
                <c:pt idx="1">
                  <c:v>3.1E-2</c:v>
                </c:pt>
                <c:pt idx="2">
                  <c:v>7.2999999999999995E-2</c:v>
                </c:pt>
                <c:pt idx="3">
                  <c:v>4.5999999999999999E-2</c:v>
                </c:pt>
                <c:pt idx="4">
                  <c:v>2.7E-2</c:v>
                </c:pt>
                <c:pt idx="5">
                  <c:v>2.5000000000000001E-2</c:v>
                </c:pt>
                <c:pt idx="6">
                  <c:v>2.7E-2</c:v>
                </c:pt>
                <c:pt idx="7">
                  <c:v>2.1999999999999999E-2</c:v>
                </c:pt>
                <c:pt idx="8">
                  <c:v>2.1000000000000001E-2</c:v>
                </c:pt>
                <c:pt idx="9">
                  <c:v>0.02</c:v>
                </c:pt>
                <c:pt idx="10">
                  <c:v>0.02</c:v>
                </c:pt>
                <c:pt idx="11">
                  <c:v>1.9E-2</c:v>
                </c:pt>
              </c:numCache>
            </c:numRef>
          </c:val>
          <c:smooth val="0"/>
          <c:extLst>
            <c:ext xmlns:c16="http://schemas.microsoft.com/office/drawing/2014/chart" uri="{C3380CC4-5D6E-409C-BE32-E72D297353CC}">
              <c16:uniqueId val="{00000001-2565-DC4B-8859-15A2FC4AF7B6}"/>
            </c:ext>
          </c:extLst>
        </c:ser>
        <c:ser>
          <c:idx val="2"/>
          <c:order val="2"/>
          <c:tx>
            <c:strRef>
              <c:f>'Data Source'!$D$5</c:f>
              <c:strCache>
                <c:ptCount val="1"/>
                <c:pt idx="0">
                  <c:v>Emerging</c:v>
                </c:pt>
              </c:strCache>
            </c:strRef>
          </c:tx>
          <c:spPr>
            <a:ln w="28575" cap="rnd">
              <a:solidFill>
                <a:srgbClr val="70AD47"/>
              </a:solidFill>
              <a:prstDash val="solid"/>
              <a:round/>
            </a:ln>
            <a:effectLst/>
          </c:spPr>
          <c:marker>
            <c:symbol val="circle"/>
            <c:size val="6"/>
            <c:spPr>
              <a:solidFill>
                <a:schemeClr val="accent3"/>
              </a:solidFill>
              <a:ln w="9525">
                <a:solidFill>
                  <a:schemeClr val="accent3"/>
                </a:solidFill>
              </a:ln>
              <a:effectLst/>
            </c:spPr>
          </c:marker>
          <c:cat>
            <c:numRef>
              <c:f>'Data Source'!$A$6:$A$17</c:f>
              <c:numCache>
                <c:formatCode>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'Data Source'!$D$6:$D$17</c:f>
              <c:numCache>
                <c:formatCode>0.0%</c:formatCode>
                <c:ptCount val="12"/>
                <c:pt idx="0">
                  <c:v>5.0999999999999997E-2</c:v>
                </c:pt>
                <c:pt idx="1">
                  <c:v>5.8999999999999997E-2</c:v>
                </c:pt>
                <c:pt idx="2">
                  <c:v>9.8000000000000004E-2</c:v>
                </c:pt>
                <c:pt idx="3">
                  <c:v>8.5000000000000006E-2</c:v>
                </c:pt>
                <c:pt idx="4">
                  <c:v>7.8E-2</c:v>
                </c:pt>
                <c:pt idx="5">
                  <c:v>5.7000000000000002E-2</c:v>
                </c:pt>
                <c:pt idx="6">
                  <c:v>5.8000000000000003E-2</c:v>
                </c:pt>
                <c:pt idx="7">
                  <c:v>4.2999999999999997E-2</c:v>
                </c:pt>
                <c:pt idx="8">
                  <c:v>0.04</c:v>
                </c:pt>
                <c:pt idx="9">
                  <c:v>3.6999999999999998E-2</c:v>
                </c:pt>
                <c:pt idx="10">
                  <c:v>3.5000000000000003E-2</c:v>
                </c:pt>
                <c:pt idx="11">
                  <c:v>3.3000000000000002E-2</c:v>
                </c:pt>
              </c:numCache>
            </c:numRef>
          </c:val>
          <c:smooth val="0"/>
          <c:extLst>
            <c:ext xmlns:c16="http://schemas.microsoft.com/office/drawing/2014/chart" uri="{C3380CC4-5D6E-409C-BE32-E72D297353CC}">
              <c16:uniqueId val="{00000002-2565-DC4B-8859-15A2FC4AF7B6}"/>
            </c:ext>
          </c:extLst>
        </c:ser>
        <c:ser>
          <c:idx val="3"/>
          <c:order val="3"/>
          <c:tx>
            <c:strRef>
              <c:f>'Data Source'!$E$5</c:f>
              <c:strCache>
                <c:ptCount val="1"/>
                <c:pt idx="0">
                  <c:v>US</c:v>
                </c:pt>
              </c:strCache>
            </c:strRef>
          </c:tx>
          <c:spPr>
            <a:ln w="28575" cap="rnd">
              <a:solidFill>
                <a:srgbClr val="FF0000"/>
              </a:solidFill>
              <a:prstDash val="solid"/>
              <a:round/>
            </a:ln>
            <a:effectLst/>
          </c:spPr>
          <c:marker>
            <c:symbol val="circle"/>
            <c:size val="6"/>
            <c:spPr>
              <a:solidFill>
                <a:schemeClr val="accent4"/>
              </a:solidFill>
              <a:ln w="9525">
                <a:solidFill>
                  <a:schemeClr val="accent4"/>
                </a:solidFill>
              </a:ln>
              <a:effectLst/>
            </c:spPr>
          </c:marker>
          <c:cat>
            <c:numRef>
              <c:f>'Data Source'!$A$6:$A$17</c:f>
              <c:numCache>
                <c:formatCode>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'Data Source'!$E$6:$E$17</c:f>
              <c:numCache>
                <c:formatCode>0.0%</c:formatCode>
                <c:ptCount val="12"/>
                <c:pt idx="0">
                  <c:v>2.027E-2</c:v>
                </c:pt>
                <c:pt idx="1">
                  <c:v>4.7E-2</c:v>
                </c:pt>
                <c:pt idx="2">
                  <c:v>0.08</c:v>
                </c:pt>
                <c:pt idx="3">
                  <c:v>4.1000000000000002E-2</c:v>
                </c:pt>
                <c:pt idx="4">
                  <c:v>2.9000000000000001E-2</c:v>
                </c:pt>
                <c:pt idx="5">
                  <c:v>2.7E-2</c:v>
                </c:pt>
                <c:pt idx="6">
                  <c:v>3.2000000000000001E-2</c:v>
                </c:pt>
                <c:pt idx="7">
                  <c:v>2.1000000000000001E-2</c:v>
                </c:pt>
                <c:pt idx="8">
                  <c:v>2.1000000000000001E-2</c:v>
                </c:pt>
                <c:pt idx="9">
                  <c:v>2.1000000000000001E-2</c:v>
                </c:pt>
                <c:pt idx="10">
                  <c:v>0.02</c:v>
                </c:pt>
                <c:pt idx="11">
                  <c:v>0.02</c:v>
                </c:pt>
              </c:numCache>
            </c:numRef>
          </c:val>
          <c:smooth val="0"/>
          <c:extLst>
            <c:ext xmlns:c16="http://schemas.microsoft.com/office/drawing/2014/chart" uri="{C3380CC4-5D6E-409C-BE32-E72D297353CC}">
              <c16:uniqueId val="{00000003-2565-DC4B-8859-15A2FC4AF7B6}"/>
            </c:ext>
          </c:extLst>
        </c:ser>
        <c:ser>
          <c:idx val="4"/>
          <c:order val="4"/>
          <c:tx>
            <c:strRef>
              <c:f>'Data Source'!$F$5</c:f>
              <c:strCache>
                <c:ptCount val="1"/>
                <c:pt idx="0">
                  <c:v>Euro Area</c:v>
                </c:pt>
              </c:strCache>
            </c:strRef>
          </c:tx>
          <c:spPr>
            <a:ln w="28575" cap="rnd">
              <a:solidFill>
                <a:srgbClr val="7030A0"/>
              </a:solidFill>
              <a:prstDash val="solid"/>
              <a:round/>
            </a:ln>
            <a:effectLst/>
          </c:spPr>
          <c:marker>
            <c:symbol val="circle"/>
            <c:size val="6"/>
            <c:spPr>
              <a:solidFill>
                <a:schemeClr val="accent5"/>
              </a:solidFill>
              <a:ln w="9525">
                <a:solidFill>
                  <a:schemeClr val="accent5"/>
                </a:solidFill>
              </a:ln>
              <a:effectLst/>
            </c:spPr>
          </c:marker>
          <c:cat>
            <c:numRef>
              <c:f>'Data Source'!$A$6:$A$17</c:f>
              <c:numCache>
                <c:formatCode>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'Data Source'!$F$6:$F$17</c:f>
              <c:numCache>
                <c:formatCode>0.0%</c:formatCode>
                <c:ptCount val="12"/>
                <c:pt idx="0">
                  <c:v>3.0000000000000001E-3</c:v>
                </c:pt>
                <c:pt idx="1">
                  <c:v>2.5999999999999999E-2</c:v>
                </c:pt>
                <c:pt idx="2">
                  <c:v>8.4000000000000005E-2</c:v>
                </c:pt>
                <c:pt idx="3">
                  <c:v>5.3999999999999999E-2</c:v>
                </c:pt>
                <c:pt idx="4">
                  <c:v>2.4E-2</c:v>
                </c:pt>
                <c:pt idx="5">
                  <c:v>2.1000000000000001E-2</c:v>
                </c:pt>
                <c:pt idx="6">
                  <c:v>2.5999999999999999E-2</c:v>
                </c:pt>
                <c:pt idx="7">
                  <c:v>2.1999999999999999E-2</c:v>
                </c:pt>
                <c:pt idx="8">
                  <c:v>0.02</c:v>
                </c:pt>
                <c:pt idx="9">
                  <c:v>0.02</c:v>
                </c:pt>
                <c:pt idx="10">
                  <c:v>0.02</c:v>
                </c:pt>
                <c:pt idx="11">
                  <c:v>1.9E-2</c:v>
                </c:pt>
              </c:numCache>
            </c:numRef>
          </c:val>
          <c:smooth val="0"/>
          <c:extLst>
            <c:ext xmlns:c16="http://schemas.microsoft.com/office/drawing/2014/chart" uri="{C3380CC4-5D6E-409C-BE32-E72D297353CC}">
              <c16:uniqueId val="{00000004-2565-DC4B-8859-15A2FC4AF7B6}"/>
            </c:ext>
          </c:extLst>
        </c:ser>
        <c:dLbls>
          <c:showLegendKey val="0"/>
          <c:showVal val="0"/>
          <c:showCatName val="0"/>
          <c:showSerName val="0"/>
          <c:showPercent val="0"/>
          <c:showBubbleSize val="0"/>
        </c:dLbls>
        <c:marker val="1"/>
        <c:smooth val="0"/>
        <c:axId val="1494560671"/>
        <c:axId val="1494389759"/>
      </c:lineChart>
      <c:catAx>
        <c:axId val="149456067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89759"/>
        <c:crosses val="autoZero"/>
        <c:auto val="1"/>
        <c:lblAlgn val="ctr"/>
        <c:lblOffset val="100"/>
        <c:noMultiLvlLbl val="0"/>
      </c:catAx>
      <c:valAx>
        <c:axId val="1494389759"/>
        <c:scaling>
          <c:orientation val="minMax"/>
          <c:max val="0.1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Inflation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560671"/>
        <c:crosses val="autoZero"/>
        <c:crossBetween val="between"/>
      </c:valAx>
      <c:spPr>
        <a:solidFill>
          <a:srgbClr val="F8F8F8"/>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U.S. CPI Inflation — Historical &amp; Forecasts (2019–2030)</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 Source'!$J$128</c:f>
              <c:strCache>
                <c:ptCount val="1"/>
                <c:pt idx="0">
                  <c:v>Headline CPI</c:v>
                </c:pt>
              </c:strCache>
            </c:strRef>
          </c:tx>
          <c:spPr>
            <a:ln w="28575" cap="rnd">
              <a:solidFill>
                <a:srgbClr val="FF0000"/>
              </a:solidFill>
              <a:prstDash val="solid"/>
              <a:round/>
            </a:ln>
            <a:effectLst/>
          </c:spPr>
          <c:marker>
            <c:symbol val="circle"/>
            <c:size val="6"/>
            <c:spPr>
              <a:solidFill>
                <a:schemeClr val="accent1"/>
              </a:solidFill>
              <a:ln w="9525">
                <a:solidFill>
                  <a:schemeClr val="accent1"/>
                </a:solidFill>
              </a:ln>
              <a:effectLst/>
            </c:spPr>
          </c:marker>
          <c:cat>
            <c:numRef>
              <c:f>'Data Source'!$I$129:$I$140</c:f>
              <c:numCache>
                <c:formatCode>0</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'Data Source'!$J$129:$J$140</c:f>
              <c:numCache>
                <c:formatCode>0.0%</c:formatCode>
                <c:ptCount val="12"/>
                <c:pt idx="0">
                  <c:v>2.3E-2</c:v>
                </c:pt>
                <c:pt idx="1">
                  <c:v>1.2E-2</c:v>
                </c:pt>
                <c:pt idx="2">
                  <c:v>4.7E-2</c:v>
                </c:pt>
                <c:pt idx="3">
                  <c:v>0.08</c:v>
                </c:pt>
                <c:pt idx="4">
                  <c:v>4.1000000000000002E-2</c:v>
                </c:pt>
                <c:pt idx="5">
                  <c:v>2.9000000000000001E-2</c:v>
                </c:pt>
                <c:pt idx="6">
                  <c:v>2.7E-2</c:v>
                </c:pt>
                <c:pt idx="7">
                  <c:v>3.3000000000000002E-2</c:v>
                </c:pt>
                <c:pt idx="8">
                  <c:v>0</c:v>
                </c:pt>
                <c:pt idx="9">
                  <c:v>0</c:v>
                </c:pt>
                <c:pt idx="10">
                  <c:v>0</c:v>
                </c:pt>
                <c:pt idx="11">
                  <c:v>0</c:v>
                </c:pt>
              </c:numCache>
            </c:numRef>
          </c:val>
          <c:smooth val="0"/>
          <c:extLst>
            <c:ext xmlns:c16="http://schemas.microsoft.com/office/drawing/2014/chart" uri="{C3380CC4-5D6E-409C-BE32-E72D297353CC}">
              <c16:uniqueId val="{00000000-E03F-954D-B0CC-09CF8FABACD8}"/>
            </c:ext>
          </c:extLst>
        </c:ser>
        <c:ser>
          <c:idx val="1"/>
          <c:order val="1"/>
          <c:tx>
            <c:strRef>
              <c:f>'Data Source'!$K$128</c:f>
              <c:strCache>
                <c:ptCount val="1"/>
                <c:pt idx="0">
                  <c:v>Core CPI</c:v>
                </c:pt>
              </c:strCache>
            </c:strRef>
          </c:tx>
          <c:spPr>
            <a:ln w="28575" cap="rnd">
              <a:solidFill>
                <a:srgbClr val="ED7D31"/>
              </a:solidFill>
              <a:prstDash val="solid"/>
              <a:round/>
            </a:ln>
            <a:effectLst/>
          </c:spPr>
          <c:marker>
            <c:symbol val="diamond"/>
            <c:size val="6"/>
            <c:spPr>
              <a:solidFill>
                <a:schemeClr val="accent2"/>
              </a:solidFill>
              <a:ln w="9525">
                <a:solidFill>
                  <a:schemeClr val="accent2"/>
                </a:solidFill>
              </a:ln>
              <a:effectLst/>
            </c:spPr>
          </c:marker>
          <c:cat>
            <c:numRef>
              <c:f>'Data Source'!$I$129:$I$140</c:f>
              <c:numCache>
                <c:formatCode>0</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'Data Source'!$K$129:$K$140</c:f>
              <c:numCache>
                <c:formatCode>0.0%</c:formatCode>
                <c:ptCount val="12"/>
                <c:pt idx="0">
                  <c:v>2.3E-2</c:v>
                </c:pt>
                <c:pt idx="1">
                  <c:v>1.7000000000000001E-2</c:v>
                </c:pt>
                <c:pt idx="2">
                  <c:v>3.5999999999999997E-2</c:v>
                </c:pt>
                <c:pt idx="3">
                  <c:v>6.0999999999999999E-2</c:v>
                </c:pt>
                <c:pt idx="4">
                  <c:v>4.8000000000000001E-2</c:v>
                </c:pt>
                <c:pt idx="5">
                  <c:v>3.3000000000000002E-2</c:v>
                </c:pt>
                <c:pt idx="6">
                  <c:v>2.8000000000000001E-2</c:v>
                </c:pt>
                <c:pt idx="7">
                  <c:v>2.5999999999999999E-2</c:v>
                </c:pt>
              </c:numCache>
            </c:numRef>
          </c:val>
          <c:smooth val="0"/>
          <c:extLst>
            <c:ext xmlns:c16="http://schemas.microsoft.com/office/drawing/2014/chart" uri="{C3380CC4-5D6E-409C-BE32-E72D297353CC}">
              <c16:uniqueId val="{00000001-E03F-954D-B0CC-09CF8FABACD8}"/>
            </c:ext>
          </c:extLst>
        </c:ser>
        <c:ser>
          <c:idx val="2"/>
          <c:order val="2"/>
          <c:tx>
            <c:strRef>
              <c:f>'Data Source'!$L$128</c:f>
              <c:strCache>
                <c:ptCount val="1"/>
                <c:pt idx="0">
                  <c:v>CBO Forecast</c:v>
                </c:pt>
              </c:strCache>
            </c:strRef>
          </c:tx>
          <c:spPr>
            <a:ln w="28575" cap="rnd">
              <a:solidFill>
                <a:srgbClr val="4472C4"/>
              </a:solidFill>
              <a:prstDash val="lgDash"/>
              <a:round/>
            </a:ln>
            <a:effectLst/>
          </c:spPr>
          <c:marker>
            <c:symbol val="square"/>
            <c:size val="6"/>
            <c:spPr>
              <a:solidFill>
                <a:schemeClr val="accent3"/>
              </a:solidFill>
              <a:ln w="9525">
                <a:solidFill>
                  <a:schemeClr val="accent3"/>
                </a:solidFill>
              </a:ln>
              <a:effectLst/>
            </c:spPr>
          </c:marker>
          <c:cat>
            <c:numRef>
              <c:f>'Data Source'!$I$129:$I$140</c:f>
              <c:numCache>
                <c:formatCode>0</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'Data Source'!$L$129:$L$140</c:f>
              <c:numCache>
                <c:formatCode>0.0%</c:formatCode>
                <c:ptCount val="12"/>
                <c:pt idx="7">
                  <c:v>2.8000000000000001E-2</c:v>
                </c:pt>
                <c:pt idx="8">
                  <c:v>2.4E-2</c:v>
                </c:pt>
                <c:pt idx="9">
                  <c:v>2.3E-2</c:v>
                </c:pt>
                <c:pt idx="10">
                  <c:v>2.3E-2</c:v>
                </c:pt>
                <c:pt idx="11">
                  <c:v>2.3E-2</c:v>
                </c:pt>
              </c:numCache>
            </c:numRef>
          </c:val>
          <c:smooth val="0"/>
          <c:extLst>
            <c:ext xmlns:c16="http://schemas.microsoft.com/office/drawing/2014/chart" uri="{C3380CC4-5D6E-409C-BE32-E72D297353CC}">
              <c16:uniqueId val="{00000002-E03F-954D-B0CC-09CF8FABACD8}"/>
            </c:ext>
          </c:extLst>
        </c:ser>
        <c:ser>
          <c:idx val="3"/>
          <c:order val="3"/>
          <c:tx>
            <c:strRef>
              <c:f>'Data Source'!$M$128</c:f>
              <c:strCache>
                <c:ptCount val="1"/>
                <c:pt idx="0">
                  <c:v>Fed (FOMC)</c:v>
                </c:pt>
              </c:strCache>
            </c:strRef>
          </c:tx>
          <c:spPr>
            <a:ln w="28575" cap="rnd">
              <a:solidFill>
                <a:srgbClr val="70AD47"/>
              </a:solidFill>
              <a:prstDash val="lgDash"/>
              <a:round/>
            </a:ln>
            <a:effectLst/>
          </c:spPr>
          <c:marker>
            <c:symbol val="triangle"/>
            <c:size val="6"/>
            <c:spPr>
              <a:solidFill>
                <a:schemeClr val="accent4"/>
              </a:solidFill>
              <a:ln w="9525">
                <a:solidFill>
                  <a:schemeClr val="accent4"/>
                </a:solidFill>
              </a:ln>
              <a:effectLst/>
            </c:spPr>
          </c:marker>
          <c:cat>
            <c:numRef>
              <c:f>'Data Source'!$I$129:$I$140</c:f>
              <c:numCache>
                <c:formatCode>0</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'Data Source'!$M$129:$M$140</c:f>
              <c:numCache>
                <c:formatCode>0.0%</c:formatCode>
                <c:ptCount val="12"/>
                <c:pt idx="7">
                  <c:v>2.5000000000000001E-2</c:v>
                </c:pt>
                <c:pt idx="8">
                  <c:v>2.1000000000000001E-2</c:v>
                </c:pt>
                <c:pt idx="9">
                  <c:v>0.02</c:v>
                </c:pt>
                <c:pt idx="10">
                  <c:v>0.02</c:v>
                </c:pt>
                <c:pt idx="11">
                  <c:v>0.02</c:v>
                </c:pt>
              </c:numCache>
            </c:numRef>
          </c:val>
          <c:smooth val="0"/>
          <c:extLst>
            <c:ext xmlns:c16="http://schemas.microsoft.com/office/drawing/2014/chart" uri="{C3380CC4-5D6E-409C-BE32-E72D297353CC}">
              <c16:uniqueId val="{00000003-E03F-954D-B0CC-09CF8FABACD8}"/>
            </c:ext>
          </c:extLst>
        </c:ser>
        <c:ser>
          <c:idx val="4"/>
          <c:order val="4"/>
          <c:tx>
            <c:strRef>
              <c:f>'Data Source'!$N$128</c:f>
              <c:strCache>
                <c:ptCount val="1"/>
                <c:pt idx="0">
                  <c:v>IMF</c:v>
                </c:pt>
              </c:strCache>
            </c:strRef>
          </c:tx>
          <c:spPr>
            <a:ln w="28575" cap="rnd">
              <a:solidFill>
                <a:srgbClr val="7030A0"/>
              </a:solidFill>
              <a:prstDash val="lgDash"/>
              <a:round/>
            </a:ln>
            <a:effectLst/>
          </c:spPr>
          <c:marker>
            <c:symbol val="star"/>
            <c:size val="6"/>
            <c:spPr>
              <a:noFill/>
              <a:ln w="9525">
                <a:solidFill>
                  <a:schemeClr val="accent5"/>
                </a:solidFill>
              </a:ln>
              <a:effectLst/>
            </c:spPr>
          </c:marker>
          <c:cat>
            <c:numRef>
              <c:f>'Data Source'!$I$129:$I$140</c:f>
              <c:numCache>
                <c:formatCode>0</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'Data Source'!$N$129:$N$140</c:f>
              <c:numCache>
                <c:formatCode>0.0%</c:formatCode>
                <c:ptCount val="12"/>
                <c:pt idx="1">
                  <c:v>1.2E-2</c:v>
                </c:pt>
                <c:pt idx="2">
                  <c:v>4.7E-2</c:v>
                </c:pt>
                <c:pt idx="3">
                  <c:v>0.08</c:v>
                </c:pt>
                <c:pt idx="4">
                  <c:v>4.1000000000000002E-2</c:v>
                </c:pt>
                <c:pt idx="5">
                  <c:v>2.9000000000000001E-2</c:v>
                </c:pt>
                <c:pt idx="6">
                  <c:v>2.7E-2</c:v>
                </c:pt>
                <c:pt idx="7">
                  <c:v>3.2000000000000001E-2</c:v>
                </c:pt>
                <c:pt idx="8">
                  <c:v>2.1000000000000001E-2</c:v>
                </c:pt>
                <c:pt idx="9">
                  <c:v>2.1000000000000001E-2</c:v>
                </c:pt>
              </c:numCache>
            </c:numRef>
          </c:val>
          <c:smooth val="0"/>
          <c:extLst>
            <c:ext xmlns:c16="http://schemas.microsoft.com/office/drawing/2014/chart" uri="{C3380CC4-5D6E-409C-BE32-E72D297353CC}">
              <c16:uniqueId val="{00000004-E03F-954D-B0CC-09CF8FABACD8}"/>
            </c:ext>
          </c:extLst>
        </c:ser>
        <c:dLbls>
          <c:showLegendKey val="0"/>
          <c:showVal val="0"/>
          <c:showCatName val="0"/>
          <c:showSerName val="0"/>
          <c:showPercent val="0"/>
          <c:showBubbleSize val="0"/>
        </c:dLbls>
        <c:marker val="1"/>
        <c:smooth val="0"/>
        <c:axId val="1496121663"/>
        <c:axId val="1426190591"/>
      </c:lineChart>
      <c:catAx>
        <c:axId val="1496121663"/>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190591"/>
        <c:crosses val="autoZero"/>
        <c:auto val="1"/>
        <c:lblAlgn val="ctr"/>
        <c:lblOffset val="100"/>
        <c:noMultiLvlLbl val="0"/>
      </c:catAx>
      <c:valAx>
        <c:axId val="1426190591"/>
        <c:scaling>
          <c:orientation val="minMax"/>
          <c:max val="0.09"/>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CPI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121663"/>
        <c:crosses val="autoZero"/>
        <c:crossBetween val="between"/>
      </c:valAx>
      <c:spPr>
        <a:solidFill>
          <a:srgbClr val="F8F8F8"/>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Global Real GDP Growth (2020–2031) — IMF WEO April 2025</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 Source'!$B$30</c:f>
              <c:strCache>
                <c:ptCount val="1"/>
                <c:pt idx="0">
                  <c:v>World</c:v>
                </c:pt>
              </c:strCache>
            </c:strRef>
          </c:tx>
          <c:spPr>
            <a:ln w="28575" cap="rnd">
              <a:solidFill>
                <a:srgbClr val="4472C4"/>
              </a:solidFill>
              <a:prstDash val="solid"/>
              <a:round/>
            </a:ln>
            <a:effectLst/>
          </c:spPr>
          <c:marker>
            <c:symbol val="circle"/>
            <c:size val="5"/>
            <c:spPr>
              <a:solidFill>
                <a:schemeClr val="accent1"/>
              </a:solidFill>
              <a:ln w="9525">
                <a:solidFill>
                  <a:schemeClr val="accent1"/>
                </a:solidFill>
              </a:ln>
              <a:effectLst/>
            </c:spPr>
          </c:marker>
          <c:cat>
            <c:numRef>
              <c:f>'Data Source'!$A$31:$A$42</c:f>
              <c:numCache>
                <c:formatCode>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'Data Source'!$B$31:$B$42</c:f>
              <c:numCache>
                <c:formatCode>0.0%</c:formatCode>
                <c:ptCount val="12"/>
                <c:pt idx="0">
                  <c:v>-2.8000000000000001E-2</c:v>
                </c:pt>
                <c:pt idx="1">
                  <c:v>6.3E-2</c:v>
                </c:pt>
                <c:pt idx="2">
                  <c:v>3.5000000000000003E-2</c:v>
                </c:pt>
                <c:pt idx="3">
                  <c:v>3.4000000000000002E-2</c:v>
                </c:pt>
                <c:pt idx="4">
                  <c:v>3.2000000000000001E-2</c:v>
                </c:pt>
                <c:pt idx="5">
                  <c:v>2.8000000000000001E-2</c:v>
                </c:pt>
                <c:pt idx="6">
                  <c:v>0.03</c:v>
                </c:pt>
                <c:pt idx="7">
                  <c:v>0.03</c:v>
                </c:pt>
                <c:pt idx="8">
                  <c:v>3.1E-2</c:v>
                </c:pt>
                <c:pt idx="9">
                  <c:v>3.1E-2</c:v>
                </c:pt>
                <c:pt idx="10">
                  <c:v>3.1E-2</c:v>
                </c:pt>
                <c:pt idx="11">
                  <c:v>3.1E-2</c:v>
                </c:pt>
              </c:numCache>
            </c:numRef>
          </c:val>
          <c:smooth val="0"/>
          <c:extLst>
            <c:ext xmlns:c16="http://schemas.microsoft.com/office/drawing/2014/chart" uri="{C3380CC4-5D6E-409C-BE32-E72D297353CC}">
              <c16:uniqueId val="{00000000-6DAE-4F46-AB04-5F7B216A508A}"/>
            </c:ext>
          </c:extLst>
        </c:ser>
        <c:ser>
          <c:idx val="1"/>
          <c:order val="1"/>
          <c:tx>
            <c:strRef>
              <c:f>'Data Source'!$C$30</c:f>
              <c:strCache>
                <c:ptCount val="1"/>
                <c:pt idx="0">
                  <c:v>Advanced</c:v>
                </c:pt>
              </c:strCache>
            </c:strRef>
          </c:tx>
          <c:spPr>
            <a:ln w="28575" cap="rnd">
              <a:solidFill>
                <a:srgbClr val="ED7D31"/>
              </a:solidFill>
              <a:prstDash val="solid"/>
              <a:round/>
            </a:ln>
            <a:effectLst/>
          </c:spPr>
          <c:marker>
            <c:symbol val="diamond"/>
            <c:size val="5"/>
            <c:spPr>
              <a:solidFill>
                <a:schemeClr val="accent2"/>
              </a:solidFill>
              <a:ln w="9525">
                <a:solidFill>
                  <a:schemeClr val="accent2"/>
                </a:solidFill>
              </a:ln>
              <a:effectLst/>
            </c:spPr>
          </c:marker>
          <c:cat>
            <c:numRef>
              <c:f>'Data Source'!$A$31:$A$42</c:f>
              <c:numCache>
                <c:formatCode>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'Data Source'!$C$31:$C$42</c:f>
              <c:numCache>
                <c:formatCode>0.0%</c:formatCode>
                <c:ptCount val="12"/>
                <c:pt idx="0">
                  <c:v>-4.2000000000000003E-2</c:v>
                </c:pt>
                <c:pt idx="1">
                  <c:v>5.3999999999999999E-2</c:v>
                </c:pt>
                <c:pt idx="2">
                  <c:v>2.7E-2</c:v>
                </c:pt>
                <c:pt idx="3">
                  <c:v>1.7000000000000001E-2</c:v>
                </c:pt>
                <c:pt idx="4">
                  <c:v>1.7999999999999999E-2</c:v>
                </c:pt>
                <c:pt idx="5">
                  <c:v>1.4E-2</c:v>
                </c:pt>
                <c:pt idx="6">
                  <c:v>1.4999999999999999E-2</c:v>
                </c:pt>
                <c:pt idx="7">
                  <c:v>1.6E-2</c:v>
                </c:pt>
                <c:pt idx="8">
                  <c:v>1.6E-2</c:v>
                </c:pt>
                <c:pt idx="9">
                  <c:v>1.6E-2</c:v>
                </c:pt>
                <c:pt idx="10">
                  <c:v>1.6E-2</c:v>
                </c:pt>
                <c:pt idx="11">
                  <c:v>1.6E-2</c:v>
                </c:pt>
              </c:numCache>
            </c:numRef>
          </c:val>
          <c:smooth val="0"/>
          <c:extLst>
            <c:ext xmlns:c16="http://schemas.microsoft.com/office/drawing/2014/chart" uri="{C3380CC4-5D6E-409C-BE32-E72D297353CC}">
              <c16:uniqueId val="{00000001-6DAE-4F46-AB04-5F7B216A508A}"/>
            </c:ext>
          </c:extLst>
        </c:ser>
        <c:ser>
          <c:idx val="2"/>
          <c:order val="2"/>
          <c:tx>
            <c:strRef>
              <c:f>'Data Source'!$D$30</c:f>
              <c:strCache>
                <c:ptCount val="1"/>
                <c:pt idx="0">
                  <c:v>Emerging</c:v>
                </c:pt>
              </c:strCache>
            </c:strRef>
          </c:tx>
          <c:spPr>
            <a:ln w="28575" cap="rnd">
              <a:solidFill>
                <a:srgbClr val="70AD47"/>
              </a:solidFill>
              <a:prstDash val="solid"/>
              <a:round/>
            </a:ln>
            <a:effectLst/>
          </c:spPr>
          <c:marker>
            <c:symbol val="square"/>
            <c:size val="5"/>
            <c:spPr>
              <a:solidFill>
                <a:schemeClr val="accent3"/>
              </a:solidFill>
              <a:ln w="9525">
                <a:solidFill>
                  <a:schemeClr val="accent3"/>
                </a:solidFill>
              </a:ln>
              <a:effectLst/>
            </c:spPr>
          </c:marker>
          <c:cat>
            <c:numRef>
              <c:f>'Data Source'!$A$31:$A$42</c:f>
              <c:numCache>
                <c:formatCode>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'Data Source'!$D$31:$D$42</c:f>
              <c:numCache>
                <c:formatCode>0.0%</c:formatCode>
                <c:ptCount val="12"/>
                <c:pt idx="0">
                  <c:v>-1.7999999999999999E-2</c:v>
                </c:pt>
                <c:pt idx="1">
                  <c:v>6.9000000000000006E-2</c:v>
                </c:pt>
                <c:pt idx="2">
                  <c:v>4.2000000000000003E-2</c:v>
                </c:pt>
                <c:pt idx="3">
                  <c:v>4.4999999999999998E-2</c:v>
                </c:pt>
                <c:pt idx="4">
                  <c:v>4.2000000000000003E-2</c:v>
                </c:pt>
                <c:pt idx="5">
                  <c:v>3.7999999999999999E-2</c:v>
                </c:pt>
                <c:pt idx="6">
                  <c:v>0.04</c:v>
                </c:pt>
                <c:pt idx="7">
                  <c:v>3.9E-2</c:v>
                </c:pt>
                <c:pt idx="8">
                  <c:v>3.9E-2</c:v>
                </c:pt>
                <c:pt idx="9">
                  <c:v>3.9E-2</c:v>
                </c:pt>
                <c:pt idx="10">
                  <c:v>3.9E-2</c:v>
                </c:pt>
                <c:pt idx="11">
                  <c:v>3.9E-2</c:v>
                </c:pt>
              </c:numCache>
            </c:numRef>
          </c:val>
          <c:smooth val="0"/>
          <c:extLst>
            <c:ext xmlns:c16="http://schemas.microsoft.com/office/drawing/2014/chart" uri="{C3380CC4-5D6E-409C-BE32-E72D297353CC}">
              <c16:uniqueId val="{00000002-6DAE-4F46-AB04-5F7B216A508A}"/>
            </c:ext>
          </c:extLst>
        </c:ser>
        <c:ser>
          <c:idx val="3"/>
          <c:order val="3"/>
          <c:tx>
            <c:strRef>
              <c:f>'Data Source'!$E$30</c:f>
              <c:strCache>
                <c:ptCount val="1"/>
                <c:pt idx="0">
                  <c:v>US</c:v>
                </c:pt>
              </c:strCache>
            </c:strRef>
          </c:tx>
          <c:spPr>
            <a:ln w="28575" cap="rnd">
              <a:solidFill>
                <a:srgbClr val="FF0000"/>
              </a:solidFill>
              <a:prstDash val="solid"/>
              <a:round/>
            </a:ln>
            <a:effectLst/>
          </c:spPr>
          <c:marker>
            <c:symbol val="triangle"/>
            <c:size val="5"/>
            <c:spPr>
              <a:solidFill>
                <a:schemeClr val="accent4"/>
              </a:solidFill>
              <a:ln w="9525">
                <a:solidFill>
                  <a:schemeClr val="accent4"/>
                </a:solidFill>
              </a:ln>
              <a:effectLst/>
            </c:spPr>
          </c:marker>
          <c:cat>
            <c:numRef>
              <c:f>'Data Source'!$A$31:$A$42</c:f>
              <c:numCache>
                <c:formatCode>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'Data Source'!$E$31:$E$42</c:f>
              <c:numCache>
                <c:formatCode>0.0%</c:formatCode>
                <c:ptCount val="12"/>
                <c:pt idx="0">
                  <c:v>-2.8000000000000001E-2</c:v>
                </c:pt>
                <c:pt idx="1">
                  <c:v>5.8999999999999997E-2</c:v>
                </c:pt>
                <c:pt idx="2">
                  <c:v>1.9E-2</c:v>
                </c:pt>
                <c:pt idx="3">
                  <c:v>2.9000000000000001E-2</c:v>
                </c:pt>
                <c:pt idx="4">
                  <c:v>2.8000000000000001E-2</c:v>
                </c:pt>
                <c:pt idx="5">
                  <c:v>1.6E-2</c:v>
                </c:pt>
                <c:pt idx="6">
                  <c:v>1.7000000000000001E-2</c:v>
                </c:pt>
                <c:pt idx="7">
                  <c:v>1.7999999999999999E-2</c:v>
                </c:pt>
                <c:pt idx="8">
                  <c:v>1.9E-2</c:v>
                </c:pt>
                <c:pt idx="9">
                  <c:v>0.02</c:v>
                </c:pt>
                <c:pt idx="10">
                  <c:v>0.02</c:v>
                </c:pt>
                <c:pt idx="11">
                  <c:v>0.02</c:v>
                </c:pt>
              </c:numCache>
            </c:numRef>
          </c:val>
          <c:smooth val="0"/>
          <c:extLst>
            <c:ext xmlns:c16="http://schemas.microsoft.com/office/drawing/2014/chart" uri="{C3380CC4-5D6E-409C-BE32-E72D297353CC}">
              <c16:uniqueId val="{00000003-6DAE-4F46-AB04-5F7B216A508A}"/>
            </c:ext>
          </c:extLst>
        </c:ser>
        <c:ser>
          <c:idx val="4"/>
          <c:order val="4"/>
          <c:tx>
            <c:strRef>
              <c:f>'Data Source'!$F$30</c:f>
              <c:strCache>
                <c:ptCount val="1"/>
                <c:pt idx="0">
                  <c:v>Euro Area</c:v>
                </c:pt>
              </c:strCache>
            </c:strRef>
          </c:tx>
          <c:spPr>
            <a:ln w="28575" cap="rnd">
              <a:solidFill>
                <a:srgbClr val="7030A0"/>
              </a:solidFill>
              <a:prstDash val="solid"/>
              <a:round/>
            </a:ln>
            <a:effectLst/>
          </c:spPr>
          <c:marker>
            <c:symbol val="star"/>
            <c:size val="5"/>
            <c:spPr>
              <a:noFill/>
              <a:ln w="9525">
                <a:solidFill>
                  <a:schemeClr val="accent5"/>
                </a:solidFill>
              </a:ln>
              <a:effectLst/>
            </c:spPr>
          </c:marker>
          <c:cat>
            <c:numRef>
              <c:f>'Data Source'!$A$31:$A$42</c:f>
              <c:numCache>
                <c:formatCode>0</c:formatCode>
                <c:ptCount val="12"/>
                <c:pt idx="0">
                  <c:v>2020</c:v>
                </c:pt>
                <c:pt idx="1">
                  <c:v>2021</c:v>
                </c:pt>
                <c:pt idx="2">
                  <c:v>2022</c:v>
                </c:pt>
                <c:pt idx="3">
                  <c:v>2023</c:v>
                </c:pt>
                <c:pt idx="4">
                  <c:v>2024</c:v>
                </c:pt>
                <c:pt idx="5">
                  <c:v>2025</c:v>
                </c:pt>
                <c:pt idx="6">
                  <c:v>2026</c:v>
                </c:pt>
                <c:pt idx="7">
                  <c:v>2027</c:v>
                </c:pt>
                <c:pt idx="8">
                  <c:v>2028</c:v>
                </c:pt>
                <c:pt idx="9">
                  <c:v>2029</c:v>
                </c:pt>
                <c:pt idx="10">
                  <c:v>2030</c:v>
                </c:pt>
                <c:pt idx="11">
                  <c:v>2031</c:v>
                </c:pt>
              </c:numCache>
            </c:numRef>
          </c:cat>
          <c:val>
            <c:numRef>
              <c:f>'Data Source'!$F$31:$F$42</c:f>
              <c:numCache>
                <c:formatCode>0.0%</c:formatCode>
                <c:ptCount val="12"/>
                <c:pt idx="0">
                  <c:v>-6.3E-2</c:v>
                </c:pt>
                <c:pt idx="1">
                  <c:v>5.6000000000000001E-2</c:v>
                </c:pt>
                <c:pt idx="2">
                  <c:v>3.5999999999999997E-2</c:v>
                </c:pt>
                <c:pt idx="3">
                  <c:v>4.0000000000000001E-3</c:v>
                </c:pt>
                <c:pt idx="4">
                  <c:v>8.0000000000000002E-3</c:v>
                </c:pt>
                <c:pt idx="5">
                  <c:v>8.9999999999999993E-3</c:v>
                </c:pt>
                <c:pt idx="6">
                  <c:v>0.01</c:v>
                </c:pt>
                <c:pt idx="7">
                  <c:v>1.2999999999999999E-2</c:v>
                </c:pt>
                <c:pt idx="8">
                  <c:v>1.2999999999999999E-2</c:v>
                </c:pt>
                <c:pt idx="9">
                  <c:v>1.2999999999999999E-2</c:v>
                </c:pt>
                <c:pt idx="10">
                  <c:v>1.2999999999999999E-2</c:v>
                </c:pt>
                <c:pt idx="11">
                  <c:v>1.2999999999999999E-2</c:v>
                </c:pt>
              </c:numCache>
            </c:numRef>
          </c:val>
          <c:smooth val="0"/>
          <c:extLst>
            <c:ext xmlns:c16="http://schemas.microsoft.com/office/drawing/2014/chart" uri="{C3380CC4-5D6E-409C-BE32-E72D297353CC}">
              <c16:uniqueId val="{00000004-6DAE-4F46-AB04-5F7B216A508A}"/>
            </c:ext>
          </c:extLst>
        </c:ser>
        <c:dLbls>
          <c:showLegendKey val="0"/>
          <c:showVal val="0"/>
          <c:showCatName val="0"/>
          <c:showSerName val="0"/>
          <c:showPercent val="0"/>
          <c:showBubbleSize val="0"/>
        </c:dLbls>
        <c:marker val="1"/>
        <c:smooth val="0"/>
        <c:axId val="1248982032"/>
        <c:axId val="459808095"/>
      </c:lineChart>
      <c:catAx>
        <c:axId val="124898203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808095"/>
        <c:crosses val="autoZero"/>
        <c:auto val="1"/>
        <c:lblAlgn val="ctr"/>
        <c:lblOffset val="100"/>
        <c:noMultiLvlLbl val="0"/>
      </c:catAx>
      <c:valAx>
        <c:axId val="459808095"/>
        <c:scaling>
          <c:orientation val="minMax"/>
          <c:max val="0.1"/>
          <c:min val="-7.0000000000000007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Real GDP Growth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82032"/>
        <c:crosses val="autoZero"/>
        <c:crossBetween val="between"/>
      </c:valAx>
      <c:spPr>
        <a:solidFill>
          <a:srgbClr val="F8F8F8"/>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U.S. Real GDP Growth (2020–2030) — BEA, CBO, Fed, IMF</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 Source'!$L$159</c:f>
              <c:strCache>
                <c:ptCount val="1"/>
                <c:pt idx="0">
                  <c:v>BEA Actual</c:v>
                </c:pt>
              </c:strCache>
            </c:strRef>
          </c:tx>
          <c:spPr>
            <a:ln w="28575" cap="rnd">
              <a:solidFill>
                <a:srgbClr val="FF0000"/>
              </a:solidFill>
              <a:prstDash val="solid"/>
              <a:round/>
            </a:ln>
            <a:effectLst/>
          </c:spPr>
          <c:marker>
            <c:symbol val="circle"/>
            <c:size val="5"/>
            <c:spPr>
              <a:solidFill>
                <a:schemeClr val="accent1"/>
              </a:solidFill>
              <a:ln w="9525">
                <a:solidFill>
                  <a:schemeClr val="accent1"/>
                </a:solidFill>
              </a:ln>
              <a:effectLst/>
            </c:spPr>
          </c:marker>
          <c:cat>
            <c:numRef>
              <c:f>'Data Source'!$K$160:$K$170</c:f>
              <c:numCache>
                <c:formatCode>0</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'Data Source'!$L$160:$L$170</c:f>
              <c:numCache>
                <c:formatCode>0.0%</c:formatCode>
                <c:ptCount val="11"/>
                <c:pt idx="0">
                  <c:v>-2.8000000000000001E-2</c:v>
                </c:pt>
                <c:pt idx="1">
                  <c:v>5.8999999999999997E-2</c:v>
                </c:pt>
                <c:pt idx="2">
                  <c:v>1.9E-2</c:v>
                </c:pt>
                <c:pt idx="3">
                  <c:v>2.9000000000000001E-2</c:v>
                </c:pt>
                <c:pt idx="4">
                  <c:v>2.8000000000000001E-2</c:v>
                </c:pt>
              </c:numCache>
            </c:numRef>
          </c:val>
          <c:smooth val="0"/>
          <c:extLst>
            <c:ext xmlns:c16="http://schemas.microsoft.com/office/drawing/2014/chart" uri="{C3380CC4-5D6E-409C-BE32-E72D297353CC}">
              <c16:uniqueId val="{00000000-3C10-9547-8775-4B1E96B8C3F7}"/>
            </c:ext>
          </c:extLst>
        </c:ser>
        <c:ser>
          <c:idx val="1"/>
          <c:order val="1"/>
          <c:tx>
            <c:strRef>
              <c:f>'Data Source'!$M$159</c:f>
              <c:strCache>
                <c:ptCount val="1"/>
                <c:pt idx="0">
                  <c:v>CBO Forecast</c:v>
                </c:pt>
              </c:strCache>
            </c:strRef>
          </c:tx>
          <c:spPr>
            <a:ln w="28575" cap="rnd">
              <a:solidFill>
                <a:srgbClr val="4472C4"/>
              </a:solidFill>
              <a:prstDash val="lgDash"/>
              <a:round/>
            </a:ln>
            <a:effectLst/>
          </c:spPr>
          <c:marker>
            <c:symbol val="square"/>
            <c:size val="5"/>
            <c:spPr>
              <a:solidFill>
                <a:schemeClr val="accent2"/>
              </a:solidFill>
              <a:ln w="9525">
                <a:solidFill>
                  <a:schemeClr val="accent2"/>
                </a:solidFill>
              </a:ln>
              <a:effectLst/>
            </c:spPr>
          </c:marker>
          <c:cat>
            <c:numRef>
              <c:f>'Data Source'!$K$160:$K$170</c:f>
              <c:numCache>
                <c:formatCode>0</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'Data Source'!$M$160:$M$170</c:f>
              <c:numCache>
                <c:formatCode>0.0%</c:formatCode>
                <c:ptCount val="11"/>
                <c:pt idx="5">
                  <c:v>1.9E-2</c:v>
                </c:pt>
                <c:pt idx="6">
                  <c:v>0.02</c:v>
                </c:pt>
                <c:pt idx="7">
                  <c:v>1.9E-2</c:v>
                </c:pt>
                <c:pt idx="8">
                  <c:v>1.7999999999999999E-2</c:v>
                </c:pt>
                <c:pt idx="9">
                  <c:v>1.7999999999999999E-2</c:v>
                </c:pt>
                <c:pt idx="10">
                  <c:v>1.7999999999999999E-2</c:v>
                </c:pt>
              </c:numCache>
            </c:numRef>
          </c:val>
          <c:smooth val="0"/>
          <c:extLst>
            <c:ext xmlns:c16="http://schemas.microsoft.com/office/drawing/2014/chart" uri="{C3380CC4-5D6E-409C-BE32-E72D297353CC}">
              <c16:uniqueId val="{00000001-3C10-9547-8775-4B1E96B8C3F7}"/>
            </c:ext>
          </c:extLst>
        </c:ser>
        <c:ser>
          <c:idx val="2"/>
          <c:order val="2"/>
          <c:tx>
            <c:strRef>
              <c:f>'Data Source'!$N$159</c:f>
              <c:strCache>
                <c:ptCount val="1"/>
                <c:pt idx="0">
                  <c:v>Fed (FOMC)</c:v>
                </c:pt>
              </c:strCache>
            </c:strRef>
          </c:tx>
          <c:spPr>
            <a:ln w="28575" cap="rnd">
              <a:solidFill>
                <a:srgbClr val="70AD47"/>
              </a:solidFill>
              <a:prstDash val="lgDash"/>
              <a:round/>
            </a:ln>
            <a:effectLst/>
          </c:spPr>
          <c:marker>
            <c:symbol val="triangle"/>
            <c:size val="5"/>
            <c:spPr>
              <a:solidFill>
                <a:schemeClr val="accent3"/>
              </a:solidFill>
              <a:ln w="9525">
                <a:solidFill>
                  <a:schemeClr val="accent3"/>
                </a:solidFill>
              </a:ln>
              <a:effectLst/>
            </c:spPr>
          </c:marker>
          <c:cat>
            <c:numRef>
              <c:f>'Data Source'!$K$160:$K$170</c:f>
              <c:numCache>
                <c:formatCode>0</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'Data Source'!$N$160:$N$170</c:f>
              <c:numCache>
                <c:formatCode>0.0%</c:formatCode>
                <c:ptCount val="11"/>
                <c:pt idx="5">
                  <c:v>1.7000000000000001E-2</c:v>
                </c:pt>
                <c:pt idx="6">
                  <c:v>1.7999999999999999E-2</c:v>
                </c:pt>
                <c:pt idx="7">
                  <c:v>1.7999999999999999E-2</c:v>
                </c:pt>
                <c:pt idx="8">
                  <c:v>1.7999999999999999E-2</c:v>
                </c:pt>
                <c:pt idx="9">
                  <c:v>1.7999999999999999E-2</c:v>
                </c:pt>
                <c:pt idx="10">
                  <c:v>1.7999999999999999E-2</c:v>
                </c:pt>
              </c:numCache>
            </c:numRef>
          </c:val>
          <c:smooth val="0"/>
          <c:extLst>
            <c:ext xmlns:c16="http://schemas.microsoft.com/office/drawing/2014/chart" uri="{C3380CC4-5D6E-409C-BE32-E72D297353CC}">
              <c16:uniqueId val="{00000002-3C10-9547-8775-4B1E96B8C3F7}"/>
            </c:ext>
          </c:extLst>
        </c:ser>
        <c:ser>
          <c:idx val="3"/>
          <c:order val="3"/>
          <c:tx>
            <c:strRef>
              <c:f>'Data Source'!$O$159</c:f>
              <c:strCache>
                <c:ptCount val="1"/>
                <c:pt idx="0">
                  <c:v>IMF</c:v>
                </c:pt>
              </c:strCache>
            </c:strRef>
          </c:tx>
          <c:spPr>
            <a:ln w="28575" cap="rnd">
              <a:solidFill>
                <a:srgbClr val="7030A0"/>
              </a:solidFill>
              <a:prstDash val="solid"/>
              <a:round/>
            </a:ln>
            <a:effectLst/>
          </c:spPr>
          <c:marker>
            <c:symbol val="diamond"/>
            <c:size val="5"/>
            <c:spPr>
              <a:solidFill>
                <a:schemeClr val="accent4"/>
              </a:solidFill>
              <a:ln w="9525">
                <a:solidFill>
                  <a:schemeClr val="accent4"/>
                </a:solidFill>
              </a:ln>
              <a:effectLst/>
            </c:spPr>
          </c:marker>
          <c:cat>
            <c:numRef>
              <c:f>'Data Source'!$K$160:$K$170</c:f>
              <c:numCache>
                <c:formatCode>0</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'Data Source'!$O$160:$O$170</c:f>
              <c:numCache>
                <c:formatCode>0.0%</c:formatCode>
                <c:ptCount val="11"/>
                <c:pt idx="0">
                  <c:v>-2.8000000000000001E-2</c:v>
                </c:pt>
                <c:pt idx="1">
                  <c:v>5.8999999999999997E-2</c:v>
                </c:pt>
                <c:pt idx="2">
                  <c:v>1.9E-2</c:v>
                </c:pt>
                <c:pt idx="3">
                  <c:v>2.9000000000000001E-2</c:v>
                </c:pt>
                <c:pt idx="4">
                  <c:v>2.8000000000000001E-2</c:v>
                </c:pt>
                <c:pt idx="5">
                  <c:v>1.6E-2</c:v>
                </c:pt>
                <c:pt idx="6">
                  <c:v>1.7000000000000001E-2</c:v>
                </c:pt>
                <c:pt idx="7">
                  <c:v>1.7999999999999999E-2</c:v>
                </c:pt>
                <c:pt idx="8">
                  <c:v>1.9E-2</c:v>
                </c:pt>
              </c:numCache>
            </c:numRef>
          </c:val>
          <c:smooth val="0"/>
          <c:extLst>
            <c:ext xmlns:c16="http://schemas.microsoft.com/office/drawing/2014/chart" uri="{C3380CC4-5D6E-409C-BE32-E72D297353CC}">
              <c16:uniqueId val="{00000003-3C10-9547-8775-4B1E96B8C3F7}"/>
            </c:ext>
          </c:extLst>
        </c:ser>
        <c:dLbls>
          <c:showLegendKey val="0"/>
          <c:showVal val="0"/>
          <c:showCatName val="0"/>
          <c:showSerName val="0"/>
          <c:showPercent val="0"/>
          <c:showBubbleSize val="0"/>
        </c:dLbls>
        <c:marker val="1"/>
        <c:smooth val="0"/>
        <c:axId val="1713498544"/>
        <c:axId val="1713500256"/>
      </c:lineChart>
      <c:catAx>
        <c:axId val="171349854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00256"/>
        <c:crosses val="autoZero"/>
        <c:auto val="1"/>
        <c:lblAlgn val="ctr"/>
        <c:lblOffset val="100"/>
        <c:noMultiLvlLbl val="0"/>
      </c:catAx>
      <c:valAx>
        <c:axId val="1713500256"/>
        <c:scaling>
          <c:orientation val="minMax"/>
          <c:max val="7.0000000000000007E-2"/>
          <c:min val="-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Real GDP Growth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498544"/>
        <c:crosses val="autoZero"/>
        <c:crossBetween val="between"/>
      </c:valAx>
      <c:spPr>
        <a:solidFill>
          <a:srgbClr val="F8F8F8"/>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CHD Gross Margin vs. PPI (2020–2030) — Historical &amp; Base Case Forecast</a:t>
            </a:r>
          </a:p>
        </c:rich>
      </c:tx>
      <c:layout>
        <c:manualLayout>
          <c:xMode val="edge"/>
          <c:yMode val="edge"/>
          <c:x val="2.6194753153437598E-3"/>
          <c:y val="4.370698310828347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Source'!$B$107</c:f>
              <c:strCache>
                <c:ptCount val="1"/>
                <c:pt idx="0">
                  <c:v>CHD Gross Margin</c:v>
                </c:pt>
              </c:strCache>
            </c:strRef>
          </c:tx>
          <c:spPr>
            <a:solidFill>
              <a:srgbClr val="4472C4"/>
            </a:solidFill>
            <a:ln>
              <a:noFill/>
            </a:ln>
            <a:effectLst/>
          </c:spPr>
          <c:invertIfNegative val="0"/>
          <c:cat>
            <c:numRef>
              <c:f>'Data Source'!$A$108:$A$119</c:f>
              <c:numCache>
                <c:formatCode>0</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'Data Source'!$B$108:$B$119</c:f>
              <c:numCache>
                <c:formatCode>0.0%</c:formatCode>
                <c:ptCount val="12"/>
                <c:pt idx="0">
                  <c:v>0.45200000000000001</c:v>
                </c:pt>
                <c:pt idx="1">
                  <c:v>0.45200000000000001</c:v>
                </c:pt>
                <c:pt idx="2">
                  <c:v>0.436</c:v>
                </c:pt>
                <c:pt idx="3">
                  <c:v>0.41899999999999998</c:v>
                </c:pt>
                <c:pt idx="4">
                  <c:v>0.441</c:v>
                </c:pt>
                <c:pt idx="5">
                  <c:v>0.45700000000000002</c:v>
                </c:pt>
                <c:pt idx="6">
                  <c:v>0.44700000000000001</c:v>
                </c:pt>
                <c:pt idx="7">
                  <c:v>0.45700000000000002</c:v>
                </c:pt>
                <c:pt idx="8">
                  <c:v>0.46200000000000002</c:v>
                </c:pt>
                <c:pt idx="9">
                  <c:v>0.46800000000000003</c:v>
                </c:pt>
                <c:pt idx="10">
                  <c:v>0.47199999999999998</c:v>
                </c:pt>
                <c:pt idx="11">
                  <c:v>0.47499999999999998</c:v>
                </c:pt>
              </c:numCache>
            </c:numRef>
          </c:val>
          <c:extLst>
            <c:ext xmlns:c16="http://schemas.microsoft.com/office/drawing/2014/chart" uri="{C3380CC4-5D6E-409C-BE32-E72D297353CC}">
              <c16:uniqueId val="{00000000-A7DB-FE40-9E85-ECDA277E3412}"/>
            </c:ext>
          </c:extLst>
        </c:ser>
        <c:dLbls>
          <c:showLegendKey val="0"/>
          <c:showVal val="0"/>
          <c:showCatName val="0"/>
          <c:showSerName val="0"/>
          <c:showPercent val="0"/>
          <c:showBubbleSize val="0"/>
        </c:dLbls>
        <c:gapWidth val="219"/>
        <c:overlap val="-27"/>
        <c:axId val="1211063120"/>
        <c:axId val="1210906336"/>
      </c:barChart>
      <c:lineChart>
        <c:grouping val="standard"/>
        <c:varyColors val="0"/>
        <c:ser>
          <c:idx val="1"/>
          <c:order val="1"/>
          <c:tx>
            <c:strRef>
              <c:f>'Data Source'!$C$107</c:f>
              <c:strCache>
                <c:ptCount val="1"/>
                <c:pt idx="0">
                  <c:v>PPI Final Demand</c:v>
                </c:pt>
              </c:strCache>
            </c:strRef>
          </c:tx>
          <c:spPr>
            <a:ln w="28575" cap="rnd">
              <a:solidFill>
                <a:srgbClr val="FF0000"/>
              </a:solidFill>
              <a:prstDash val="solid"/>
              <a:round/>
            </a:ln>
            <a:effectLst/>
          </c:spPr>
          <c:marker>
            <c:symbol val="circle"/>
            <c:size val="5"/>
            <c:spPr>
              <a:solidFill>
                <a:schemeClr val="accent2"/>
              </a:solidFill>
              <a:ln w="9525">
                <a:solidFill>
                  <a:schemeClr val="accent2"/>
                </a:solidFill>
              </a:ln>
              <a:effectLst/>
            </c:spPr>
          </c:marker>
          <c:cat>
            <c:numRef>
              <c:f>'Data Source'!$A$108:$A$119</c:f>
              <c:numCache>
                <c:formatCode>0</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'Data Source'!$C$108:$C$119</c:f>
              <c:numCache>
                <c:formatCode>0.0%</c:formatCode>
                <c:ptCount val="12"/>
                <c:pt idx="0">
                  <c:v>1.7999999999999999E-2</c:v>
                </c:pt>
                <c:pt idx="1">
                  <c:v>-8.9999999999999993E-3</c:v>
                </c:pt>
                <c:pt idx="2">
                  <c:v>0.1</c:v>
                </c:pt>
                <c:pt idx="3">
                  <c:v>9.5000000000000001E-2</c:v>
                </c:pt>
                <c:pt idx="4">
                  <c:v>1.2E-2</c:v>
                </c:pt>
                <c:pt idx="5">
                  <c:v>1.7999999999999999E-2</c:v>
                </c:pt>
                <c:pt idx="6">
                  <c:v>2.5000000000000001E-2</c:v>
                </c:pt>
                <c:pt idx="7">
                  <c:v>0.03</c:v>
                </c:pt>
                <c:pt idx="8">
                  <c:v>2.5000000000000001E-2</c:v>
                </c:pt>
                <c:pt idx="9">
                  <c:v>2.1999999999999999E-2</c:v>
                </c:pt>
                <c:pt idx="10">
                  <c:v>0.02</c:v>
                </c:pt>
                <c:pt idx="11">
                  <c:v>0.02</c:v>
                </c:pt>
              </c:numCache>
            </c:numRef>
          </c:val>
          <c:smooth val="0"/>
          <c:extLst>
            <c:ext xmlns:c16="http://schemas.microsoft.com/office/drawing/2014/chart" uri="{C3380CC4-5D6E-409C-BE32-E72D297353CC}">
              <c16:uniqueId val="{00000001-A7DB-FE40-9E85-ECDA277E3412}"/>
            </c:ext>
          </c:extLst>
        </c:ser>
        <c:ser>
          <c:idx val="2"/>
          <c:order val="2"/>
          <c:tx>
            <c:strRef>
              <c:f>'Data Source'!$D$107</c:f>
              <c:strCache>
                <c:ptCount val="1"/>
                <c:pt idx="0">
                  <c:v>Chemical PPI (est.)</c:v>
                </c:pt>
              </c:strCache>
            </c:strRef>
          </c:tx>
          <c:spPr>
            <a:ln w="28575" cap="rnd">
              <a:solidFill>
                <a:srgbClr val="ED7D31"/>
              </a:solidFill>
              <a:prstDash val="solid"/>
              <a:round/>
            </a:ln>
            <a:effectLst/>
          </c:spPr>
          <c:marker>
            <c:symbol val="diamond"/>
            <c:size val="5"/>
            <c:spPr>
              <a:solidFill>
                <a:schemeClr val="accent3"/>
              </a:solidFill>
              <a:ln w="9525">
                <a:solidFill>
                  <a:schemeClr val="accent3"/>
                </a:solidFill>
              </a:ln>
              <a:effectLst/>
            </c:spPr>
          </c:marker>
          <c:cat>
            <c:numRef>
              <c:f>'Data Source'!$A$108:$A$119</c:f>
              <c:numCache>
                <c:formatCode>0</c:formatCode>
                <c:ptCount val="12"/>
                <c:pt idx="0">
                  <c:v>2019</c:v>
                </c:pt>
                <c:pt idx="1">
                  <c:v>2020</c:v>
                </c:pt>
                <c:pt idx="2">
                  <c:v>2021</c:v>
                </c:pt>
                <c:pt idx="3">
                  <c:v>2022</c:v>
                </c:pt>
                <c:pt idx="4">
                  <c:v>2023</c:v>
                </c:pt>
                <c:pt idx="5">
                  <c:v>2024</c:v>
                </c:pt>
                <c:pt idx="6">
                  <c:v>2025</c:v>
                </c:pt>
                <c:pt idx="7">
                  <c:v>2026</c:v>
                </c:pt>
                <c:pt idx="8">
                  <c:v>2027</c:v>
                </c:pt>
                <c:pt idx="9">
                  <c:v>2028</c:v>
                </c:pt>
                <c:pt idx="10">
                  <c:v>2029</c:v>
                </c:pt>
                <c:pt idx="11">
                  <c:v>2030</c:v>
                </c:pt>
              </c:numCache>
            </c:numRef>
          </c:cat>
          <c:val>
            <c:numRef>
              <c:f>'Data Source'!$D$108:$D$119</c:f>
              <c:numCache>
                <c:formatCode>0.0%</c:formatCode>
                <c:ptCount val="12"/>
                <c:pt idx="0">
                  <c:v>5.0000000000000001E-3</c:v>
                </c:pt>
                <c:pt idx="1">
                  <c:v>-0.05</c:v>
                </c:pt>
                <c:pt idx="2">
                  <c:v>0.2</c:v>
                </c:pt>
                <c:pt idx="3">
                  <c:v>0.35</c:v>
                </c:pt>
                <c:pt idx="4">
                  <c:v>-0.05</c:v>
                </c:pt>
                <c:pt idx="5">
                  <c:v>0.02</c:v>
                </c:pt>
                <c:pt idx="6">
                  <c:v>0.03</c:v>
                </c:pt>
                <c:pt idx="7">
                  <c:v>2.8000000000000001E-2</c:v>
                </c:pt>
                <c:pt idx="8">
                  <c:v>2.1999999999999999E-2</c:v>
                </c:pt>
                <c:pt idx="9">
                  <c:v>0.02</c:v>
                </c:pt>
                <c:pt idx="10">
                  <c:v>1.7999999999999999E-2</c:v>
                </c:pt>
                <c:pt idx="11">
                  <c:v>1.7999999999999999E-2</c:v>
                </c:pt>
              </c:numCache>
            </c:numRef>
          </c:val>
          <c:smooth val="0"/>
          <c:extLst>
            <c:ext xmlns:c16="http://schemas.microsoft.com/office/drawing/2014/chart" uri="{C3380CC4-5D6E-409C-BE32-E72D297353CC}">
              <c16:uniqueId val="{00000002-A7DB-FE40-9E85-ECDA277E3412}"/>
            </c:ext>
          </c:extLst>
        </c:ser>
        <c:dLbls>
          <c:showLegendKey val="0"/>
          <c:showVal val="0"/>
          <c:showCatName val="0"/>
          <c:showSerName val="0"/>
          <c:showPercent val="0"/>
          <c:showBubbleSize val="0"/>
        </c:dLbls>
        <c:marker val="1"/>
        <c:smooth val="0"/>
        <c:axId val="1934320991"/>
        <c:axId val="1398818015"/>
      </c:lineChart>
      <c:catAx>
        <c:axId val="121106312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906336"/>
        <c:crosses val="autoZero"/>
        <c:auto val="1"/>
        <c:lblAlgn val="ctr"/>
        <c:lblOffset val="100"/>
        <c:noMultiLvlLbl val="0"/>
      </c:catAx>
      <c:valAx>
        <c:axId val="1210906336"/>
        <c:scaling>
          <c:orientation val="minMax"/>
          <c:max val="0.5"/>
          <c:min val="0.3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CHD Gross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63120"/>
        <c:crosses val="autoZero"/>
        <c:crossBetween val="between"/>
      </c:valAx>
      <c:valAx>
        <c:axId val="1398818015"/>
        <c:scaling>
          <c:orientation val="minMax"/>
          <c:max val="0.45"/>
          <c:min val="-0.3"/>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PPI YoY Change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320991"/>
        <c:crosses val="max"/>
        <c:crossBetween val="between"/>
      </c:valAx>
      <c:catAx>
        <c:axId val="1934320991"/>
        <c:scaling>
          <c:orientation val="minMax"/>
        </c:scaling>
        <c:delete val="1"/>
        <c:axPos val="b"/>
        <c:numFmt formatCode="0" sourceLinked="1"/>
        <c:majorTickMark val="out"/>
        <c:minorTickMark val="none"/>
        <c:tickLblPos val="nextTo"/>
        <c:crossAx val="1398818015"/>
        <c:crosses val="autoZero"/>
        <c:auto val="1"/>
        <c:lblAlgn val="ctr"/>
        <c:lblOffset val="100"/>
        <c:noMultiLvlLbl val="0"/>
      </c:catAx>
      <c:spPr>
        <a:solidFill>
          <a:srgbClr val="F8F8F8"/>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15" fmlaLink="$B$3" fmlaRange="$D$14:$D$16" noThreeD="1" sel="1" val="0"/>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190500</xdr:colOff>
      <xdr:row>93</xdr:row>
      <xdr:rowOff>152400</xdr:rowOff>
    </xdr:to>
    <xdr:sp macro="" textlink="">
      <xdr:nvSpPr>
        <xdr:cNvPr id="3076" name="AutoShape 4">
          <a:extLst>
            <a:ext uri="{FF2B5EF4-FFF2-40B4-BE49-F238E27FC236}">
              <a16:creationId xmlns:a16="http://schemas.microsoft.com/office/drawing/2014/main" id="{447B8C3B-445F-D6E8-D6D4-76F3BEC16E7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1</xdr:col>
          <xdr:colOff>1422400</xdr:colOff>
          <xdr:row>4</xdr:row>
          <xdr:rowOff>139700</xdr:rowOff>
        </xdr:to>
        <xdr:sp macro="" textlink="">
          <xdr:nvSpPr>
            <xdr:cNvPr id="7170" name="Drop Down 2" hidden="1">
              <a:extLst>
                <a:ext uri="{63B3BB69-23CF-44E3-9099-C40C66FF867C}">
                  <a14:compatExt spid="_x0000_s7170"/>
                </a:ext>
                <a:ext uri="{FF2B5EF4-FFF2-40B4-BE49-F238E27FC236}">
                  <a16:creationId xmlns:a16="http://schemas.microsoft.com/office/drawing/2014/main" id="{00000000-0008-0000-0400-000002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0</xdr:colOff>
      <xdr:row>604</xdr:row>
      <xdr:rowOff>0</xdr:rowOff>
    </xdr:from>
    <xdr:to>
      <xdr:col>0</xdr:col>
      <xdr:colOff>771525</xdr:colOff>
      <xdr:row>605</xdr:row>
      <xdr:rowOff>114302</xdr:rowOff>
    </xdr:to>
    <xdr:pic>
      <xdr:nvPicPr>
        <xdr:cNvPr id="3" name="Picture 1">
          <a:extLst>
            <a:ext uri="{FF2B5EF4-FFF2-40B4-BE49-F238E27FC236}">
              <a16:creationId xmlns:a16="http://schemas.microsoft.com/office/drawing/2014/main" id="{B59A2467-EB4C-806C-E267-14661D9ED972}"/>
            </a:ext>
          </a:extLst>
        </xdr:cNvPr>
        <xdr:cNvPicPr>
          <a:picLocks noChangeAspect="1"/>
        </xdr:cNvPicPr>
      </xdr:nvPicPr>
      <xdr:blipFill>
        <a:blip xmlns:r="http://schemas.openxmlformats.org/officeDocument/2006/relationships" r:embed="rId1"/>
        <a:stretch>
          <a:fillRect/>
        </a:stretch>
      </xdr:blipFill>
      <xdr:spPr>
        <a:xfrm>
          <a:off x="0" y="83248500"/>
          <a:ext cx="771525" cy="314325"/>
        </a:xfrm>
        <a:prstGeom prst="rect">
          <a:avLst/>
        </a:prstGeom>
      </xdr:spPr>
    </xdr:pic>
    <xdr:clientData/>
  </xdr:twoCellAnchor>
  <xdr:twoCellAnchor>
    <xdr:from>
      <xdr:col>8</xdr:col>
      <xdr:colOff>155224</xdr:colOff>
      <xdr:row>0</xdr:row>
      <xdr:rowOff>141113</xdr:rowOff>
    </xdr:from>
    <xdr:to>
      <xdr:col>15</xdr:col>
      <xdr:colOff>84669</xdr:colOff>
      <xdr:row>18</xdr:row>
      <xdr:rowOff>155222</xdr:rowOff>
    </xdr:to>
    <xdr:graphicFrame macro="">
      <xdr:nvGraphicFramePr>
        <xdr:cNvPr id="7" name="Chart 6">
          <a:extLst>
            <a:ext uri="{FF2B5EF4-FFF2-40B4-BE49-F238E27FC236}">
              <a16:creationId xmlns:a16="http://schemas.microsoft.com/office/drawing/2014/main" id="{49CC34F7-1573-35C3-348B-CD7C77201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677332</xdr:colOff>
      <xdr:row>126</xdr:row>
      <xdr:rowOff>56446</xdr:rowOff>
    </xdr:from>
    <xdr:to>
      <xdr:col>14</xdr:col>
      <xdr:colOff>395111</xdr:colOff>
      <xdr:row>140</xdr:row>
      <xdr:rowOff>127000</xdr:rowOff>
    </xdr:to>
    <xdr:graphicFrame macro="">
      <xdr:nvGraphicFramePr>
        <xdr:cNvPr id="8" name="Chart 7">
          <a:extLst>
            <a:ext uri="{FF2B5EF4-FFF2-40B4-BE49-F238E27FC236}">
              <a16:creationId xmlns:a16="http://schemas.microsoft.com/office/drawing/2014/main" id="{3B205F7D-50EF-93DC-3599-12976E5AB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296333</xdr:colOff>
      <xdr:row>24</xdr:row>
      <xdr:rowOff>14111</xdr:rowOff>
    </xdr:from>
    <xdr:to>
      <xdr:col>15</xdr:col>
      <xdr:colOff>169333</xdr:colOff>
      <xdr:row>40</xdr:row>
      <xdr:rowOff>141112</xdr:rowOff>
    </xdr:to>
    <xdr:graphicFrame macro="">
      <xdr:nvGraphicFramePr>
        <xdr:cNvPr id="10" name="Chart 9">
          <a:extLst>
            <a:ext uri="{FF2B5EF4-FFF2-40B4-BE49-F238E27FC236}">
              <a16:creationId xmlns:a16="http://schemas.microsoft.com/office/drawing/2014/main" id="{2C80365A-0DF5-CB7D-F3CE-01AE3D293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395114</xdr:colOff>
      <xdr:row>157</xdr:row>
      <xdr:rowOff>56445</xdr:rowOff>
    </xdr:from>
    <xdr:to>
      <xdr:col>16</xdr:col>
      <xdr:colOff>239890</xdr:colOff>
      <xdr:row>173</xdr:row>
      <xdr:rowOff>98778</xdr:rowOff>
    </xdr:to>
    <xdr:graphicFrame macro="">
      <xdr:nvGraphicFramePr>
        <xdr:cNvPr id="11" name="Chart 10">
          <a:extLst>
            <a:ext uri="{FF2B5EF4-FFF2-40B4-BE49-F238E27FC236}">
              <a16:creationId xmlns:a16="http://schemas.microsoft.com/office/drawing/2014/main" id="{133B8D19-76D7-475B-8C70-F7B522D96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105</xdr:row>
      <xdr:rowOff>84666</xdr:rowOff>
    </xdr:from>
    <xdr:to>
      <xdr:col>4</xdr:col>
      <xdr:colOff>635000</xdr:colOff>
      <xdr:row>119</xdr:row>
      <xdr:rowOff>155222</xdr:rowOff>
    </xdr:to>
    <xdr:graphicFrame macro="">
      <xdr:nvGraphicFramePr>
        <xdr:cNvPr id="13" name="Chart 12">
          <a:extLst>
            <a:ext uri="{FF2B5EF4-FFF2-40B4-BE49-F238E27FC236}">
              <a16:creationId xmlns:a16="http://schemas.microsoft.com/office/drawing/2014/main" id="{5BE8F9AD-9F03-7C4A-ADD3-D2F4A1E91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D9A3CA-B46F-744D-8B7E-A51844F06562}">
  <we:reference id="wa200009404" version="1.0.0.8" store="en-US" storeType="OMEX"/>
  <we:alternateReferences>
    <we:reference id="wa200009404" version="1.0.0.8" store="" storeType="OMEX"/>
  </we:alternateReferences>
  <we:properties>
    <we:property name="claude.fileId" value="&quot;675b7b5a-852f-443c-a168-9ea7285e624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3.vml"/><Relationship Id="rId1" Type="http://schemas.openxmlformats.org/officeDocument/2006/relationships/drawing" Target="../drawings/drawing2.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D45F6-0E15-48EB-9855-771C42599ABB}">
  <dimension ref="A1:Q37"/>
  <sheetViews>
    <sheetView showGridLines="0" tabSelected="1" zoomScaleNormal="100" workbookViewId="0">
      <selection activeCell="B6" sqref="B6"/>
    </sheetView>
  </sheetViews>
  <sheetFormatPr baseColWidth="10" defaultColWidth="11" defaultRowHeight="16"/>
  <sheetData>
    <row r="1" spans="1:17" ht="17" thickBot="1"/>
    <row r="2" spans="1:17" ht="18">
      <c r="A2" s="92"/>
      <c r="B2" s="430" t="s">
        <v>0</v>
      </c>
      <c r="C2" s="431"/>
      <c r="D2" s="431"/>
      <c r="E2" s="431"/>
      <c r="F2" s="432"/>
      <c r="G2" s="433"/>
      <c r="H2" s="433"/>
      <c r="I2" s="433"/>
      <c r="J2" s="92"/>
      <c r="K2" s="92"/>
      <c r="L2" s="92"/>
      <c r="M2" s="92"/>
      <c r="N2" s="92"/>
      <c r="O2" s="92"/>
      <c r="P2" s="92"/>
      <c r="Q2" s="92"/>
    </row>
    <row r="3" spans="1:17" ht="18">
      <c r="A3" s="92"/>
      <c r="B3" s="696" t="s">
        <v>1</v>
      </c>
      <c r="C3" s="697"/>
      <c r="D3" s="697"/>
      <c r="E3" s="697"/>
      <c r="F3" s="698"/>
      <c r="G3" s="699"/>
      <c r="H3" s="699"/>
      <c r="I3" s="699"/>
      <c r="J3" s="92"/>
      <c r="K3" s="92"/>
      <c r="L3" s="92"/>
      <c r="M3" s="92"/>
      <c r="N3" s="92"/>
      <c r="O3" s="92"/>
      <c r="P3" s="92"/>
      <c r="Q3" s="92"/>
    </row>
    <row r="4" spans="1:17" ht="19" thickBot="1">
      <c r="A4" s="92"/>
      <c r="B4" s="695">
        <f ca="1">TODAY()</f>
        <v>46301</v>
      </c>
      <c r="C4" s="697"/>
      <c r="D4" s="697"/>
      <c r="E4" s="697"/>
      <c r="F4" s="698"/>
      <c r="G4" s="699"/>
      <c r="H4" s="699"/>
      <c r="I4" s="699"/>
      <c r="J4" s="92"/>
      <c r="K4" s="92"/>
      <c r="L4" s="92"/>
      <c r="M4" s="92"/>
      <c r="N4" s="92"/>
      <c r="O4" s="92"/>
      <c r="P4" s="92"/>
      <c r="Q4" s="92"/>
    </row>
    <row r="5" spans="1:17" ht="19" thickBot="1">
      <c r="A5" s="92"/>
      <c r="B5" s="695" t="s">
        <v>870</v>
      </c>
      <c r="C5" s="697"/>
      <c r="D5" s="697"/>
      <c r="E5" s="697"/>
      <c r="F5" s="698"/>
      <c r="G5" s="699"/>
      <c r="H5" s="699"/>
      <c r="I5" s="699"/>
      <c r="J5" s="92"/>
      <c r="K5" s="92"/>
      <c r="L5" s="92"/>
      <c r="M5" s="92"/>
      <c r="N5" s="92"/>
      <c r="O5" s="92"/>
      <c r="P5" s="92"/>
      <c r="Q5" s="92"/>
    </row>
    <row r="6" spans="1:17">
      <c r="A6" s="284"/>
      <c r="B6" s="285"/>
      <c r="C6" s="285"/>
      <c r="D6" s="285"/>
      <c r="E6" s="285"/>
      <c r="F6" s="285"/>
      <c r="G6" s="285"/>
      <c r="H6" s="285"/>
      <c r="I6" s="285"/>
      <c r="J6" s="285"/>
      <c r="K6" s="285"/>
      <c r="L6" s="285"/>
      <c r="M6" s="285"/>
      <c r="N6" s="92"/>
      <c r="O6" s="92"/>
      <c r="P6" s="92"/>
      <c r="Q6" s="92"/>
    </row>
    <row r="7" spans="1:17">
      <c r="A7" s="285"/>
      <c r="B7" s="285"/>
      <c r="C7" s="285"/>
      <c r="D7" s="285"/>
      <c r="E7" s="285"/>
      <c r="F7" s="285"/>
      <c r="G7" s="285"/>
      <c r="H7" s="285"/>
      <c r="I7" s="285"/>
      <c r="J7" s="285"/>
      <c r="K7" s="285"/>
      <c r="L7" s="285"/>
      <c r="M7" s="285"/>
      <c r="N7" s="92"/>
      <c r="O7" s="92"/>
      <c r="P7" s="92"/>
      <c r="Q7" s="92"/>
    </row>
    <row r="8" spans="1:17">
      <c r="A8" s="285"/>
      <c r="B8" s="285"/>
      <c r="C8" s="285"/>
      <c r="D8" s="285"/>
      <c r="E8" s="285"/>
      <c r="F8" s="285"/>
      <c r="G8" s="285"/>
      <c r="H8" s="285"/>
      <c r="I8" s="285"/>
      <c r="J8" s="285"/>
      <c r="K8" s="285"/>
      <c r="L8" s="285"/>
      <c r="M8" s="285"/>
      <c r="N8" s="92"/>
      <c r="O8" s="92"/>
      <c r="P8" s="92"/>
      <c r="Q8" s="92"/>
    </row>
    <row r="9" spans="1:17">
      <c r="A9" s="93"/>
      <c r="B9" s="93"/>
      <c r="C9" s="93"/>
      <c r="D9" s="93"/>
      <c r="E9" s="93"/>
      <c r="F9" s="93"/>
      <c r="G9" s="93"/>
      <c r="H9" s="285"/>
      <c r="I9" s="285"/>
      <c r="J9" s="285"/>
      <c r="K9" s="285"/>
      <c r="L9" s="285"/>
      <c r="M9" s="285"/>
      <c r="N9" s="92"/>
      <c r="O9" s="92"/>
      <c r="P9" s="92"/>
      <c r="Q9" s="92"/>
    </row>
    <row r="10" spans="1:17">
      <c r="A10" s="285"/>
      <c r="B10" s="285"/>
      <c r="C10" s="285"/>
      <c r="D10" s="285"/>
      <c r="E10" s="285"/>
      <c r="F10" s="285"/>
      <c r="G10" s="285"/>
      <c r="H10" s="285"/>
      <c r="I10" s="285"/>
      <c r="J10" s="285"/>
      <c r="K10" s="285"/>
      <c r="L10" s="285"/>
      <c r="M10" s="285"/>
      <c r="N10" s="92"/>
      <c r="O10" s="92"/>
      <c r="P10" s="92"/>
      <c r="Q10" s="92"/>
    </row>
    <row r="11" spans="1:17">
      <c r="A11" s="285"/>
      <c r="B11" s="285"/>
      <c r="C11" s="285"/>
      <c r="D11" s="285"/>
      <c r="E11" s="285"/>
      <c r="F11" s="285"/>
      <c r="G11" s="285"/>
      <c r="H11" s="285"/>
      <c r="I11" s="285"/>
      <c r="J11" s="285"/>
      <c r="K11" s="285"/>
      <c r="L11" s="285"/>
      <c r="M11" s="285"/>
      <c r="N11" s="92"/>
      <c r="O11" s="92"/>
      <c r="P11" s="92"/>
      <c r="Q11" s="92"/>
    </row>
    <row r="12" spans="1:17" ht="26" customHeight="1">
      <c r="A12" s="93"/>
      <c r="B12" s="93"/>
      <c r="C12" s="93"/>
      <c r="D12" s="93"/>
      <c r="E12" s="93"/>
      <c r="F12" s="93"/>
      <c r="G12" s="93"/>
      <c r="H12" s="285"/>
      <c r="I12" s="285"/>
      <c r="J12" s="285" t="s">
        <v>2</v>
      </c>
      <c r="K12" s="285" t="s">
        <v>2</v>
      </c>
      <c r="L12" s="285" t="s">
        <v>2</v>
      </c>
      <c r="M12" s="285" t="s">
        <v>2</v>
      </c>
      <c r="N12" s="92"/>
      <c r="O12" s="92"/>
      <c r="P12" s="92"/>
      <c r="Q12" s="92"/>
    </row>
    <row r="13" spans="1:17" ht="26">
      <c r="A13" s="285"/>
      <c r="B13" s="285"/>
      <c r="C13" s="285"/>
      <c r="D13" s="285"/>
      <c r="E13" s="285"/>
      <c r="F13" s="285"/>
      <c r="G13" s="285"/>
      <c r="H13" s="285"/>
      <c r="I13" s="285"/>
      <c r="J13" s="379"/>
      <c r="K13" s="379"/>
      <c r="L13" s="379"/>
      <c r="M13" s="379"/>
      <c r="N13" s="379"/>
      <c r="O13" s="379"/>
      <c r="P13" s="379"/>
      <c r="Q13" s="92"/>
    </row>
    <row r="14" spans="1:17">
      <c r="A14" s="285"/>
      <c r="B14" s="285"/>
      <c r="C14" s="285"/>
      <c r="D14" s="285"/>
      <c r="E14" s="285"/>
      <c r="F14" s="285"/>
      <c r="G14" s="285"/>
      <c r="H14" s="285"/>
      <c r="I14" s="285"/>
      <c r="J14" s="285"/>
      <c r="K14" s="285"/>
      <c r="L14" s="285"/>
      <c r="M14" s="285"/>
      <c r="N14" s="286"/>
      <c r="O14" s="286"/>
      <c r="P14" s="286"/>
      <c r="Q14" s="92"/>
    </row>
    <row r="15" spans="1:17">
      <c r="A15" s="93"/>
      <c r="B15" s="93"/>
      <c r="C15" s="93"/>
      <c r="D15" s="93"/>
      <c r="E15" s="93"/>
      <c r="F15" s="93"/>
      <c r="G15" s="93"/>
      <c r="H15" s="285"/>
      <c r="I15" s="285"/>
      <c r="J15" s="285"/>
      <c r="K15" s="285"/>
      <c r="L15" s="285"/>
      <c r="M15" s="285"/>
      <c r="N15" s="93"/>
      <c r="O15" s="93"/>
      <c r="P15" s="93"/>
      <c r="Q15" s="92"/>
    </row>
    <row r="16" spans="1:17">
      <c r="A16" s="285"/>
      <c r="B16" s="285"/>
      <c r="C16" s="285"/>
      <c r="D16" s="285"/>
      <c r="E16" s="285"/>
      <c r="F16" s="285"/>
      <c r="G16" s="285"/>
      <c r="H16" s="285"/>
      <c r="I16" s="285"/>
      <c r="J16" s="285"/>
      <c r="K16" s="285"/>
      <c r="L16" s="285"/>
      <c r="M16" s="285"/>
      <c r="N16" s="92"/>
      <c r="O16" s="92"/>
      <c r="P16" s="92"/>
      <c r="Q16" s="92"/>
    </row>
    <row r="17" spans="1:17">
      <c r="A17" s="285"/>
      <c r="B17" s="285"/>
      <c r="C17" s="285"/>
      <c r="D17" s="285"/>
      <c r="E17" s="285"/>
      <c r="F17" s="285"/>
      <c r="G17" s="285"/>
      <c r="H17" s="285"/>
      <c r="I17" s="285"/>
      <c r="J17" s="92"/>
      <c r="K17" s="92"/>
      <c r="L17" s="92"/>
      <c r="M17" s="92"/>
      <c r="N17" s="92"/>
      <c r="O17" s="92"/>
      <c r="P17" s="92"/>
      <c r="Q17" s="92"/>
    </row>
    <row r="18" spans="1:17">
      <c r="A18" s="93"/>
      <c r="B18" s="93"/>
      <c r="C18" s="93"/>
      <c r="D18" s="93"/>
      <c r="E18" s="93"/>
      <c r="F18" s="93"/>
      <c r="G18" s="93"/>
      <c r="H18" s="285"/>
      <c r="I18" s="285"/>
      <c r="J18" s="92"/>
      <c r="K18" s="92"/>
      <c r="L18" s="92"/>
      <c r="M18" s="92"/>
      <c r="N18" s="92"/>
      <c r="O18" s="92"/>
      <c r="P18" s="92"/>
      <c r="Q18" s="92"/>
    </row>
    <row r="19" spans="1:17">
      <c r="A19" s="285"/>
      <c r="B19" s="285"/>
      <c r="C19" s="285"/>
      <c r="D19" s="285"/>
      <c r="E19" s="285"/>
      <c r="F19" s="285"/>
      <c r="G19" s="285"/>
      <c r="H19" s="285"/>
      <c r="I19" s="285"/>
      <c r="J19" s="92"/>
      <c r="K19" s="92"/>
      <c r="L19" s="92"/>
      <c r="M19" s="92"/>
      <c r="N19" s="92"/>
      <c r="O19" s="92"/>
      <c r="P19" s="92"/>
      <c r="Q19" s="92"/>
    </row>
    <row r="20" spans="1:17">
      <c r="A20" s="285"/>
      <c r="B20" s="285"/>
      <c r="C20" s="285"/>
      <c r="D20" s="285"/>
      <c r="E20" s="285"/>
      <c r="F20" s="285"/>
      <c r="G20" s="285"/>
      <c r="H20" s="285"/>
      <c r="I20" s="285"/>
      <c r="J20" s="92"/>
      <c r="K20" s="92"/>
      <c r="L20" s="92"/>
      <c r="M20" s="92"/>
      <c r="N20" s="92"/>
      <c r="O20" s="92"/>
      <c r="P20" s="92"/>
      <c r="Q20" s="92"/>
    </row>
    <row r="21" spans="1:17">
      <c r="A21" s="93"/>
      <c r="B21" s="93"/>
      <c r="C21" s="93"/>
      <c r="D21" s="93"/>
      <c r="E21" s="93"/>
      <c r="F21" s="93"/>
      <c r="G21" s="93"/>
      <c r="H21" s="285"/>
      <c r="I21" s="285"/>
      <c r="J21" s="92"/>
      <c r="K21" s="92"/>
      <c r="L21" s="92"/>
      <c r="M21" s="92"/>
      <c r="N21" s="92"/>
      <c r="O21" s="92"/>
      <c r="P21" s="92"/>
      <c r="Q21" s="92"/>
    </row>
    <row r="22" spans="1:17">
      <c r="A22" s="285"/>
      <c r="B22" s="285"/>
      <c r="C22" s="285"/>
      <c r="D22" s="285"/>
      <c r="E22" s="285"/>
      <c r="F22" s="285"/>
      <c r="G22" s="285"/>
      <c r="H22" s="285"/>
      <c r="I22" s="285"/>
      <c r="J22" s="92"/>
      <c r="K22" s="92"/>
      <c r="L22" s="92"/>
      <c r="M22" s="92"/>
      <c r="N22" s="92"/>
      <c r="O22" s="92"/>
      <c r="P22" s="92"/>
      <c r="Q22" s="92"/>
    </row>
    <row r="23" spans="1:17">
      <c r="A23" s="285"/>
      <c r="B23" s="285"/>
      <c r="C23" s="285"/>
      <c r="D23" s="285"/>
      <c r="E23" s="285"/>
      <c r="F23" s="285"/>
      <c r="G23" s="285"/>
      <c r="H23" s="285"/>
      <c r="I23" s="285"/>
      <c r="J23" s="92"/>
      <c r="K23" s="92"/>
      <c r="L23" s="92"/>
      <c r="M23" s="92"/>
      <c r="N23" s="92"/>
      <c r="O23" s="92"/>
      <c r="P23" s="92"/>
      <c r="Q23" s="92"/>
    </row>
    <row r="24" spans="1:17">
      <c r="A24" s="93"/>
      <c r="B24" s="93"/>
      <c r="C24" s="93"/>
      <c r="D24" s="93"/>
      <c r="E24" s="93"/>
      <c r="F24" s="93"/>
      <c r="G24" s="93"/>
      <c r="H24" s="285"/>
      <c r="I24" s="285"/>
      <c r="J24" s="92"/>
      <c r="K24" s="92"/>
      <c r="L24" s="92"/>
      <c r="M24" s="92"/>
      <c r="N24" s="92"/>
      <c r="O24" s="92"/>
      <c r="P24" s="92"/>
      <c r="Q24" s="92"/>
    </row>
    <row r="25" spans="1:17">
      <c r="A25" s="285"/>
      <c r="B25" s="285"/>
      <c r="C25" s="285"/>
      <c r="D25" s="285"/>
      <c r="E25" s="285"/>
      <c r="F25" s="285"/>
      <c r="G25" s="285"/>
      <c r="H25" s="285"/>
      <c r="I25" s="285"/>
      <c r="J25" s="92"/>
      <c r="K25" s="92"/>
      <c r="L25" s="92"/>
      <c r="M25" s="92"/>
      <c r="N25" s="92"/>
      <c r="O25" s="92"/>
      <c r="P25" s="92"/>
      <c r="Q25" s="92"/>
    </row>
    <row r="26" spans="1:17">
      <c r="A26" s="285"/>
      <c r="B26" s="285"/>
      <c r="C26" s="285"/>
      <c r="D26" s="285"/>
      <c r="E26" s="285"/>
      <c r="F26" s="285"/>
      <c r="G26" s="285"/>
      <c r="H26" s="285"/>
      <c r="I26" s="285"/>
      <c r="J26" s="92"/>
      <c r="K26" s="92"/>
      <c r="L26" s="92"/>
      <c r="M26" s="92"/>
      <c r="N26" s="92"/>
      <c r="O26" s="92"/>
      <c r="P26" s="92"/>
      <c r="Q26" s="92"/>
    </row>
    <row r="27" spans="1:17">
      <c r="A27" s="93"/>
      <c r="B27" s="93"/>
      <c r="C27" s="93"/>
      <c r="D27" s="93"/>
      <c r="E27" s="93"/>
      <c r="F27" s="93"/>
      <c r="G27" s="93"/>
      <c r="H27" s="285"/>
      <c r="I27" s="285"/>
      <c r="J27" s="92"/>
      <c r="K27" s="92"/>
      <c r="L27" s="92"/>
      <c r="M27" s="92"/>
      <c r="N27" s="92"/>
      <c r="O27" s="92"/>
      <c r="P27" s="92"/>
      <c r="Q27" s="92"/>
    </row>
    <row r="28" spans="1:17">
      <c r="A28" s="285"/>
      <c r="B28" s="285"/>
      <c r="C28" s="285"/>
      <c r="D28" s="285"/>
      <c r="E28" s="285"/>
      <c r="F28" s="285"/>
      <c r="G28" s="285"/>
      <c r="H28" s="285"/>
      <c r="I28" s="285"/>
      <c r="J28" s="92"/>
      <c r="K28" s="92"/>
      <c r="L28" s="92"/>
      <c r="M28" s="92"/>
      <c r="N28" s="92"/>
      <c r="O28" s="92"/>
      <c r="P28" s="92"/>
      <c r="Q28" s="92"/>
    </row>
    <row r="29" spans="1:17">
      <c r="A29" s="285"/>
      <c r="B29" s="285"/>
      <c r="C29" s="285"/>
      <c r="D29" s="285"/>
      <c r="E29" s="285"/>
      <c r="F29" s="285"/>
      <c r="G29" s="285"/>
      <c r="H29" s="285"/>
      <c r="I29" s="285"/>
      <c r="J29" s="92"/>
      <c r="K29" s="92"/>
      <c r="L29" s="92"/>
      <c r="M29" s="92"/>
      <c r="N29" s="92"/>
      <c r="O29" s="92"/>
      <c r="P29" s="92"/>
      <c r="Q29" s="92"/>
    </row>
    <row r="30" spans="1:17">
      <c r="A30" s="93"/>
      <c r="B30" s="93"/>
      <c r="C30" s="93"/>
      <c r="D30" s="93"/>
      <c r="E30" s="93"/>
      <c r="F30" s="93"/>
      <c r="G30" s="93"/>
      <c r="H30" s="285"/>
      <c r="I30" s="285"/>
      <c r="J30" s="92"/>
      <c r="K30" s="92"/>
      <c r="L30" s="92"/>
      <c r="M30" s="92"/>
      <c r="N30" s="92"/>
      <c r="O30" s="92"/>
      <c r="P30" s="92"/>
      <c r="Q30" s="92"/>
    </row>
    <row r="31" spans="1:17">
      <c r="A31" s="92"/>
      <c r="B31" s="92"/>
      <c r="C31" s="92"/>
      <c r="D31" s="92"/>
      <c r="E31" s="92"/>
      <c r="F31" s="92"/>
      <c r="G31" s="92"/>
      <c r="H31" s="92"/>
      <c r="I31" s="92"/>
      <c r="J31" s="92"/>
      <c r="K31" s="92"/>
      <c r="L31" s="92"/>
      <c r="M31" s="92"/>
      <c r="N31" s="92"/>
      <c r="O31" s="92"/>
      <c r="P31" s="92"/>
      <c r="Q31" s="92"/>
    </row>
    <row r="32" spans="1:17">
      <c r="A32" s="92"/>
      <c r="B32" s="92"/>
      <c r="C32" s="92"/>
      <c r="D32" s="92"/>
      <c r="E32" s="92"/>
      <c r="F32" s="92"/>
      <c r="G32" s="92"/>
      <c r="H32" s="92"/>
      <c r="I32" s="92"/>
      <c r="J32" s="92"/>
      <c r="K32" s="92"/>
      <c r="L32" s="92"/>
      <c r="M32" s="92"/>
      <c r="N32" s="92"/>
      <c r="O32" s="92"/>
      <c r="P32" s="92"/>
      <c r="Q32" s="92"/>
    </row>
    <row r="33" spans="1:17">
      <c r="A33" s="92"/>
      <c r="B33" s="92"/>
      <c r="C33" s="92"/>
      <c r="D33" s="92"/>
      <c r="E33" s="92"/>
      <c r="F33" s="92"/>
      <c r="G33" s="92"/>
      <c r="H33" s="92"/>
      <c r="I33" s="92"/>
      <c r="J33" s="92"/>
      <c r="K33" s="92"/>
      <c r="L33" s="92"/>
      <c r="M33" s="92"/>
      <c r="N33" s="92"/>
      <c r="O33" s="92"/>
      <c r="P33" s="92"/>
      <c r="Q33" s="92"/>
    </row>
    <row r="34" spans="1:17">
      <c r="A34" s="92"/>
      <c r="B34" s="92"/>
      <c r="C34" s="92"/>
      <c r="D34" s="92"/>
      <c r="E34" s="92"/>
      <c r="F34" s="92"/>
      <c r="G34" s="92"/>
      <c r="H34" s="92"/>
      <c r="I34" s="92"/>
      <c r="J34" s="92"/>
      <c r="K34" s="92"/>
      <c r="L34" s="92"/>
      <c r="M34" s="92"/>
      <c r="N34" s="92"/>
      <c r="O34" s="92"/>
      <c r="P34" s="92"/>
      <c r="Q34" s="92"/>
    </row>
    <row r="35" spans="1:17">
      <c r="A35" s="92"/>
      <c r="B35" s="92"/>
      <c r="C35" s="92"/>
      <c r="D35" s="92"/>
      <c r="E35" s="92"/>
      <c r="F35" s="92"/>
      <c r="G35" s="92"/>
      <c r="H35" s="92"/>
      <c r="I35" s="92"/>
      <c r="J35" s="92"/>
      <c r="K35" s="92"/>
      <c r="L35" s="92"/>
      <c r="M35" s="92"/>
      <c r="N35" s="92"/>
      <c r="O35" s="92"/>
      <c r="P35" s="92"/>
      <c r="Q35" s="92"/>
    </row>
    <row r="36" spans="1:17">
      <c r="A36" s="92"/>
      <c r="B36" s="92"/>
      <c r="C36" s="92"/>
      <c r="D36" s="92"/>
      <c r="E36" s="92"/>
      <c r="F36" s="92"/>
      <c r="G36" s="92"/>
      <c r="H36" s="92"/>
      <c r="I36" s="92"/>
      <c r="J36" s="92"/>
      <c r="K36" s="92"/>
      <c r="L36" s="92"/>
      <c r="M36" s="92"/>
      <c r="N36" s="92"/>
      <c r="O36" s="92"/>
      <c r="P36" s="92"/>
      <c r="Q36" s="92"/>
    </row>
    <row r="37" spans="1:17">
      <c r="A37" s="92"/>
      <c r="B37" s="92"/>
      <c r="C37" s="92"/>
      <c r="D37" s="92"/>
      <c r="E37" s="92"/>
      <c r="F37" s="92"/>
      <c r="G37" s="92"/>
      <c r="H37" s="92"/>
      <c r="I37" s="92"/>
      <c r="J37" s="92"/>
      <c r="K37" s="92"/>
      <c r="L37" s="92"/>
      <c r="M37" s="92"/>
      <c r="N37" s="92"/>
      <c r="O37" s="92"/>
      <c r="P37" s="92"/>
      <c r="Q37" s="92"/>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9722-A0CA-4FBD-8E20-8E7656E541A1}">
  <dimension ref="B1:K28"/>
  <sheetViews>
    <sheetView showGridLines="0" zoomScaleNormal="100" workbookViewId="0">
      <selection activeCell="G15" sqref="G15"/>
    </sheetView>
  </sheetViews>
  <sheetFormatPr baseColWidth="10" defaultColWidth="11" defaultRowHeight="16"/>
  <cols>
    <col min="2" max="2" width="37" customWidth="1"/>
    <col min="3" max="3" width="20.6640625" customWidth="1"/>
    <col min="4" max="4" width="17.83203125" customWidth="1"/>
    <col min="5" max="5" width="16" customWidth="1"/>
    <col min="6" max="6" width="14.1640625" customWidth="1"/>
    <col min="7" max="7" width="14.83203125" customWidth="1"/>
    <col min="8" max="8" width="35.33203125" customWidth="1"/>
    <col min="9" max="9" width="8.5" customWidth="1"/>
  </cols>
  <sheetData>
    <row r="1" spans="2:11" ht="17" thickBot="1"/>
    <row r="2" spans="2:11" ht="18">
      <c r="B2" s="430" t="str">
        <f>'Cover letter'!B2</f>
        <v>Church &amp; Dwight Co Inc</v>
      </c>
      <c r="C2" s="431"/>
      <c r="D2" s="431"/>
      <c r="E2" s="431"/>
      <c r="F2" s="432"/>
      <c r="G2" s="433"/>
      <c r="H2" s="433"/>
      <c r="I2" s="433"/>
      <c r="J2" s="92"/>
      <c r="K2" s="92"/>
    </row>
    <row r="3" spans="2:11" ht="19" thickBot="1">
      <c r="B3" s="437" t="s">
        <v>3</v>
      </c>
      <c r="C3" s="438"/>
      <c r="D3" s="438"/>
      <c r="E3" s="438"/>
      <c r="F3" s="439"/>
      <c r="G3" s="440"/>
      <c r="H3" s="440"/>
      <c r="I3" s="440"/>
      <c r="J3" s="92"/>
      <c r="K3" s="92"/>
    </row>
    <row r="4" spans="2:11" ht="17" thickBot="1">
      <c r="B4" s="429" t="s">
        <v>4</v>
      </c>
      <c r="C4" s="428"/>
      <c r="D4" s="428"/>
      <c r="E4" s="428"/>
      <c r="F4" s="428"/>
      <c r="G4" s="428"/>
      <c r="H4" s="428"/>
      <c r="I4" s="428"/>
      <c r="J4" s="92"/>
      <c r="K4" s="92"/>
    </row>
    <row r="5" spans="2:11">
      <c r="B5" s="349" t="s">
        <v>5</v>
      </c>
      <c r="C5" s="350" t="s">
        <v>6</v>
      </c>
      <c r="D5" s="350" t="s">
        <v>2</v>
      </c>
      <c r="E5" s="350" t="s">
        <v>7</v>
      </c>
      <c r="F5" s="350" t="s">
        <v>8</v>
      </c>
      <c r="G5" s="350" t="s">
        <v>9</v>
      </c>
      <c r="H5" s="350" t="s">
        <v>10</v>
      </c>
      <c r="I5" s="351" t="s">
        <v>2</v>
      </c>
      <c r="J5" s="92"/>
      <c r="K5" s="92"/>
    </row>
    <row r="6" spans="2:11">
      <c r="B6" s="352" t="s">
        <v>2</v>
      </c>
      <c r="C6" s="428"/>
      <c r="D6" s="428"/>
      <c r="E6" s="428" t="s">
        <v>11</v>
      </c>
      <c r="F6" s="428" t="s">
        <v>11</v>
      </c>
      <c r="G6" s="428"/>
      <c r="H6" s="380" t="s">
        <v>12</v>
      </c>
      <c r="I6" s="353"/>
      <c r="J6" s="92"/>
      <c r="K6" s="92"/>
    </row>
    <row r="7" spans="2:11">
      <c r="B7" s="354" t="s">
        <v>13</v>
      </c>
      <c r="C7" s="338">
        <v>0.5</v>
      </c>
      <c r="D7" s="428"/>
      <c r="E7" s="339">
        <v>26835.762143894146</v>
      </c>
      <c r="F7" s="340">
        <v>24453.762143894146</v>
      </c>
      <c r="G7" s="700">
        <v>100.09726624598504</v>
      </c>
      <c r="H7" s="253" t="s">
        <v>14</v>
      </c>
      <c r="I7" s="355">
        <v>92.65</v>
      </c>
      <c r="J7" s="92"/>
      <c r="K7" s="92"/>
    </row>
    <row r="8" spans="2:11">
      <c r="B8" s="354" t="s">
        <v>15</v>
      </c>
      <c r="C8" s="338">
        <v>0.25</v>
      </c>
      <c r="D8" s="428"/>
      <c r="E8" s="339">
        <v>32835.228935949024</v>
      </c>
      <c r="F8" s="340">
        <v>30453.228935949024</v>
      </c>
      <c r="G8" s="700">
        <v>124.6550509044168</v>
      </c>
      <c r="H8" s="381" t="s">
        <v>16</v>
      </c>
      <c r="I8" s="465" t="s">
        <v>705</v>
      </c>
      <c r="J8" s="92"/>
      <c r="K8" s="92"/>
    </row>
    <row r="9" spans="2:11">
      <c r="B9" s="354" t="s">
        <v>17</v>
      </c>
      <c r="C9" s="338">
        <v>0.25</v>
      </c>
      <c r="D9" s="428"/>
      <c r="E9" s="339">
        <v>26374.327682667037</v>
      </c>
      <c r="F9" s="340">
        <v>23992.327682667037</v>
      </c>
      <c r="G9" s="700">
        <v>98.208463703098801</v>
      </c>
      <c r="H9" s="428"/>
      <c r="I9" s="356"/>
      <c r="J9" s="92"/>
      <c r="K9" s="92"/>
    </row>
    <row r="10" spans="2:11" ht="17" thickBot="1">
      <c r="B10" s="357" t="s">
        <v>18</v>
      </c>
      <c r="C10" s="358" t="s">
        <v>2</v>
      </c>
      <c r="D10" s="358"/>
      <c r="E10" s="359">
        <f>IFERROR(E7*$C$7+E8*$C$8+E9*$C$9,"")</f>
        <v>28220.270226601089</v>
      </c>
      <c r="F10" s="359">
        <f>IFERROR(F7*$C$7+F8*$C$8+F9*$C$9,"")</f>
        <v>25838.270226601089</v>
      </c>
      <c r="G10" s="701">
        <f>IFERROR(G7*$C$7+G8*$C$8+G9*$C$9,"")</f>
        <v>105.76451177487142</v>
      </c>
      <c r="H10" s="358"/>
      <c r="I10" s="360" t="s">
        <v>2</v>
      </c>
      <c r="J10" s="92"/>
      <c r="K10" s="92"/>
    </row>
    <row r="11" spans="2:11">
      <c r="B11" s="429"/>
      <c r="C11" s="429"/>
      <c r="D11" s="429"/>
      <c r="E11" s="429"/>
      <c r="F11" s="429"/>
      <c r="G11" s="429"/>
      <c r="H11" s="429"/>
      <c r="I11" s="429"/>
      <c r="J11" s="92"/>
      <c r="K11" s="92"/>
    </row>
    <row r="12" spans="2:11" ht="17" thickBot="1">
      <c r="B12" s="429" t="s">
        <v>19</v>
      </c>
      <c r="C12" s="428"/>
      <c r="D12" s="428"/>
      <c r="E12" s="428"/>
      <c r="F12" s="428"/>
      <c r="G12" s="428"/>
      <c r="H12" s="428"/>
      <c r="I12" s="428"/>
      <c r="J12" s="92"/>
      <c r="K12" s="92"/>
    </row>
    <row r="13" spans="2:11">
      <c r="B13" s="289" t="s">
        <v>5</v>
      </c>
      <c r="C13" s="288" t="s">
        <v>20</v>
      </c>
      <c r="D13" s="288" t="s">
        <v>21</v>
      </c>
      <c r="E13" s="288" t="s">
        <v>22</v>
      </c>
      <c r="F13" s="290"/>
      <c r="G13" s="428"/>
      <c r="H13" s="428"/>
      <c r="I13" s="428"/>
      <c r="J13" s="92"/>
      <c r="K13" s="92"/>
    </row>
    <row r="14" spans="2:11">
      <c r="B14" s="287" t="s">
        <v>13</v>
      </c>
      <c r="C14" s="341">
        <v>59.002493344106298</v>
      </c>
      <c r="D14" s="342">
        <v>69.69758405090613</v>
      </c>
      <c r="E14" s="702">
        <v>71.447907835643178</v>
      </c>
      <c r="F14" s="291"/>
      <c r="G14" s="428"/>
      <c r="H14" s="428"/>
      <c r="I14" s="428"/>
      <c r="J14" s="92"/>
      <c r="K14" s="92"/>
    </row>
    <row r="15" spans="2:11">
      <c r="B15" s="287" t="s">
        <v>15</v>
      </c>
      <c r="C15" s="341">
        <v>78.83681194062207</v>
      </c>
      <c r="D15" s="342">
        <v>69.69758405090613</v>
      </c>
      <c r="E15" s="702">
        <v>92.159824642485006</v>
      </c>
      <c r="F15" s="291"/>
      <c r="G15" s="428"/>
      <c r="H15" s="428"/>
      <c r="I15" s="428"/>
      <c r="J15" s="92"/>
      <c r="K15" s="92"/>
    </row>
    <row r="16" spans="2:11">
      <c r="B16" s="287" t="s">
        <v>17</v>
      </c>
      <c r="C16" s="341">
        <v>41.097849130811163</v>
      </c>
      <c r="D16" s="342">
        <v>69.69758405090613</v>
      </c>
      <c r="E16" s="702">
        <v>52.751046655495806</v>
      </c>
      <c r="F16" s="291"/>
      <c r="G16" s="428"/>
      <c r="H16" s="428"/>
      <c r="I16" s="428"/>
      <c r="J16" s="92"/>
      <c r="K16" s="92"/>
    </row>
    <row r="17" spans="2:11" ht="17" thickBot="1">
      <c r="B17" s="292" t="s">
        <v>18</v>
      </c>
      <c r="C17" s="687">
        <f>IFERROR(C14*$C$7+C15*$C$8+C16*$C$9,"")</f>
        <v>59.484911939911463</v>
      </c>
      <c r="D17" s="687">
        <f>IFERROR(D14*$C$7+D15*$C$8+D16*$C$9,"")</f>
        <v>69.69758405090613</v>
      </c>
      <c r="E17" s="703">
        <f>IFERROR(E14*$C$7+E15*$C$8+E16*$C$9,"")</f>
        <v>71.95167174231679</v>
      </c>
      <c r="F17" s="293"/>
      <c r="G17" s="428"/>
      <c r="H17" s="428"/>
      <c r="I17" s="428"/>
      <c r="J17" s="92"/>
      <c r="K17" s="92"/>
    </row>
    <row r="18" spans="2:11">
      <c r="B18" s="115"/>
      <c r="C18" s="115"/>
      <c r="D18" s="115"/>
      <c r="E18" s="115"/>
      <c r="F18" s="115"/>
      <c r="G18" s="115"/>
      <c r="H18" s="115"/>
      <c r="I18" s="115"/>
      <c r="J18" s="92"/>
      <c r="K18" s="92"/>
    </row>
    <row r="19" spans="2:11" ht="17" thickBot="1">
      <c r="B19" s="706" t="s">
        <v>23</v>
      </c>
      <c r="C19" s="706"/>
      <c r="D19" s="707" t="s">
        <v>24</v>
      </c>
      <c r="E19" s="707"/>
      <c r="F19" s="115"/>
      <c r="G19" s="115"/>
      <c r="H19" s="115"/>
      <c r="I19" s="115"/>
      <c r="J19" s="92"/>
      <c r="K19" s="92"/>
    </row>
    <row r="20" spans="2:11">
      <c r="B20" s="294" t="s">
        <v>25</v>
      </c>
      <c r="C20" s="343">
        <f>'Assumption table'!K54</f>
        <v>13.83</v>
      </c>
      <c r="D20" s="344">
        <f>'Assumption table'!K58</f>
        <v>18.41</v>
      </c>
      <c r="E20" s="115"/>
      <c r="F20" s="115"/>
      <c r="G20" s="115"/>
      <c r="H20" s="115"/>
      <c r="I20" s="115"/>
      <c r="J20" s="92"/>
      <c r="K20" s="92"/>
    </row>
    <row r="21" spans="2:11">
      <c r="B21" s="295" t="s">
        <v>26</v>
      </c>
      <c r="C21" s="345">
        <f>'Assumption table'!K55</f>
        <v>3.1</v>
      </c>
      <c r="D21" s="346">
        <f>'Assumption table'!K59</f>
        <v>3.35</v>
      </c>
      <c r="E21" s="115"/>
      <c r="F21" s="115"/>
      <c r="G21" s="115"/>
      <c r="H21" s="115"/>
      <c r="I21" s="115"/>
      <c r="J21" s="92"/>
      <c r="K21" s="92"/>
    </row>
    <row r="22" spans="2:11" ht="17" thickBot="1">
      <c r="B22" s="296" t="s">
        <v>27</v>
      </c>
      <c r="C22" s="347">
        <f>'Assumption table'!K56</f>
        <v>17.2</v>
      </c>
      <c r="D22" s="348">
        <f>'Assumption table'!K60</f>
        <v>26.3</v>
      </c>
      <c r="E22" s="115"/>
      <c r="F22" s="115"/>
      <c r="G22" s="115"/>
      <c r="H22" s="115"/>
      <c r="I22" s="115"/>
      <c r="J22" s="92"/>
      <c r="K22" s="92"/>
    </row>
    <row r="23" spans="2:11">
      <c r="B23" s="115"/>
      <c r="C23" s="115"/>
      <c r="D23" s="115"/>
      <c r="E23" s="115"/>
      <c r="F23" s="115"/>
      <c r="G23" s="115"/>
      <c r="H23" s="115"/>
      <c r="I23" s="115"/>
      <c r="J23" s="92"/>
      <c r="K23" s="92"/>
    </row>
    <row r="24" spans="2:11">
      <c r="B24" s="115"/>
      <c r="C24" s="115"/>
      <c r="D24" s="115"/>
      <c r="E24" s="115"/>
      <c r="F24" s="115"/>
      <c r="G24" s="115"/>
      <c r="H24" s="115"/>
      <c r="I24" s="115"/>
      <c r="J24" s="92"/>
      <c r="K24" s="92"/>
    </row>
    <row r="25" spans="2:11">
      <c r="B25" s="92"/>
      <c r="C25" s="92"/>
      <c r="D25" s="92"/>
      <c r="E25" s="92"/>
      <c r="F25" s="92"/>
      <c r="G25" s="92"/>
      <c r="H25" s="92"/>
      <c r="I25" s="92"/>
      <c r="J25" s="92"/>
      <c r="K25" s="92"/>
    </row>
    <row r="26" spans="2:11">
      <c r="B26" s="92"/>
      <c r="C26" s="92"/>
      <c r="D26" s="92"/>
      <c r="E26" s="92"/>
      <c r="F26" s="92"/>
      <c r="G26" s="92"/>
      <c r="H26" s="92"/>
      <c r="I26" s="92"/>
      <c r="J26" s="92"/>
      <c r="K26" s="92"/>
    </row>
    <row r="27" spans="2:11">
      <c r="B27" s="92"/>
      <c r="C27" s="92"/>
      <c r="D27" s="92"/>
      <c r="E27" s="92"/>
      <c r="F27" s="92"/>
      <c r="G27" s="92"/>
      <c r="H27" s="92"/>
      <c r="I27" s="92"/>
      <c r="J27" s="92"/>
      <c r="K27" s="92"/>
    </row>
    <row r="28" spans="2:11">
      <c r="B28" s="92"/>
      <c r="C28" s="92"/>
      <c r="D28" s="92"/>
      <c r="E28" s="92"/>
      <c r="F28" s="92"/>
      <c r="G28" s="92"/>
      <c r="H28" s="92"/>
      <c r="I28" s="92"/>
      <c r="J28" s="92"/>
      <c r="K28" s="92"/>
    </row>
  </sheetData>
  <mergeCells count="2">
    <mergeCell ref="B19:C19"/>
    <mergeCell ref="D19:E19"/>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8CAD3-EEF1-094C-8C6A-EE536A7CC629}">
  <dimension ref="A2:P196"/>
  <sheetViews>
    <sheetView showGridLines="0" topLeftCell="A37" workbookViewId="0">
      <selection activeCell="K59" sqref="K59"/>
    </sheetView>
  </sheetViews>
  <sheetFormatPr baseColWidth="10" defaultColWidth="11" defaultRowHeight="11"/>
  <cols>
    <col min="1" max="1" width="4.6640625" style="92" customWidth="1"/>
    <col min="2" max="2" width="47.33203125" style="92" customWidth="1"/>
    <col min="3" max="3" width="4.5" style="92" hidden="1" customWidth="1"/>
    <col min="4" max="4" width="12.1640625" style="92" hidden="1" customWidth="1"/>
    <col min="5" max="6" width="15.33203125" style="92" customWidth="1"/>
    <col min="7" max="7" width="12.1640625" style="92" customWidth="1"/>
    <col min="8" max="8" width="9.33203125" style="92" bestFit="1" customWidth="1"/>
    <col min="9" max="9" width="32.33203125" style="92" customWidth="1"/>
    <col min="10" max="10" width="8.5" style="92" customWidth="1"/>
    <col min="11" max="11" width="6.6640625" style="92" customWidth="1"/>
    <col min="12" max="12" width="5" style="92" customWidth="1"/>
    <col min="13" max="13" width="5.5" style="92" customWidth="1"/>
    <col min="14" max="14" width="3.5" style="92" customWidth="1"/>
    <col min="15" max="15" width="14.5" style="92" customWidth="1"/>
    <col min="16" max="249" width="8.83203125" style="92" customWidth="1"/>
    <col min="250" max="250" width="9" style="92" customWidth="1"/>
    <col min="251" max="256" width="8.83203125" style="92" customWidth="1"/>
    <col min="257" max="257" width="9.5" style="92" bestFit="1" customWidth="1"/>
    <col min="258" max="259" width="9.33203125" style="92" bestFit="1" customWidth="1"/>
    <col min="260" max="260" width="54.6640625" style="92" bestFit="1" customWidth="1"/>
    <col min="261" max="261" width="16" style="92" customWidth="1"/>
    <col min="262" max="262" width="25.6640625" style="92" customWidth="1"/>
    <col min="263" max="263" width="12.33203125" style="92" customWidth="1"/>
    <col min="264" max="264" width="9.33203125" style="92" bestFit="1" customWidth="1"/>
    <col min="265" max="265" width="11.83203125" style="92" bestFit="1" customWidth="1"/>
    <col min="266" max="266" width="21.33203125" style="92" customWidth="1"/>
    <col min="267" max="267" width="11" style="92" customWidth="1"/>
    <col min="268" max="268" width="10" style="92" bestFit="1" customWidth="1"/>
    <col min="269" max="269" width="28.1640625" style="92" bestFit="1" customWidth="1"/>
    <col min="270" max="505" width="8.83203125" style="92" customWidth="1"/>
    <col min="506" max="506" width="9" style="92" customWidth="1"/>
    <col min="507" max="512" width="8.83203125" style="92" customWidth="1"/>
    <col min="513" max="513" width="9.5" style="92" bestFit="1" customWidth="1"/>
    <col min="514" max="515" width="9.33203125" style="92" bestFit="1" customWidth="1"/>
    <col min="516" max="516" width="54.6640625" style="92" bestFit="1" customWidth="1"/>
    <col min="517" max="517" width="16" style="92" customWidth="1"/>
    <col min="518" max="518" width="25.6640625" style="92" customWidth="1"/>
    <col min="519" max="519" width="12.33203125" style="92" customWidth="1"/>
    <col min="520" max="520" width="9.33203125" style="92" bestFit="1" customWidth="1"/>
    <col min="521" max="521" width="11.83203125" style="92" bestFit="1" customWidth="1"/>
    <col min="522" max="522" width="21.33203125" style="92" customWidth="1"/>
    <col min="523" max="523" width="11" style="92" customWidth="1"/>
    <col min="524" max="524" width="10" style="92" bestFit="1" customWidth="1"/>
    <col min="525" max="525" width="28.1640625" style="92" bestFit="1" customWidth="1"/>
    <col min="526" max="761" width="8.83203125" style="92" customWidth="1"/>
    <col min="762" max="762" width="9" style="92" customWidth="1"/>
    <col min="763" max="768" width="8.83203125" style="92" customWidth="1"/>
    <col min="769" max="769" width="9.5" style="92" bestFit="1" customWidth="1"/>
    <col min="770" max="771" width="9.33203125" style="92" bestFit="1" customWidth="1"/>
    <col min="772" max="772" width="54.6640625" style="92" bestFit="1" customWidth="1"/>
    <col min="773" max="773" width="16" style="92" customWidth="1"/>
    <col min="774" max="774" width="25.6640625" style="92" customWidth="1"/>
    <col min="775" max="775" width="12.33203125" style="92" customWidth="1"/>
    <col min="776" max="776" width="9.33203125" style="92" bestFit="1" customWidth="1"/>
    <col min="777" max="777" width="11.83203125" style="92" bestFit="1" customWidth="1"/>
    <col min="778" max="778" width="21.33203125" style="92" customWidth="1"/>
    <col min="779" max="779" width="11" style="92" customWidth="1"/>
    <col min="780" max="780" width="10" style="92" bestFit="1" customWidth="1"/>
    <col min="781" max="781" width="28.1640625" style="92" bestFit="1" customWidth="1"/>
    <col min="782" max="1017" width="8.83203125" style="92" customWidth="1"/>
    <col min="1018" max="1018" width="9" style="92" customWidth="1"/>
    <col min="1019" max="1024" width="8.83203125" style="92" customWidth="1"/>
    <col min="1025" max="1025" width="9.5" style="92" bestFit="1" customWidth="1"/>
    <col min="1026" max="1027" width="9.33203125" style="92" bestFit="1" customWidth="1"/>
    <col min="1028" max="1028" width="54.6640625" style="92" bestFit="1" customWidth="1"/>
    <col min="1029" max="1029" width="16" style="92" customWidth="1"/>
    <col min="1030" max="1030" width="25.6640625" style="92" customWidth="1"/>
    <col min="1031" max="1031" width="12.33203125" style="92" customWidth="1"/>
    <col min="1032" max="1032" width="9.33203125" style="92" bestFit="1" customWidth="1"/>
    <col min="1033" max="1033" width="11.83203125" style="92" bestFit="1" customWidth="1"/>
    <col min="1034" max="1034" width="21.33203125" style="92" customWidth="1"/>
    <col min="1035" max="1035" width="11" style="92" customWidth="1"/>
    <col min="1036" max="1036" width="10" style="92" bestFit="1" customWidth="1"/>
    <col min="1037" max="1037" width="28.1640625" style="92" bestFit="1" customWidth="1"/>
    <col min="1038" max="1273" width="8.83203125" style="92" customWidth="1"/>
    <col min="1274" max="1274" width="9" style="92" customWidth="1"/>
    <col min="1275" max="1280" width="8.83203125" style="92" customWidth="1"/>
    <col min="1281" max="1281" width="9.5" style="92" bestFit="1" customWidth="1"/>
    <col min="1282" max="1283" width="9.33203125" style="92" bestFit="1" customWidth="1"/>
    <col min="1284" max="1284" width="54.6640625" style="92" bestFit="1" customWidth="1"/>
    <col min="1285" max="1285" width="16" style="92" customWidth="1"/>
    <col min="1286" max="1286" width="25.6640625" style="92" customWidth="1"/>
    <col min="1287" max="1287" width="12.33203125" style="92" customWidth="1"/>
    <col min="1288" max="1288" width="9.33203125" style="92" bestFit="1" customWidth="1"/>
    <col min="1289" max="1289" width="11.83203125" style="92" bestFit="1" customWidth="1"/>
    <col min="1290" max="1290" width="21.33203125" style="92" customWidth="1"/>
    <col min="1291" max="1291" width="11" style="92" customWidth="1"/>
    <col min="1292" max="1292" width="10" style="92" bestFit="1" customWidth="1"/>
    <col min="1293" max="1293" width="28.1640625" style="92" bestFit="1" customWidth="1"/>
    <col min="1294" max="1529" width="8.83203125" style="92" customWidth="1"/>
    <col min="1530" max="1530" width="9" style="92" customWidth="1"/>
    <col min="1531" max="1536" width="8.83203125" style="92" customWidth="1"/>
    <col min="1537" max="1537" width="9.5" style="92" bestFit="1" customWidth="1"/>
    <col min="1538" max="1539" width="9.33203125" style="92" bestFit="1" customWidth="1"/>
    <col min="1540" max="1540" width="54.6640625" style="92" bestFit="1" customWidth="1"/>
    <col min="1541" max="1541" width="16" style="92" customWidth="1"/>
    <col min="1542" max="1542" width="25.6640625" style="92" customWidth="1"/>
    <col min="1543" max="1543" width="12.33203125" style="92" customWidth="1"/>
    <col min="1544" max="1544" width="9.33203125" style="92" bestFit="1" customWidth="1"/>
    <col min="1545" max="1545" width="11.83203125" style="92" bestFit="1" customWidth="1"/>
    <col min="1546" max="1546" width="21.33203125" style="92" customWidth="1"/>
    <col min="1547" max="1547" width="11" style="92" customWidth="1"/>
    <col min="1548" max="1548" width="10" style="92" bestFit="1" customWidth="1"/>
    <col min="1549" max="1549" width="28.1640625" style="92" bestFit="1" customWidth="1"/>
    <col min="1550" max="1785" width="8.83203125" style="92" customWidth="1"/>
    <col min="1786" max="1786" width="9" style="92" customWidth="1"/>
    <col min="1787" max="1792" width="8.83203125" style="92" customWidth="1"/>
    <col min="1793" max="1793" width="9.5" style="92" bestFit="1" customWidth="1"/>
    <col min="1794" max="1795" width="9.33203125" style="92" bestFit="1" customWidth="1"/>
    <col min="1796" max="1796" width="54.6640625" style="92" bestFit="1" customWidth="1"/>
    <col min="1797" max="1797" width="16" style="92" customWidth="1"/>
    <col min="1798" max="1798" width="25.6640625" style="92" customWidth="1"/>
    <col min="1799" max="1799" width="12.33203125" style="92" customWidth="1"/>
    <col min="1800" max="1800" width="9.33203125" style="92" bestFit="1" customWidth="1"/>
    <col min="1801" max="1801" width="11.83203125" style="92" bestFit="1" customWidth="1"/>
    <col min="1802" max="1802" width="21.33203125" style="92" customWidth="1"/>
    <col min="1803" max="1803" width="11" style="92" customWidth="1"/>
    <col min="1804" max="1804" width="10" style="92" bestFit="1" customWidth="1"/>
    <col min="1805" max="1805" width="28.1640625" style="92" bestFit="1" customWidth="1"/>
    <col min="1806" max="2041" width="8.83203125" style="92" customWidth="1"/>
    <col min="2042" max="2042" width="9" style="92" customWidth="1"/>
    <col min="2043" max="2048" width="8.83203125" style="92" customWidth="1"/>
    <col min="2049" max="2049" width="9.5" style="92" bestFit="1" customWidth="1"/>
    <col min="2050" max="2051" width="9.33203125" style="92" bestFit="1" customWidth="1"/>
    <col min="2052" max="2052" width="54.6640625" style="92" bestFit="1" customWidth="1"/>
    <col min="2053" max="2053" width="16" style="92" customWidth="1"/>
    <col min="2054" max="2054" width="25.6640625" style="92" customWidth="1"/>
    <col min="2055" max="2055" width="12.33203125" style="92" customWidth="1"/>
    <col min="2056" max="2056" width="9.33203125" style="92" bestFit="1" customWidth="1"/>
    <col min="2057" max="2057" width="11.83203125" style="92" bestFit="1" customWidth="1"/>
    <col min="2058" max="2058" width="21.33203125" style="92" customWidth="1"/>
    <col min="2059" max="2059" width="11" style="92" customWidth="1"/>
    <col min="2060" max="2060" width="10" style="92" bestFit="1" customWidth="1"/>
    <col min="2061" max="2061" width="28.1640625" style="92" bestFit="1" customWidth="1"/>
    <col min="2062" max="2297" width="8.83203125" style="92" customWidth="1"/>
    <col min="2298" max="2298" width="9" style="92" customWidth="1"/>
    <col min="2299" max="2304" width="8.83203125" style="92" customWidth="1"/>
    <col min="2305" max="2305" width="9.5" style="92" bestFit="1" customWidth="1"/>
    <col min="2306" max="2307" width="9.33203125" style="92" bestFit="1" customWidth="1"/>
    <col min="2308" max="2308" width="54.6640625" style="92" bestFit="1" customWidth="1"/>
    <col min="2309" max="2309" width="16" style="92" customWidth="1"/>
    <col min="2310" max="2310" width="25.6640625" style="92" customWidth="1"/>
    <col min="2311" max="2311" width="12.33203125" style="92" customWidth="1"/>
    <col min="2312" max="2312" width="9.33203125" style="92" bestFit="1" customWidth="1"/>
    <col min="2313" max="2313" width="11.83203125" style="92" bestFit="1" customWidth="1"/>
    <col min="2314" max="2314" width="21.33203125" style="92" customWidth="1"/>
    <col min="2315" max="2315" width="11" style="92" customWidth="1"/>
    <col min="2316" max="2316" width="10" style="92" bestFit="1" customWidth="1"/>
    <col min="2317" max="2317" width="28.1640625" style="92" bestFit="1" customWidth="1"/>
    <col min="2318" max="2553" width="8.83203125" style="92" customWidth="1"/>
    <col min="2554" max="2554" width="9" style="92" customWidth="1"/>
    <col min="2555" max="2560" width="8.83203125" style="92" customWidth="1"/>
    <col min="2561" max="2561" width="9.5" style="92" bestFit="1" customWidth="1"/>
    <col min="2562" max="2563" width="9.33203125" style="92" bestFit="1" customWidth="1"/>
    <col min="2564" max="2564" width="54.6640625" style="92" bestFit="1" customWidth="1"/>
    <col min="2565" max="2565" width="16" style="92" customWidth="1"/>
    <col min="2566" max="2566" width="25.6640625" style="92" customWidth="1"/>
    <col min="2567" max="2567" width="12.33203125" style="92" customWidth="1"/>
    <col min="2568" max="2568" width="9.33203125" style="92" bestFit="1" customWidth="1"/>
    <col min="2569" max="2569" width="11.83203125" style="92" bestFit="1" customWidth="1"/>
    <col min="2570" max="2570" width="21.33203125" style="92" customWidth="1"/>
    <col min="2571" max="2571" width="11" style="92" customWidth="1"/>
    <col min="2572" max="2572" width="10" style="92" bestFit="1" customWidth="1"/>
    <col min="2573" max="2573" width="28.1640625" style="92" bestFit="1" customWidth="1"/>
    <col min="2574" max="2809" width="8.83203125" style="92" customWidth="1"/>
    <col min="2810" max="2810" width="9" style="92" customWidth="1"/>
    <col min="2811" max="2816" width="8.83203125" style="92" customWidth="1"/>
    <col min="2817" max="2817" width="9.5" style="92" bestFit="1" customWidth="1"/>
    <col min="2818" max="2819" width="9.33203125" style="92" bestFit="1" customWidth="1"/>
    <col min="2820" max="2820" width="54.6640625" style="92" bestFit="1" customWidth="1"/>
    <col min="2821" max="2821" width="16" style="92" customWidth="1"/>
    <col min="2822" max="2822" width="25.6640625" style="92" customWidth="1"/>
    <col min="2823" max="2823" width="12.33203125" style="92" customWidth="1"/>
    <col min="2824" max="2824" width="9.33203125" style="92" bestFit="1" customWidth="1"/>
    <col min="2825" max="2825" width="11.83203125" style="92" bestFit="1" customWidth="1"/>
    <col min="2826" max="2826" width="21.33203125" style="92" customWidth="1"/>
    <col min="2827" max="2827" width="11" style="92" customWidth="1"/>
    <col min="2828" max="2828" width="10" style="92" bestFit="1" customWidth="1"/>
    <col min="2829" max="2829" width="28.1640625" style="92" bestFit="1" customWidth="1"/>
    <col min="2830" max="3065" width="8.83203125" style="92" customWidth="1"/>
    <col min="3066" max="3066" width="9" style="92" customWidth="1"/>
    <col min="3067" max="3072" width="8.83203125" style="92" customWidth="1"/>
    <col min="3073" max="3073" width="9.5" style="92" bestFit="1" customWidth="1"/>
    <col min="3074" max="3075" width="9.33203125" style="92" bestFit="1" customWidth="1"/>
    <col min="3076" max="3076" width="54.6640625" style="92" bestFit="1" customWidth="1"/>
    <col min="3077" max="3077" width="16" style="92" customWidth="1"/>
    <col min="3078" max="3078" width="25.6640625" style="92" customWidth="1"/>
    <col min="3079" max="3079" width="12.33203125" style="92" customWidth="1"/>
    <col min="3080" max="3080" width="9.33203125" style="92" bestFit="1" customWidth="1"/>
    <col min="3081" max="3081" width="11.83203125" style="92" bestFit="1" customWidth="1"/>
    <col min="3082" max="3082" width="21.33203125" style="92" customWidth="1"/>
    <col min="3083" max="3083" width="11" style="92" customWidth="1"/>
    <col min="3084" max="3084" width="10" style="92" bestFit="1" customWidth="1"/>
    <col min="3085" max="3085" width="28.1640625" style="92" bestFit="1" customWidth="1"/>
    <col min="3086" max="3321" width="8.83203125" style="92" customWidth="1"/>
    <col min="3322" max="3322" width="9" style="92" customWidth="1"/>
    <col min="3323" max="3328" width="8.83203125" style="92" customWidth="1"/>
    <col min="3329" max="3329" width="9.5" style="92" bestFit="1" customWidth="1"/>
    <col min="3330" max="3331" width="9.33203125" style="92" bestFit="1" customWidth="1"/>
    <col min="3332" max="3332" width="54.6640625" style="92" bestFit="1" customWidth="1"/>
    <col min="3333" max="3333" width="16" style="92" customWidth="1"/>
    <col min="3334" max="3334" width="25.6640625" style="92" customWidth="1"/>
    <col min="3335" max="3335" width="12.33203125" style="92" customWidth="1"/>
    <col min="3336" max="3336" width="9.33203125" style="92" bestFit="1" customWidth="1"/>
    <col min="3337" max="3337" width="11.83203125" style="92" bestFit="1" customWidth="1"/>
    <col min="3338" max="3338" width="21.33203125" style="92" customWidth="1"/>
    <col min="3339" max="3339" width="11" style="92" customWidth="1"/>
    <col min="3340" max="3340" width="10" style="92" bestFit="1" customWidth="1"/>
    <col min="3341" max="3341" width="28.1640625" style="92" bestFit="1" customWidth="1"/>
    <col min="3342" max="3577" width="8.83203125" style="92" customWidth="1"/>
    <col min="3578" max="3578" width="9" style="92" customWidth="1"/>
    <col min="3579" max="3584" width="8.83203125" style="92" customWidth="1"/>
    <col min="3585" max="3585" width="9.5" style="92" bestFit="1" customWidth="1"/>
    <col min="3586" max="3587" width="9.33203125" style="92" bestFit="1" customWidth="1"/>
    <col min="3588" max="3588" width="54.6640625" style="92" bestFit="1" customWidth="1"/>
    <col min="3589" max="3589" width="16" style="92" customWidth="1"/>
    <col min="3590" max="3590" width="25.6640625" style="92" customWidth="1"/>
    <col min="3591" max="3591" width="12.33203125" style="92" customWidth="1"/>
    <col min="3592" max="3592" width="9.33203125" style="92" bestFit="1" customWidth="1"/>
    <col min="3593" max="3593" width="11.83203125" style="92" bestFit="1" customWidth="1"/>
    <col min="3594" max="3594" width="21.33203125" style="92" customWidth="1"/>
    <col min="3595" max="3595" width="11" style="92" customWidth="1"/>
    <col min="3596" max="3596" width="10" style="92" bestFit="1" customWidth="1"/>
    <col min="3597" max="3597" width="28.1640625" style="92" bestFit="1" customWidth="1"/>
    <col min="3598" max="3833" width="8.83203125" style="92" customWidth="1"/>
    <col min="3834" max="3834" width="9" style="92" customWidth="1"/>
    <col min="3835" max="3840" width="8.83203125" style="92" customWidth="1"/>
    <col min="3841" max="3841" width="9.5" style="92" bestFit="1" customWidth="1"/>
    <col min="3842" max="3843" width="9.33203125" style="92" bestFit="1" customWidth="1"/>
    <col min="3844" max="3844" width="54.6640625" style="92" bestFit="1" customWidth="1"/>
    <col min="3845" max="3845" width="16" style="92" customWidth="1"/>
    <col min="3846" max="3846" width="25.6640625" style="92" customWidth="1"/>
    <col min="3847" max="3847" width="12.33203125" style="92" customWidth="1"/>
    <col min="3848" max="3848" width="9.33203125" style="92" bestFit="1" customWidth="1"/>
    <col min="3849" max="3849" width="11.83203125" style="92" bestFit="1" customWidth="1"/>
    <col min="3850" max="3850" width="21.33203125" style="92" customWidth="1"/>
    <col min="3851" max="3851" width="11" style="92" customWidth="1"/>
    <col min="3852" max="3852" width="10" style="92" bestFit="1" customWidth="1"/>
    <col min="3853" max="3853" width="28.1640625" style="92" bestFit="1" customWidth="1"/>
    <col min="3854" max="4089" width="8.83203125" style="92" customWidth="1"/>
    <col min="4090" max="4090" width="9" style="92" customWidth="1"/>
    <col min="4091" max="4096" width="8.83203125" style="92" customWidth="1"/>
    <col min="4097" max="4097" width="9.5" style="92" bestFit="1" customWidth="1"/>
    <col min="4098" max="4099" width="9.33203125" style="92" bestFit="1" customWidth="1"/>
    <col min="4100" max="4100" width="54.6640625" style="92" bestFit="1" customWidth="1"/>
    <col min="4101" max="4101" width="16" style="92" customWidth="1"/>
    <col min="4102" max="4102" width="25.6640625" style="92" customWidth="1"/>
    <col min="4103" max="4103" width="12.33203125" style="92" customWidth="1"/>
    <col min="4104" max="4104" width="9.33203125" style="92" bestFit="1" customWidth="1"/>
    <col min="4105" max="4105" width="11.83203125" style="92" bestFit="1" customWidth="1"/>
    <col min="4106" max="4106" width="21.33203125" style="92" customWidth="1"/>
    <col min="4107" max="4107" width="11" style="92" customWidth="1"/>
    <col min="4108" max="4108" width="10" style="92" bestFit="1" customWidth="1"/>
    <col min="4109" max="4109" width="28.1640625" style="92" bestFit="1" customWidth="1"/>
    <col min="4110" max="4345" width="8.83203125" style="92" customWidth="1"/>
    <col min="4346" max="4346" width="9" style="92" customWidth="1"/>
    <col min="4347" max="4352" width="8.83203125" style="92" customWidth="1"/>
    <col min="4353" max="4353" width="9.5" style="92" bestFit="1" customWidth="1"/>
    <col min="4354" max="4355" width="9.33203125" style="92" bestFit="1" customWidth="1"/>
    <col min="4356" max="4356" width="54.6640625" style="92" bestFit="1" customWidth="1"/>
    <col min="4357" max="4357" width="16" style="92" customWidth="1"/>
    <col min="4358" max="4358" width="25.6640625" style="92" customWidth="1"/>
    <col min="4359" max="4359" width="12.33203125" style="92" customWidth="1"/>
    <col min="4360" max="4360" width="9.33203125" style="92" bestFit="1" customWidth="1"/>
    <col min="4361" max="4361" width="11.83203125" style="92" bestFit="1" customWidth="1"/>
    <col min="4362" max="4362" width="21.33203125" style="92" customWidth="1"/>
    <col min="4363" max="4363" width="11" style="92" customWidth="1"/>
    <col min="4364" max="4364" width="10" style="92" bestFit="1" customWidth="1"/>
    <col min="4365" max="4365" width="28.1640625" style="92" bestFit="1" customWidth="1"/>
    <col min="4366" max="4601" width="8.83203125" style="92" customWidth="1"/>
    <col min="4602" max="4602" width="9" style="92" customWidth="1"/>
    <col min="4603" max="4608" width="8.83203125" style="92" customWidth="1"/>
    <col min="4609" max="4609" width="9.5" style="92" bestFit="1" customWidth="1"/>
    <col min="4610" max="4611" width="9.33203125" style="92" bestFit="1" customWidth="1"/>
    <col min="4612" max="4612" width="54.6640625" style="92" bestFit="1" customWidth="1"/>
    <col min="4613" max="4613" width="16" style="92" customWidth="1"/>
    <col min="4614" max="4614" width="25.6640625" style="92" customWidth="1"/>
    <col min="4615" max="4615" width="12.33203125" style="92" customWidth="1"/>
    <col min="4616" max="4616" width="9.33203125" style="92" bestFit="1" customWidth="1"/>
    <col min="4617" max="4617" width="11.83203125" style="92" bestFit="1" customWidth="1"/>
    <col min="4618" max="4618" width="21.33203125" style="92" customWidth="1"/>
    <col min="4619" max="4619" width="11" style="92" customWidth="1"/>
    <col min="4620" max="4620" width="10" style="92" bestFit="1" customWidth="1"/>
    <col min="4621" max="4621" width="28.1640625" style="92" bestFit="1" customWidth="1"/>
    <col min="4622" max="4857" width="8.83203125" style="92" customWidth="1"/>
    <col min="4858" max="4858" width="9" style="92" customWidth="1"/>
    <col min="4859" max="4864" width="8.83203125" style="92" customWidth="1"/>
    <col min="4865" max="4865" width="9.5" style="92" bestFit="1" customWidth="1"/>
    <col min="4866" max="4867" width="9.33203125" style="92" bestFit="1" customWidth="1"/>
    <col min="4868" max="4868" width="54.6640625" style="92" bestFit="1" customWidth="1"/>
    <col min="4869" max="4869" width="16" style="92" customWidth="1"/>
    <col min="4870" max="4870" width="25.6640625" style="92" customWidth="1"/>
    <col min="4871" max="4871" width="12.33203125" style="92" customWidth="1"/>
    <col min="4872" max="4872" width="9.33203125" style="92" bestFit="1" customWidth="1"/>
    <col min="4873" max="4873" width="11.83203125" style="92" bestFit="1" customWidth="1"/>
    <col min="4874" max="4874" width="21.33203125" style="92" customWidth="1"/>
    <col min="4875" max="4875" width="11" style="92" customWidth="1"/>
    <col min="4876" max="4876" width="10" style="92" bestFit="1" customWidth="1"/>
    <col min="4877" max="4877" width="28.1640625" style="92" bestFit="1" customWidth="1"/>
    <col min="4878" max="5113" width="8.83203125" style="92" customWidth="1"/>
    <col min="5114" max="5114" width="9" style="92" customWidth="1"/>
    <col min="5115" max="5120" width="8.83203125" style="92" customWidth="1"/>
    <col min="5121" max="5121" width="9.5" style="92" bestFit="1" customWidth="1"/>
    <col min="5122" max="5123" width="9.33203125" style="92" bestFit="1" customWidth="1"/>
    <col min="5124" max="5124" width="54.6640625" style="92" bestFit="1" customWidth="1"/>
    <col min="5125" max="5125" width="16" style="92" customWidth="1"/>
    <col min="5126" max="5126" width="25.6640625" style="92" customWidth="1"/>
    <col min="5127" max="5127" width="12.33203125" style="92" customWidth="1"/>
    <col min="5128" max="5128" width="9.33203125" style="92" bestFit="1" customWidth="1"/>
    <col min="5129" max="5129" width="11.83203125" style="92" bestFit="1" customWidth="1"/>
    <col min="5130" max="5130" width="21.33203125" style="92" customWidth="1"/>
    <col min="5131" max="5131" width="11" style="92" customWidth="1"/>
    <col min="5132" max="5132" width="10" style="92" bestFit="1" customWidth="1"/>
    <col min="5133" max="5133" width="28.1640625" style="92" bestFit="1" customWidth="1"/>
    <col min="5134" max="5369" width="8.83203125" style="92" customWidth="1"/>
    <col min="5370" max="5370" width="9" style="92" customWidth="1"/>
    <col min="5371" max="5376" width="8.83203125" style="92" customWidth="1"/>
    <col min="5377" max="5377" width="9.5" style="92" bestFit="1" customWidth="1"/>
    <col min="5378" max="5379" width="9.33203125" style="92" bestFit="1" customWidth="1"/>
    <col min="5380" max="5380" width="54.6640625" style="92" bestFit="1" customWidth="1"/>
    <col min="5381" max="5381" width="16" style="92" customWidth="1"/>
    <col min="5382" max="5382" width="25.6640625" style="92" customWidth="1"/>
    <col min="5383" max="5383" width="12.33203125" style="92" customWidth="1"/>
    <col min="5384" max="5384" width="9.33203125" style="92" bestFit="1" customWidth="1"/>
    <col min="5385" max="5385" width="11.83203125" style="92" bestFit="1" customWidth="1"/>
    <col min="5386" max="5386" width="21.33203125" style="92" customWidth="1"/>
    <col min="5387" max="5387" width="11" style="92" customWidth="1"/>
    <col min="5388" max="5388" width="10" style="92" bestFit="1" customWidth="1"/>
    <col min="5389" max="5389" width="28.1640625" style="92" bestFit="1" customWidth="1"/>
    <col min="5390" max="5625" width="8.83203125" style="92" customWidth="1"/>
    <col min="5626" max="5626" width="9" style="92" customWidth="1"/>
    <col min="5627" max="5632" width="8.83203125" style="92" customWidth="1"/>
    <col min="5633" max="5633" width="9.5" style="92" bestFit="1" customWidth="1"/>
    <col min="5634" max="5635" width="9.33203125" style="92" bestFit="1" customWidth="1"/>
    <col min="5636" max="5636" width="54.6640625" style="92" bestFit="1" customWidth="1"/>
    <col min="5637" max="5637" width="16" style="92" customWidth="1"/>
    <col min="5638" max="5638" width="25.6640625" style="92" customWidth="1"/>
    <col min="5639" max="5639" width="12.33203125" style="92" customWidth="1"/>
    <col min="5640" max="5640" width="9.33203125" style="92" bestFit="1" customWidth="1"/>
    <col min="5641" max="5641" width="11.83203125" style="92" bestFit="1" customWidth="1"/>
    <col min="5642" max="5642" width="21.33203125" style="92" customWidth="1"/>
    <col min="5643" max="5643" width="11" style="92" customWidth="1"/>
    <col min="5644" max="5644" width="10" style="92" bestFit="1" customWidth="1"/>
    <col min="5645" max="5645" width="28.1640625" style="92" bestFit="1" customWidth="1"/>
    <col min="5646" max="5881" width="8.83203125" style="92" customWidth="1"/>
    <col min="5882" max="5882" width="9" style="92" customWidth="1"/>
    <col min="5883" max="5888" width="8.83203125" style="92" customWidth="1"/>
    <col min="5889" max="5889" width="9.5" style="92" bestFit="1" customWidth="1"/>
    <col min="5890" max="5891" width="9.33203125" style="92" bestFit="1" customWidth="1"/>
    <col min="5892" max="5892" width="54.6640625" style="92" bestFit="1" customWidth="1"/>
    <col min="5893" max="5893" width="16" style="92" customWidth="1"/>
    <col min="5894" max="5894" width="25.6640625" style="92" customWidth="1"/>
    <col min="5895" max="5895" width="12.33203125" style="92" customWidth="1"/>
    <col min="5896" max="5896" width="9.33203125" style="92" bestFit="1" customWidth="1"/>
    <col min="5897" max="5897" width="11.83203125" style="92" bestFit="1" customWidth="1"/>
    <col min="5898" max="5898" width="21.33203125" style="92" customWidth="1"/>
    <col min="5899" max="5899" width="11" style="92" customWidth="1"/>
    <col min="5900" max="5900" width="10" style="92" bestFit="1" customWidth="1"/>
    <col min="5901" max="5901" width="28.1640625" style="92" bestFit="1" customWidth="1"/>
    <col min="5902" max="6137" width="8.83203125" style="92" customWidth="1"/>
    <col min="6138" max="6138" width="9" style="92" customWidth="1"/>
    <col min="6139" max="6144" width="8.83203125" style="92" customWidth="1"/>
    <col min="6145" max="6145" width="9.5" style="92" bestFit="1" customWidth="1"/>
    <col min="6146" max="6147" width="9.33203125" style="92" bestFit="1" customWidth="1"/>
    <col min="6148" max="6148" width="54.6640625" style="92" bestFit="1" customWidth="1"/>
    <col min="6149" max="6149" width="16" style="92" customWidth="1"/>
    <col min="6150" max="6150" width="25.6640625" style="92" customWidth="1"/>
    <col min="6151" max="6151" width="12.33203125" style="92" customWidth="1"/>
    <col min="6152" max="6152" width="9.33203125" style="92" bestFit="1" customWidth="1"/>
    <col min="6153" max="6153" width="11.83203125" style="92" bestFit="1" customWidth="1"/>
    <col min="6154" max="6154" width="21.33203125" style="92" customWidth="1"/>
    <col min="6155" max="6155" width="11" style="92" customWidth="1"/>
    <col min="6156" max="6156" width="10" style="92" bestFit="1" customWidth="1"/>
    <col min="6157" max="6157" width="28.1640625" style="92" bestFit="1" customWidth="1"/>
    <col min="6158" max="6393" width="8.83203125" style="92" customWidth="1"/>
    <col min="6394" max="6394" width="9" style="92" customWidth="1"/>
    <col min="6395" max="6400" width="8.83203125" style="92" customWidth="1"/>
    <col min="6401" max="6401" width="9.5" style="92" bestFit="1" customWidth="1"/>
    <col min="6402" max="6403" width="9.33203125" style="92" bestFit="1" customWidth="1"/>
    <col min="6404" max="6404" width="54.6640625" style="92" bestFit="1" customWidth="1"/>
    <col min="6405" max="6405" width="16" style="92" customWidth="1"/>
    <col min="6406" max="6406" width="25.6640625" style="92" customWidth="1"/>
    <col min="6407" max="6407" width="12.33203125" style="92" customWidth="1"/>
    <col min="6408" max="6408" width="9.33203125" style="92" bestFit="1" customWidth="1"/>
    <col min="6409" max="6409" width="11.83203125" style="92" bestFit="1" customWidth="1"/>
    <col min="6410" max="6410" width="21.33203125" style="92" customWidth="1"/>
    <col min="6411" max="6411" width="11" style="92" customWidth="1"/>
    <col min="6412" max="6412" width="10" style="92" bestFit="1" customWidth="1"/>
    <col min="6413" max="6413" width="28.1640625" style="92" bestFit="1" customWidth="1"/>
    <col min="6414" max="6649" width="8.83203125" style="92" customWidth="1"/>
    <col min="6650" max="6650" width="9" style="92" customWidth="1"/>
    <col min="6651" max="6656" width="8.83203125" style="92" customWidth="1"/>
    <col min="6657" max="6657" width="9.5" style="92" bestFit="1" customWidth="1"/>
    <col min="6658" max="6659" width="9.33203125" style="92" bestFit="1" customWidth="1"/>
    <col min="6660" max="6660" width="54.6640625" style="92" bestFit="1" customWidth="1"/>
    <col min="6661" max="6661" width="16" style="92" customWidth="1"/>
    <col min="6662" max="6662" width="25.6640625" style="92" customWidth="1"/>
    <col min="6663" max="6663" width="12.33203125" style="92" customWidth="1"/>
    <col min="6664" max="6664" width="9.33203125" style="92" bestFit="1" customWidth="1"/>
    <col min="6665" max="6665" width="11.83203125" style="92" bestFit="1" customWidth="1"/>
    <col min="6666" max="6666" width="21.33203125" style="92" customWidth="1"/>
    <col min="6667" max="6667" width="11" style="92" customWidth="1"/>
    <col min="6668" max="6668" width="10" style="92" bestFit="1" customWidth="1"/>
    <col min="6669" max="6669" width="28.1640625" style="92" bestFit="1" customWidth="1"/>
    <col min="6670" max="6905" width="8.83203125" style="92" customWidth="1"/>
    <col min="6906" max="6906" width="9" style="92" customWidth="1"/>
    <col min="6907" max="6912" width="8.83203125" style="92" customWidth="1"/>
    <col min="6913" max="6913" width="9.5" style="92" bestFit="1" customWidth="1"/>
    <col min="6914" max="6915" width="9.33203125" style="92" bestFit="1" customWidth="1"/>
    <col min="6916" max="6916" width="54.6640625" style="92" bestFit="1" customWidth="1"/>
    <col min="6917" max="6917" width="16" style="92" customWidth="1"/>
    <col min="6918" max="6918" width="25.6640625" style="92" customWidth="1"/>
    <col min="6919" max="6919" width="12.33203125" style="92" customWidth="1"/>
    <col min="6920" max="6920" width="9.33203125" style="92" bestFit="1" customWidth="1"/>
    <col min="6921" max="6921" width="11.83203125" style="92" bestFit="1" customWidth="1"/>
    <col min="6922" max="6922" width="21.33203125" style="92" customWidth="1"/>
    <col min="6923" max="6923" width="11" style="92" customWidth="1"/>
    <col min="6924" max="6924" width="10" style="92" bestFit="1" customWidth="1"/>
    <col min="6925" max="6925" width="28.1640625" style="92" bestFit="1" customWidth="1"/>
    <col min="6926" max="7161" width="8.83203125" style="92" customWidth="1"/>
    <col min="7162" max="7162" width="9" style="92" customWidth="1"/>
    <col min="7163" max="7168" width="8.83203125" style="92" customWidth="1"/>
    <col min="7169" max="7169" width="9.5" style="92" bestFit="1" customWidth="1"/>
    <col min="7170" max="7171" width="9.33203125" style="92" bestFit="1" customWidth="1"/>
    <col min="7172" max="7172" width="54.6640625" style="92" bestFit="1" customWidth="1"/>
    <col min="7173" max="7173" width="16" style="92" customWidth="1"/>
    <col min="7174" max="7174" width="25.6640625" style="92" customWidth="1"/>
    <col min="7175" max="7175" width="12.33203125" style="92" customWidth="1"/>
    <col min="7176" max="7176" width="9.33203125" style="92" bestFit="1" customWidth="1"/>
    <col min="7177" max="7177" width="11.83203125" style="92" bestFit="1" customWidth="1"/>
    <col min="7178" max="7178" width="21.33203125" style="92" customWidth="1"/>
    <col min="7179" max="7179" width="11" style="92" customWidth="1"/>
    <col min="7180" max="7180" width="10" style="92" bestFit="1" customWidth="1"/>
    <col min="7181" max="7181" width="28.1640625" style="92" bestFit="1" customWidth="1"/>
    <col min="7182" max="7417" width="8.83203125" style="92" customWidth="1"/>
    <col min="7418" max="7418" width="9" style="92" customWidth="1"/>
    <col min="7419" max="7424" width="8.83203125" style="92" customWidth="1"/>
    <col min="7425" max="7425" width="9.5" style="92" bestFit="1" customWidth="1"/>
    <col min="7426" max="7427" width="9.33203125" style="92" bestFit="1" customWidth="1"/>
    <col min="7428" max="7428" width="54.6640625" style="92" bestFit="1" customWidth="1"/>
    <col min="7429" max="7429" width="16" style="92" customWidth="1"/>
    <col min="7430" max="7430" width="25.6640625" style="92" customWidth="1"/>
    <col min="7431" max="7431" width="12.33203125" style="92" customWidth="1"/>
    <col min="7432" max="7432" width="9.33203125" style="92" bestFit="1" customWidth="1"/>
    <col min="7433" max="7433" width="11.83203125" style="92" bestFit="1" customWidth="1"/>
    <col min="7434" max="7434" width="21.33203125" style="92" customWidth="1"/>
    <col min="7435" max="7435" width="11" style="92" customWidth="1"/>
    <col min="7436" max="7436" width="10" style="92" bestFit="1" customWidth="1"/>
    <col min="7437" max="7437" width="28.1640625" style="92" bestFit="1" customWidth="1"/>
    <col min="7438" max="7673" width="8.83203125" style="92" customWidth="1"/>
    <col min="7674" max="7674" width="9" style="92" customWidth="1"/>
    <col min="7675" max="7680" width="8.83203125" style="92" customWidth="1"/>
    <col min="7681" max="7681" width="9.5" style="92" bestFit="1" customWidth="1"/>
    <col min="7682" max="7683" width="9.33203125" style="92" bestFit="1" customWidth="1"/>
    <col min="7684" max="7684" width="54.6640625" style="92" bestFit="1" customWidth="1"/>
    <col min="7685" max="7685" width="16" style="92" customWidth="1"/>
    <col min="7686" max="7686" width="25.6640625" style="92" customWidth="1"/>
    <col min="7687" max="7687" width="12.33203125" style="92" customWidth="1"/>
    <col min="7688" max="7688" width="9.33203125" style="92" bestFit="1" customWidth="1"/>
    <col min="7689" max="7689" width="11.83203125" style="92" bestFit="1" customWidth="1"/>
    <col min="7690" max="7690" width="21.33203125" style="92" customWidth="1"/>
    <col min="7691" max="7691" width="11" style="92" customWidth="1"/>
    <col min="7692" max="7692" width="10" style="92" bestFit="1" customWidth="1"/>
    <col min="7693" max="7693" width="28.1640625" style="92" bestFit="1" customWidth="1"/>
    <col min="7694" max="7929" width="8.83203125" style="92" customWidth="1"/>
    <col min="7930" max="7930" width="9" style="92" customWidth="1"/>
    <col min="7931" max="7936" width="8.83203125" style="92" customWidth="1"/>
    <col min="7937" max="7937" width="9.5" style="92" bestFit="1" customWidth="1"/>
    <col min="7938" max="7939" width="9.33203125" style="92" bestFit="1" customWidth="1"/>
    <col min="7940" max="7940" width="54.6640625" style="92" bestFit="1" customWidth="1"/>
    <col min="7941" max="7941" width="16" style="92" customWidth="1"/>
    <col min="7942" max="7942" width="25.6640625" style="92" customWidth="1"/>
    <col min="7943" max="7943" width="12.33203125" style="92" customWidth="1"/>
    <col min="7944" max="7944" width="9.33203125" style="92" bestFit="1" customWidth="1"/>
    <col min="7945" max="7945" width="11.83203125" style="92" bestFit="1" customWidth="1"/>
    <col min="7946" max="7946" width="21.33203125" style="92" customWidth="1"/>
    <col min="7947" max="7947" width="11" style="92" customWidth="1"/>
    <col min="7948" max="7948" width="10" style="92" bestFit="1" customWidth="1"/>
    <col min="7949" max="7949" width="28.1640625" style="92" bestFit="1" customWidth="1"/>
    <col min="7950" max="8185" width="8.83203125" style="92" customWidth="1"/>
    <col min="8186" max="8186" width="9" style="92" customWidth="1"/>
    <col min="8187" max="8192" width="8.83203125" style="92" customWidth="1"/>
    <col min="8193" max="8193" width="9.5" style="92" bestFit="1" customWidth="1"/>
    <col min="8194" max="8195" width="9.33203125" style="92" bestFit="1" customWidth="1"/>
    <col min="8196" max="8196" width="54.6640625" style="92" bestFit="1" customWidth="1"/>
    <col min="8197" max="8197" width="16" style="92" customWidth="1"/>
    <col min="8198" max="8198" width="25.6640625" style="92" customWidth="1"/>
    <col min="8199" max="8199" width="12.33203125" style="92" customWidth="1"/>
    <col min="8200" max="8200" width="9.33203125" style="92" bestFit="1" customWidth="1"/>
    <col min="8201" max="8201" width="11.83203125" style="92" bestFit="1" customWidth="1"/>
    <col min="8202" max="8202" width="21.33203125" style="92" customWidth="1"/>
    <col min="8203" max="8203" width="11" style="92" customWidth="1"/>
    <col min="8204" max="8204" width="10" style="92" bestFit="1" customWidth="1"/>
    <col min="8205" max="8205" width="28.1640625" style="92" bestFit="1" customWidth="1"/>
    <col min="8206" max="8441" width="8.83203125" style="92" customWidth="1"/>
    <col min="8442" max="8442" width="9" style="92" customWidth="1"/>
    <col min="8443" max="8448" width="8.83203125" style="92" customWidth="1"/>
    <col min="8449" max="8449" width="9.5" style="92" bestFit="1" customWidth="1"/>
    <col min="8450" max="8451" width="9.33203125" style="92" bestFit="1" customWidth="1"/>
    <col min="8452" max="8452" width="54.6640625" style="92" bestFit="1" customWidth="1"/>
    <col min="8453" max="8453" width="16" style="92" customWidth="1"/>
    <col min="8454" max="8454" width="25.6640625" style="92" customWidth="1"/>
    <col min="8455" max="8455" width="12.33203125" style="92" customWidth="1"/>
    <col min="8456" max="8456" width="9.33203125" style="92" bestFit="1" customWidth="1"/>
    <col min="8457" max="8457" width="11.83203125" style="92" bestFit="1" customWidth="1"/>
    <col min="8458" max="8458" width="21.33203125" style="92" customWidth="1"/>
    <col min="8459" max="8459" width="11" style="92" customWidth="1"/>
    <col min="8460" max="8460" width="10" style="92" bestFit="1" customWidth="1"/>
    <col min="8461" max="8461" width="28.1640625" style="92" bestFit="1" customWidth="1"/>
    <col min="8462" max="8697" width="8.83203125" style="92" customWidth="1"/>
    <col min="8698" max="8698" width="9" style="92" customWidth="1"/>
    <col min="8699" max="8704" width="8.83203125" style="92" customWidth="1"/>
    <col min="8705" max="8705" width="9.5" style="92" bestFit="1" customWidth="1"/>
    <col min="8706" max="8707" width="9.33203125" style="92" bestFit="1" customWidth="1"/>
    <col min="8708" max="8708" width="54.6640625" style="92" bestFit="1" customWidth="1"/>
    <col min="8709" max="8709" width="16" style="92" customWidth="1"/>
    <col min="8710" max="8710" width="25.6640625" style="92" customWidth="1"/>
    <col min="8711" max="8711" width="12.33203125" style="92" customWidth="1"/>
    <col min="8712" max="8712" width="9.33203125" style="92" bestFit="1" customWidth="1"/>
    <col min="8713" max="8713" width="11.83203125" style="92" bestFit="1" customWidth="1"/>
    <col min="8714" max="8714" width="21.33203125" style="92" customWidth="1"/>
    <col min="8715" max="8715" width="11" style="92" customWidth="1"/>
    <col min="8716" max="8716" width="10" style="92" bestFit="1" customWidth="1"/>
    <col min="8717" max="8717" width="28.1640625" style="92" bestFit="1" customWidth="1"/>
    <col min="8718" max="8953" width="8.83203125" style="92" customWidth="1"/>
    <col min="8954" max="8954" width="9" style="92" customWidth="1"/>
    <col min="8955" max="8960" width="8.83203125" style="92" customWidth="1"/>
    <col min="8961" max="8961" width="9.5" style="92" bestFit="1" customWidth="1"/>
    <col min="8962" max="8963" width="9.33203125" style="92" bestFit="1" customWidth="1"/>
    <col min="8964" max="8964" width="54.6640625" style="92" bestFit="1" customWidth="1"/>
    <col min="8965" max="8965" width="16" style="92" customWidth="1"/>
    <col min="8966" max="8966" width="25.6640625" style="92" customWidth="1"/>
    <col min="8967" max="8967" width="12.33203125" style="92" customWidth="1"/>
    <col min="8968" max="8968" width="9.33203125" style="92" bestFit="1" customWidth="1"/>
    <col min="8969" max="8969" width="11.83203125" style="92" bestFit="1" customWidth="1"/>
    <col min="8970" max="8970" width="21.33203125" style="92" customWidth="1"/>
    <col min="8971" max="8971" width="11" style="92" customWidth="1"/>
    <col min="8972" max="8972" width="10" style="92" bestFit="1" customWidth="1"/>
    <col min="8973" max="8973" width="28.1640625" style="92" bestFit="1" customWidth="1"/>
    <col min="8974" max="9209" width="8.83203125" style="92" customWidth="1"/>
    <col min="9210" max="9210" width="9" style="92" customWidth="1"/>
    <col min="9211" max="9216" width="8.83203125" style="92" customWidth="1"/>
    <col min="9217" max="9217" width="9.5" style="92" bestFit="1" customWidth="1"/>
    <col min="9218" max="9219" width="9.33203125" style="92" bestFit="1" customWidth="1"/>
    <col min="9220" max="9220" width="54.6640625" style="92" bestFit="1" customWidth="1"/>
    <col min="9221" max="9221" width="16" style="92" customWidth="1"/>
    <col min="9222" max="9222" width="25.6640625" style="92" customWidth="1"/>
    <col min="9223" max="9223" width="12.33203125" style="92" customWidth="1"/>
    <col min="9224" max="9224" width="9.33203125" style="92" bestFit="1" customWidth="1"/>
    <col min="9225" max="9225" width="11.83203125" style="92" bestFit="1" customWidth="1"/>
    <col min="9226" max="9226" width="21.33203125" style="92" customWidth="1"/>
    <col min="9227" max="9227" width="11" style="92" customWidth="1"/>
    <col min="9228" max="9228" width="10" style="92" bestFit="1" customWidth="1"/>
    <col min="9229" max="9229" width="28.1640625" style="92" bestFit="1" customWidth="1"/>
    <col min="9230" max="9465" width="8.83203125" style="92" customWidth="1"/>
    <col min="9466" max="9466" width="9" style="92" customWidth="1"/>
    <col min="9467" max="9472" width="8.83203125" style="92" customWidth="1"/>
    <col min="9473" max="9473" width="9.5" style="92" bestFit="1" customWidth="1"/>
    <col min="9474" max="9475" width="9.33203125" style="92" bestFit="1" customWidth="1"/>
    <col min="9476" max="9476" width="54.6640625" style="92" bestFit="1" customWidth="1"/>
    <col min="9477" max="9477" width="16" style="92" customWidth="1"/>
    <col min="9478" max="9478" width="25.6640625" style="92" customWidth="1"/>
    <col min="9479" max="9479" width="12.33203125" style="92" customWidth="1"/>
    <col min="9480" max="9480" width="9.33203125" style="92" bestFit="1" customWidth="1"/>
    <col min="9481" max="9481" width="11.83203125" style="92" bestFit="1" customWidth="1"/>
    <col min="9482" max="9482" width="21.33203125" style="92" customWidth="1"/>
    <col min="9483" max="9483" width="11" style="92" customWidth="1"/>
    <col min="9484" max="9484" width="10" style="92" bestFit="1" customWidth="1"/>
    <col min="9485" max="9485" width="28.1640625" style="92" bestFit="1" customWidth="1"/>
    <col min="9486" max="9721" width="8.83203125" style="92" customWidth="1"/>
    <col min="9722" max="9722" width="9" style="92" customWidth="1"/>
    <col min="9723" max="9728" width="8.83203125" style="92" customWidth="1"/>
    <col min="9729" max="9729" width="9.5" style="92" bestFit="1" customWidth="1"/>
    <col min="9730" max="9731" width="9.33203125" style="92" bestFit="1" customWidth="1"/>
    <col min="9732" max="9732" width="54.6640625" style="92" bestFit="1" customWidth="1"/>
    <col min="9733" max="9733" width="16" style="92" customWidth="1"/>
    <col min="9734" max="9734" width="25.6640625" style="92" customWidth="1"/>
    <col min="9735" max="9735" width="12.33203125" style="92" customWidth="1"/>
    <col min="9736" max="9736" width="9.33203125" style="92" bestFit="1" customWidth="1"/>
    <col min="9737" max="9737" width="11.83203125" style="92" bestFit="1" customWidth="1"/>
    <col min="9738" max="9738" width="21.33203125" style="92" customWidth="1"/>
    <col min="9739" max="9739" width="11" style="92" customWidth="1"/>
    <col min="9740" max="9740" width="10" style="92" bestFit="1" customWidth="1"/>
    <col min="9741" max="9741" width="28.1640625" style="92" bestFit="1" customWidth="1"/>
    <col min="9742" max="9977" width="8.83203125" style="92" customWidth="1"/>
    <col min="9978" max="9978" width="9" style="92" customWidth="1"/>
    <col min="9979" max="9984" width="8.83203125" style="92" customWidth="1"/>
    <col min="9985" max="9985" width="9.5" style="92" bestFit="1" customWidth="1"/>
    <col min="9986" max="9987" width="9.33203125" style="92" bestFit="1" customWidth="1"/>
    <col min="9988" max="9988" width="54.6640625" style="92" bestFit="1" customWidth="1"/>
    <col min="9989" max="9989" width="16" style="92" customWidth="1"/>
    <col min="9990" max="9990" width="25.6640625" style="92" customWidth="1"/>
    <col min="9991" max="9991" width="12.33203125" style="92" customWidth="1"/>
    <col min="9992" max="9992" width="9.33203125" style="92" bestFit="1" customWidth="1"/>
    <col min="9993" max="9993" width="11.83203125" style="92" bestFit="1" customWidth="1"/>
    <col min="9994" max="9994" width="21.33203125" style="92" customWidth="1"/>
    <col min="9995" max="9995" width="11" style="92" customWidth="1"/>
    <col min="9996" max="9996" width="10" style="92" bestFit="1" customWidth="1"/>
    <col min="9997" max="9997" width="28.1640625" style="92" bestFit="1" customWidth="1"/>
    <col min="9998" max="10233" width="8.83203125" style="92" customWidth="1"/>
    <col min="10234" max="10234" width="9" style="92" customWidth="1"/>
    <col min="10235" max="10240" width="8.83203125" style="92" customWidth="1"/>
    <col min="10241" max="10241" width="9.5" style="92" bestFit="1" customWidth="1"/>
    <col min="10242" max="10243" width="9.33203125" style="92" bestFit="1" customWidth="1"/>
    <col min="10244" max="10244" width="54.6640625" style="92" bestFit="1" customWidth="1"/>
    <col min="10245" max="10245" width="16" style="92" customWidth="1"/>
    <col min="10246" max="10246" width="25.6640625" style="92" customWidth="1"/>
    <col min="10247" max="10247" width="12.33203125" style="92" customWidth="1"/>
    <col min="10248" max="10248" width="9.33203125" style="92" bestFit="1" customWidth="1"/>
    <col min="10249" max="10249" width="11.83203125" style="92" bestFit="1" customWidth="1"/>
    <col min="10250" max="10250" width="21.33203125" style="92" customWidth="1"/>
    <col min="10251" max="10251" width="11" style="92" customWidth="1"/>
    <col min="10252" max="10252" width="10" style="92" bestFit="1" customWidth="1"/>
    <col min="10253" max="10253" width="28.1640625" style="92" bestFit="1" customWidth="1"/>
    <col min="10254" max="10489" width="8.83203125" style="92" customWidth="1"/>
    <col min="10490" max="10490" width="9" style="92" customWidth="1"/>
    <col min="10491" max="10496" width="8.83203125" style="92" customWidth="1"/>
    <col min="10497" max="10497" width="9.5" style="92" bestFit="1" customWidth="1"/>
    <col min="10498" max="10499" width="9.33203125" style="92" bestFit="1" customWidth="1"/>
    <col min="10500" max="10500" width="54.6640625" style="92" bestFit="1" customWidth="1"/>
    <col min="10501" max="10501" width="16" style="92" customWidth="1"/>
    <col min="10502" max="10502" width="25.6640625" style="92" customWidth="1"/>
    <col min="10503" max="10503" width="12.33203125" style="92" customWidth="1"/>
    <col min="10504" max="10504" width="9.33203125" style="92" bestFit="1" customWidth="1"/>
    <col min="10505" max="10505" width="11.83203125" style="92" bestFit="1" customWidth="1"/>
    <col min="10506" max="10506" width="21.33203125" style="92" customWidth="1"/>
    <col min="10507" max="10507" width="11" style="92" customWidth="1"/>
    <col min="10508" max="10508" width="10" style="92" bestFit="1" customWidth="1"/>
    <col min="10509" max="10509" width="28.1640625" style="92" bestFit="1" customWidth="1"/>
    <col min="10510" max="10745" width="8.83203125" style="92" customWidth="1"/>
    <col min="10746" max="10746" width="9" style="92" customWidth="1"/>
    <col min="10747" max="10752" width="8.83203125" style="92" customWidth="1"/>
    <col min="10753" max="10753" width="9.5" style="92" bestFit="1" customWidth="1"/>
    <col min="10754" max="10755" width="9.33203125" style="92" bestFit="1" customWidth="1"/>
    <col min="10756" max="10756" width="54.6640625" style="92" bestFit="1" customWidth="1"/>
    <col min="10757" max="10757" width="16" style="92" customWidth="1"/>
    <col min="10758" max="10758" width="25.6640625" style="92" customWidth="1"/>
    <col min="10759" max="10759" width="12.33203125" style="92" customWidth="1"/>
    <col min="10760" max="10760" width="9.33203125" style="92" bestFit="1" customWidth="1"/>
    <col min="10761" max="10761" width="11.83203125" style="92" bestFit="1" customWidth="1"/>
    <col min="10762" max="10762" width="21.33203125" style="92" customWidth="1"/>
    <col min="10763" max="10763" width="11" style="92" customWidth="1"/>
    <col min="10764" max="10764" width="10" style="92" bestFit="1" customWidth="1"/>
    <col min="10765" max="10765" width="28.1640625" style="92" bestFit="1" customWidth="1"/>
    <col min="10766" max="11001" width="8.83203125" style="92" customWidth="1"/>
    <col min="11002" max="11002" width="9" style="92" customWidth="1"/>
    <col min="11003" max="11008" width="8.83203125" style="92" customWidth="1"/>
    <col min="11009" max="11009" width="9.5" style="92" bestFit="1" customWidth="1"/>
    <col min="11010" max="11011" width="9.33203125" style="92" bestFit="1" customWidth="1"/>
    <col min="11012" max="11012" width="54.6640625" style="92" bestFit="1" customWidth="1"/>
    <col min="11013" max="11013" width="16" style="92" customWidth="1"/>
    <col min="11014" max="11014" width="25.6640625" style="92" customWidth="1"/>
    <col min="11015" max="11015" width="12.33203125" style="92" customWidth="1"/>
    <col min="11016" max="11016" width="9.33203125" style="92" bestFit="1" customWidth="1"/>
    <col min="11017" max="11017" width="11.83203125" style="92" bestFit="1" customWidth="1"/>
    <col min="11018" max="11018" width="21.33203125" style="92" customWidth="1"/>
    <col min="11019" max="11019" width="11" style="92" customWidth="1"/>
    <col min="11020" max="11020" width="10" style="92" bestFit="1" customWidth="1"/>
    <col min="11021" max="11021" width="28.1640625" style="92" bestFit="1" customWidth="1"/>
    <col min="11022" max="11257" width="8.83203125" style="92" customWidth="1"/>
    <col min="11258" max="11258" width="9" style="92" customWidth="1"/>
    <col min="11259" max="11264" width="8.83203125" style="92" customWidth="1"/>
    <col min="11265" max="11265" width="9.5" style="92" bestFit="1" customWidth="1"/>
    <col min="11266" max="11267" width="9.33203125" style="92" bestFit="1" customWidth="1"/>
    <col min="11268" max="11268" width="54.6640625" style="92" bestFit="1" customWidth="1"/>
    <col min="11269" max="11269" width="16" style="92" customWidth="1"/>
    <col min="11270" max="11270" width="25.6640625" style="92" customWidth="1"/>
    <col min="11271" max="11271" width="12.33203125" style="92" customWidth="1"/>
    <col min="11272" max="11272" width="9.33203125" style="92" bestFit="1" customWidth="1"/>
    <col min="11273" max="11273" width="11.83203125" style="92" bestFit="1" customWidth="1"/>
    <col min="11274" max="11274" width="21.33203125" style="92" customWidth="1"/>
    <col min="11275" max="11275" width="11" style="92" customWidth="1"/>
    <col min="11276" max="11276" width="10" style="92" bestFit="1" customWidth="1"/>
    <col min="11277" max="11277" width="28.1640625" style="92" bestFit="1" customWidth="1"/>
    <col min="11278" max="11513" width="8.83203125" style="92" customWidth="1"/>
    <col min="11514" max="11514" width="9" style="92" customWidth="1"/>
    <col min="11515" max="11520" width="8.83203125" style="92" customWidth="1"/>
    <col min="11521" max="11521" width="9.5" style="92" bestFit="1" customWidth="1"/>
    <col min="11522" max="11523" width="9.33203125" style="92" bestFit="1" customWidth="1"/>
    <col min="11524" max="11524" width="54.6640625" style="92" bestFit="1" customWidth="1"/>
    <col min="11525" max="11525" width="16" style="92" customWidth="1"/>
    <col min="11526" max="11526" width="25.6640625" style="92" customWidth="1"/>
    <col min="11527" max="11527" width="12.33203125" style="92" customWidth="1"/>
    <col min="11528" max="11528" width="9.33203125" style="92" bestFit="1" customWidth="1"/>
    <col min="11529" max="11529" width="11.83203125" style="92" bestFit="1" customWidth="1"/>
    <col min="11530" max="11530" width="21.33203125" style="92" customWidth="1"/>
    <col min="11531" max="11531" width="11" style="92" customWidth="1"/>
    <col min="11532" max="11532" width="10" style="92" bestFit="1" customWidth="1"/>
    <col min="11533" max="11533" width="28.1640625" style="92" bestFit="1" customWidth="1"/>
    <col min="11534" max="11769" width="8.83203125" style="92" customWidth="1"/>
    <col min="11770" max="11770" width="9" style="92" customWidth="1"/>
    <col min="11771" max="11776" width="8.83203125" style="92" customWidth="1"/>
    <col min="11777" max="11777" width="9.5" style="92" bestFit="1" customWidth="1"/>
    <col min="11778" max="11779" width="9.33203125" style="92" bestFit="1" customWidth="1"/>
    <col min="11780" max="11780" width="54.6640625" style="92" bestFit="1" customWidth="1"/>
    <col min="11781" max="11781" width="16" style="92" customWidth="1"/>
    <col min="11782" max="11782" width="25.6640625" style="92" customWidth="1"/>
    <col min="11783" max="11783" width="12.33203125" style="92" customWidth="1"/>
    <col min="11784" max="11784" width="9.33203125" style="92" bestFit="1" customWidth="1"/>
    <col min="11785" max="11785" width="11.83203125" style="92" bestFit="1" customWidth="1"/>
    <col min="11786" max="11786" width="21.33203125" style="92" customWidth="1"/>
    <col min="11787" max="11787" width="11" style="92" customWidth="1"/>
    <col min="11788" max="11788" width="10" style="92" bestFit="1" customWidth="1"/>
    <col min="11789" max="11789" width="28.1640625" style="92" bestFit="1" customWidth="1"/>
    <col min="11790" max="12025" width="8.83203125" style="92" customWidth="1"/>
    <col min="12026" max="12026" width="9" style="92" customWidth="1"/>
    <col min="12027" max="12032" width="8.83203125" style="92" customWidth="1"/>
    <col min="12033" max="12033" width="9.5" style="92" bestFit="1" customWidth="1"/>
    <col min="12034" max="12035" width="9.33203125" style="92" bestFit="1" customWidth="1"/>
    <col min="12036" max="12036" width="54.6640625" style="92" bestFit="1" customWidth="1"/>
    <col min="12037" max="12037" width="16" style="92" customWidth="1"/>
    <col min="12038" max="12038" width="25.6640625" style="92" customWidth="1"/>
    <col min="12039" max="12039" width="12.33203125" style="92" customWidth="1"/>
    <col min="12040" max="12040" width="9.33203125" style="92" bestFit="1" customWidth="1"/>
    <col min="12041" max="12041" width="11.83203125" style="92" bestFit="1" customWidth="1"/>
    <col min="12042" max="12042" width="21.33203125" style="92" customWidth="1"/>
    <col min="12043" max="12043" width="11" style="92" customWidth="1"/>
    <col min="12044" max="12044" width="10" style="92" bestFit="1" customWidth="1"/>
    <col min="12045" max="12045" width="28.1640625" style="92" bestFit="1" customWidth="1"/>
    <col min="12046" max="12281" width="8.83203125" style="92" customWidth="1"/>
    <col min="12282" max="12282" width="9" style="92" customWidth="1"/>
    <col min="12283" max="12288" width="8.83203125" style="92" customWidth="1"/>
    <col min="12289" max="12289" width="9.5" style="92" bestFit="1" customWidth="1"/>
    <col min="12290" max="12291" width="9.33203125" style="92" bestFit="1" customWidth="1"/>
    <col min="12292" max="12292" width="54.6640625" style="92" bestFit="1" customWidth="1"/>
    <col min="12293" max="12293" width="16" style="92" customWidth="1"/>
    <col min="12294" max="12294" width="25.6640625" style="92" customWidth="1"/>
    <col min="12295" max="12295" width="12.33203125" style="92" customWidth="1"/>
    <col min="12296" max="12296" width="9.33203125" style="92" bestFit="1" customWidth="1"/>
    <col min="12297" max="12297" width="11.83203125" style="92" bestFit="1" customWidth="1"/>
    <col min="12298" max="12298" width="21.33203125" style="92" customWidth="1"/>
    <col min="12299" max="12299" width="11" style="92" customWidth="1"/>
    <col min="12300" max="12300" width="10" style="92" bestFit="1" customWidth="1"/>
    <col min="12301" max="12301" width="28.1640625" style="92" bestFit="1" customWidth="1"/>
    <col min="12302" max="12537" width="8.83203125" style="92" customWidth="1"/>
    <col min="12538" max="12538" width="9" style="92" customWidth="1"/>
    <col min="12539" max="12544" width="8.83203125" style="92" customWidth="1"/>
    <col min="12545" max="12545" width="9.5" style="92" bestFit="1" customWidth="1"/>
    <col min="12546" max="12547" width="9.33203125" style="92" bestFit="1" customWidth="1"/>
    <col min="12548" max="12548" width="54.6640625" style="92" bestFit="1" customWidth="1"/>
    <col min="12549" max="12549" width="16" style="92" customWidth="1"/>
    <col min="12550" max="12550" width="25.6640625" style="92" customWidth="1"/>
    <col min="12551" max="12551" width="12.33203125" style="92" customWidth="1"/>
    <col min="12552" max="12552" width="9.33203125" style="92" bestFit="1" customWidth="1"/>
    <col min="12553" max="12553" width="11.83203125" style="92" bestFit="1" customWidth="1"/>
    <col min="12554" max="12554" width="21.33203125" style="92" customWidth="1"/>
    <col min="12555" max="12555" width="11" style="92" customWidth="1"/>
    <col min="12556" max="12556" width="10" style="92" bestFit="1" customWidth="1"/>
    <col min="12557" max="12557" width="28.1640625" style="92" bestFit="1" customWidth="1"/>
    <col min="12558" max="12793" width="8.83203125" style="92" customWidth="1"/>
    <col min="12794" max="12794" width="9" style="92" customWidth="1"/>
    <col min="12795" max="12800" width="8.83203125" style="92" customWidth="1"/>
    <col min="12801" max="12801" width="9.5" style="92" bestFit="1" customWidth="1"/>
    <col min="12802" max="12803" width="9.33203125" style="92" bestFit="1" customWidth="1"/>
    <col min="12804" max="12804" width="54.6640625" style="92" bestFit="1" customWidth="1"/>
    <col min="12805" max="12805" width="16" style="92" customWidth="1"/>
    <col min="12806" max="12806" width="25.6640625" style="92" customWidth="1"/>
    <col min="12807" max="12807" width="12.33203125" style="92" customWidth="1"/>
    <col min="12808" max="12808" width="9.33203125" style="92" bestFit="1" customWidth="1"/>
    <col min="12809" max="12809" width="11.83203125" style="92" bestFit="1" customWidth="1"/>
    <col min="12810" max="12810" width="21.33203125" style="92" customWidth="1"/>
    <col min="12811" max="12811" width="11" style="92" customWidth="1"/>
    <col min="12812" max="12812" width="10" style="92" bestFit="1" customWidth="1"/>
    <col min="12813" max="12813" width="28.1640625" style="92" bestFit="1" customWidth="1"/>
    <col min="12814" max="13049" width="8.83203125" style="92" customWidth="1"/>
    <col min="13050" max="13050" width="9" style="92" customWidth="1"/>
    <col min="13051" max="13056" width="8.83203125" style="92" customWidth="1"/>
    <col min="13057" max="13057" width="9.5" style="92" bestFit="1" customWidth="1"/>
    <col min="13058" max="13059" width="9.33203125" style="92" bestFit="1" customWidth="1"/>
    <col min="13060" max="13060" width="54.6640625" style="92" bestFit="1" customWidth="1"/>
    <col min="13061" max="13061" width="16" style="92" customWidth="1"/>
    <col min="13062" max="13062" width="25.6640625" style="92" customWidth="1"/>
    <col min="13063" max="13063" width="12.33203125" style="92" customWidth="1"/>
    <col min="13064" max="13064" width="9.33203125" style="92" bestFit="1" customWidth="1"/>
    <col min="13065" max="13065" width="11.83203125" style="92" bestFit="1" customWidth="1"/>
    <col min="13066" max="13066" width="21.33203125" style="92" customWidth="1"/>
    <col min="13067" max="13067" width="11" style="92" customWidth="1"/>
    <col min="13068" max="13068" width="10" style="92" bestFit="1" customWidth="1"/>
    <col min="13069" max="13069" width="28.1640625" style="92" bestFit="1" customWidth="1"/>
    <col min="13070" max="13305" width="8.83203125" style="92" customWidth="1"/>
    <col min="13306" max="13306" width="9" style="92" customWidth="1"/>
    <col min="13307" max="13312" width="8.83203125" style="92" customWidth="1"/>
    <col min="13313" max="13313" width="9.5" style="92" bestFit="1" customWidth="1"/>
    <col min="13314" max="13315" width="9.33203125" style="92" bestFit="1" customWidth="1"/>
    <col min="13316" max="13316" width="54.6640625" style="92" bestFit="1" customWidth="1"/>
    <col min="13317" max="13317" width="16" style="92" customWidth="1"/>
    <col min="13318" max="13318" width="25.6640625" style="92" customWidth="1"/>
    <col min="13319" max="13319" width="12.33203125" style="92" customWidth="1"/>
    <col min="13320" max="13320" width="9.33203125" style="92" bestFit="1" customWidth="1"/>
    <col min="13321" max="13321" width="11.83203125" style="92" bestFit="1" customWidth="1"/>
    <col min="13322" max="13322" width="21.33203125" style="92" customWidth="1"/>
    <col min="13323" max="13323" width="11" style="92" customWidth="1"/>
    <col min="13324" max="13324" width="10" style="92" bestFit="1" customWidth="1"/>
    <col min="13325" max="13325" width="28.1640625" style="92" bestFit="1" customWidth="1"/>
    <col min="13326" max="13561" width="8.83203125" style="92" customWidth="1"/>
    <col min="13562" max="13562" width="9" style="92" customWidth="1"/>
    <col min="13563" max="13568" width="8.83203125" style="92" customWidth="1"/>
    <col min="13569" max="13569" width="9.5" style="92" bestFit="1" customWidth="1"/>
    <col min="13570" max="13571" width="9.33203125" style="92" bestFit="1" customWidth="1"/>
    <col min="13572" max="13572" width="54.6640625" style="92" bestFit="1" customWidth="1"/>
    <col min="13573" max="13573" width="16" style="92" customWidth="1"/>
    <col min="13574" max="13574" width="25.6640625" style="92" customWidth="1"/>
    <col min="13575" max="13575" width="12.33203125" style="92" customWidth="1"/>
    <col min="13576" max="13576" width="9.33203125" style="92" bestFit="1" customWidth="1"/>
    <col min="13577" max="13577" width="11.83203125" style="92" bestFit="1" customWidth="1"/>
    <col min="13578" max="13578" width="21.33203125" style="92" customWidth="1"/>
    <col min="13579" max="13579" width="11" style="92" customWidth="1"/>
    <col min="13580" max="13580" width="10" style="92" bestFit="1" customWidth="1"/>
    <col min="13581" max="13581" width="28.1640625" style="92" bestFit="1" customWidth="1"/>
    <col min="13582" max="13817" width="8.83203125" style="92" customWidth="1"/>
    <col min="13818" max="13818" width="9" style="92" customWidth="1"/>
    <col min="13819" max="13824" width="8.83203125" style="92" customWidth="1"/>
    <col min="13825" max="13825" width="9.5" style="92" bestFit="1" customWidth="1"/>
    <col min="13826" max="13827" width="9.33203125" style="92" bestFit="1" customWidth="1"/>
    <col min="13828" max="13828" width="54.6640625" style="92" bestFit="1" customWidth="1"/>
    <col min="13829" max="13829" width="16" style="92" customWidth="1"/>
    <col min="13830" max="13830" width="25.6640625" style="92" customWidth="1"/>
    <col min="13831" max="13831" width="12.33203125" style="92" customWidth="1"/>
    <col min="13832" max="13832" width="9.33203125" style="92" bestFit="1" customWidth="1"/>
    <col min="13833" max="13833" width="11.83203125" style="92" bestFit="1" customWidth="1"/>
    <col min="13834" max="13834" width="21.33203125" style="92" customWidth="1"/>
    <col min="13835" max="13835" width="11" style="92" customWidth="1"/>
    <col min="13836" max="13836" width="10" style="92" bestFit="1" customWidth="1"/>
    <col min="13837" max="13837" width="28.1640625" style="92" bestFit="1" customWidth="1"/>
    <col min="13838" max="14073" width="8.83203125" style="92" customWidth="1"/>
    <col min="14074" max="14074" width="9" style="92" customWidth="1"/>
    <col min="14075" max="14080" width="8.83203125" style="92" customWidth="1"/>
    <col min="14081" max="14081" width="9.5" style="92" bestFit="1" customWidth="1"/>
    <col min="14082" max="14083" width="9.33203125" style="92" bestFit="1" customWidth="1"/>
    <col min="14084" max="14084" width="54.6640625" style="92" bestFit="1" customWidth="1"/>
    <col min="14085" max="14085" width="16" style="92" customWidth="1"/>
    <col min="14086" max="14086" width="25.6640625" style="92" customWidth="1"/>
    <col min="14087" max="14087" width="12.33203125" style="92" customWidth="1"/>
    <col min="14088" max="14088" width="9.33203125" style="92" bestFit="1" customWidth="1"/>
    <col min="14089" max="14089" width="11.83203125" style="92" bestFit="1" customWidth="1"/>
    <col min="14090" max="14090" width="21.33203125" style="92" customWidth="1"/>
    <col min="14091" max="14091" width="11" style="92" customWidth="1"/>
    <col min="14092" max="14092" width="10" style="92" bestFit="1" customWidth="1"/>
    <col min="14093" max="14093" width="28.1640625" style="92" bestFit="1" customWidth="1"/>
    <col min="14094" max="14329" width="8.83203125" style="92" customWidth="1"/>
    <col min="14330" max="14330" width="9" style="92" customWidth="1"/>
    <col min="14331" max="14336" width="8.83203125" style="92" customWidth="1"/>
    <col min="14337" max="14337" width="9.5" style="92" bestFit="1" customWidth="1"/>
    <col min="14338" max="14339" width="9.33203125" style="92" bestFit="1" customWidth="1"/>
    <col min="14340" max="14340" width="54.6640625" style="92" bestFit="1" customWidth="1"/>
    <col min="14341" max="14341" width="16" style="92" customWidth="1"/>
    <col min="14342" max="14342" width="25.6640625" style="92" customWidth="1"/>
    <col min="14343" max="14343" width="12.33203125" style="92" customWidth="1"/>
    <col min="14344" max="14344" width="9.33203125" style="92" bestFit="1" customWidth="1"/>
    <col min="14345" max="14345" width="11.83203125" style="92" bestFit="1" customWidth="1"/>
    <col min="14346" max="14346" width="21.33203125" style="92" customWidth="1"/>
    <col min="14347" max="14347" width="11" style="92" customWidth="1"/>
    <col min="14348" max="14348" width="10" style="92" bestFit="1" customWidth="1"/>
    <col min="14349" max="14349" width="28.1640625" style="92" bestFit="1" customWidth="1"/>
    <col min="14350" max="14585" width="8.83203125" style="92" customWidth="1"/>
    <col min="14586" max="14586" width="9" style="92" customWidth="1"/>
    <col min="14587" max="14592" width="8.83203125" style="92" customWidth="1"/>
    <col min="14593" max="14593" width="9.5" style="92" bestFit="1" customWidth="1"/>
    <col min="14594" max="14595" width="9.33203125" style="92" bestFit="1" customWidth="1"/>
    <col min="14596" max="14596" width="54.6640625" style="92" bestFit="1" customWidth="1"/>
    <col min="14597" max="14597" width="16" style="92" customWidth="1"/>
    <col min="14598" max="14598" width="25.6640625" style="92" customWidth="1"/>
    <col min="14599" max="14599" width="12.33203125" style="92" customWidth="1"/>
    <col min="14600" max="14600" width="9.33203125" style="92" bestFit="1" customWidth="1"/>
    <col min="14601" max="14601" width="11.83203125" style="92" bestFit="1" customWidth="1"/>
    <col min="14602" max="14602" width="21.33203125" style="92" customWidth="1"/>
    <col min="14603" max="14603" width="11" style="92" customWidth="1"/>
    <col min="14604" max="14604" width="10" style="92" bestFit="1" customWidth="1"/>
    <col min="14605" max="14605" width="28.1640625" style="92" bestFit="1" customWidth="1"/>
    <col min="14606" max="14841" width="8.83203125" style="92" customWidth="1"/>
    <col min="14842" max="14842" width="9" style="92" customWidth="1"/>
    <col min="14843" max="14848" width="8.83203125" style="92" customWidth="1"/>
    <col min="14849" max="14849" width="9.5" style="92" bestFit="1" customWidth="1"/>
    <col min="14850" max="14851" width="9.33203125" style="92" bestFit="1" customWidth="1"/>
    <col min="14852" max="14852" width="54.6640625" style="92" bestFit="1" customWidth="1"/>
    <col min="14853" max="14853" width="16" style="92" customWidth="1"/>
    <col min="14854" max="14854" width="25.6640625" style="92" customWidth="1"/>
    <col min="14855" max="14855" width="12.33203125" style="92" customWidth="1"/>
    <col min="14856" max="14856" width="9.33203125" style="92" bestFit="1" customWidth="1"/>
    <col min="14857" max="14857" width="11.83203125" style="92" bestFit="1" customWidth="1"/>
    <col min="14858" max="14858" width="21.33203125" style="92" customWidth="1"/>
    <col min="14859" max="14859" width="11" style="92" customWidth="1"/>
    <col min="14860" max="14860" width="10" style="92" bestFit="1" customWidth="1"/>
    <col min="14861" max="14861" width="28.1640625" style="92" bestFit="1" customWidth="1"/>
    <col min="14862" max="15097" width="8.83203125" style="92" customWidth="1"/>
    <col min="15098" max="15098" width="9" style="92" customWidth="1"/>
    <col min="15099" max="15104" width="8.83203125" style="92" customWidth="1"/>
    <col min="15105" max="15105" width="9.5" style="92" bestFit="1" customWidth="1"/>
    <col min="15106" max="15107" width="9.33203125" style="92" bestFit="1" customWidth="1"/>
    <col min="15108" max="15108" width="54.6640625" style="92" bestFit="1" customWidth="1"/>
    <col min="15109" max="15109" width="16" style="92" customWidth="1"/>
    <col min="15110" max="15110" width="25.6640625" style="92" customWidth="1"/>
    <col min="15111" max="15111" width="12.33203125" style="92" customWidth="1"/>
    <col min="15112" max="15112" width="9.33203125" style="92" bestFit="1" customWidth="1"/>
    <col min="15113" max="15113" width="11.83203125" style="92" bestFit="1" customWidth="1"/>
    <col min="15114" max="15114" width="21.33203125" style="92" customWidth="1"/>
    <col min="15115" max="15115" width="11" style="92" customWidth="1"/>
    <col min="15116" max="15116" width="10" style="92" bestFit="1" customWidth="1"/>
    <col min="15117" max="15117" width="28.1640625" style="92" bestFit="1" customWidth="1"/>
    <col min="15118" max="15353" width="8.83203125" style="92" customWidth="1"/>
    <col min="15354" max="15354" width="9" style="92" customWidth="1"/>
    <col min="15355" max="15360" width="8.83203125" style="92" customWidth="1"/>
    <col min="15361" max="15361" width="9.5" style="92" bestFit="1" customWidth="1"/>
    <col min="15362" max="15363" width="9.33203125" style="92" bestFit="1" customWidth="1"/>
    <col min="15364" max="15364" width="54.6640625" style="92" bestFit="1" customWidth="1"/>
    <col min="15365" max="15365" width="16" style="92" customWidth="1"/>
    <col min="15366" max="15366" width="25.6640625" style="92" customWidth="1"/>
    <col min="15367" max="15367" width="12.33203125" style="92" customWidth="1"/>
    <col min="15368" max="15368" width="9.33203125" style="92" bestFit="1" customWidth="1"/>
    <col min="15369" max="15369" width="11.83203125" style="92" bestFit="1" customWidth="1"/>
    <col min="15370" max="15370" width="21.33203125" style="92" customWidth="1"/>
    <col min="15371" max="15371" width="11" style="92" customWidth="1"/>
    <col min="15372" max="15372" width="10" style="92" bestFit="1" customWidth="1"/>
    <col min="15373" max="15373" width="28.1640625" style="92" bestFit="1" customWidth="1"/>
    <col min="15374" max="15609" width="8.83203125" style="92" customWidth="1"/>
    <col min="15610" max="15610" width="9" style="92" customWidth="1"/>
    <col min="15611" max="15616" width="8.83203125" style="92" customWidth="1"/>
    <col min="15617" max="15617" width="9.5" style="92" bestFit="1" customWidth="1"/>
    <col min="15618" max="15619" width="9.33203125" style="92" bestFit="1" customWidth="1"/>
    <col min="15620" max="15620" width="54.6640625" style="92" bestFit="1" customWidth="1"/>
    <col min="15621" max="15621" width="16" style="92" customWidth="1"/>
    <col min="15622" max="15622" width="25.6640625" style="92" customWidth="1"/>
    <col min="15623" max="15623" width="12.33203125" style="92" customWidth="1"/>
    <col min="15624" max="15624" width="9.33203125" style="92" bestFit="1" customWidth="1"/>
    <col min="15625" max="15625" width="11.83203125" style="92" bestFit="1" customWidth="1"/>
    <col min="15626" max="15626" width="21.33203125" style="92" customWidth="1"/>
    <col min="15627" max="15627" width="11" style="92" customWidth="1"/>
    <col min="15628" max="15628" width="10" style="92" bestFit="1" customWidth="1"/>
    <col min="15629" max="15629" width="28.1640625" style="92" bestFit="1" customWidth="1"/>
    <col min="15630" max="15865" width="8.83203125" style="92" customWidth="1"/>
    <col min="15866" max="15866" width="9" style="92" customWidth="1"/>
    <col min="15867" max="15872" width="8.83203125" style="92" customWidth="1"/>
    <col min="15873" max="15873" width="9.5" style="92" bestFit="1" customWidth="1"/>
    <col min="15874" max="15875" width="9.33203125" style="92" bestFit="1" customWidth="1"/>
    <col min="15876" max="15876" width="54.6640625" style="92" bestFit="1" customWidth="1"/>
    <col min="15877" max="15877" width="16" style="92" customWidth="1"/>
    <col min="15878" max="15878" width="25.6640625" style="92" customWidth="1"/>
    <col min="15879" max="15879" width="12.33203125" style="92" customWidth="1"/>
    <col min="15880" max="15880" width="9.33203125" style="92" bestFit="1" customWidth="1"/>
    <col min="15881" max="15881" width="11.83203125" style="92" bestFit="1" customWidth="1"/>
    <col min="15882" max="15882" width="21.33203125" style="92" customWidth="1"/>
    <col min="15883" max="15883" width="11" style="92" customWidth="1"/>
    <col min="15884" max="15884" width="10" style="92" bestFit="1" customWidth="1"/>
    <col min="15885" max="15885" width="28.1640625" style="92" bestFit="1" customWidth="1"/>
    <col min="15886" max="16121" width="8.83203125" style="92" customWidth="1"/>
    <col min="16122" max="16122" width="9" style="92" customWidth="1"/>
    <col min="16123" max="16128" width="8.83203125" style="92" customWidth="1"/>
    <col min="16129" max="16129" width="9.5" style="92" bestFit="1" customWidth="1"/>
    <col min="16130" max="16131" width="9.33203125" style="92" bestFit="1" customWidth="1"/>
    <col min="16132" max="16132" width="54.6640625" style="92" bestFit="1" customWidth="1"/>
    <col min="16133" max="16133" width="16" style="92" customWidth="1"/>
    <col min="16134" max="16134" width="25.6640625" style="92" customWidth="1"/>
    <col min="16135" max="16135" width="12.33203125" style="92" customWidth="1"/>
    <col min="16136" max="16136" width="9.33203125" style="92" bestFit="1" customWidth="1"/>
    <col min="16137" max="16137" width="11.83203125" style="92" bestFit="1" customWidth="1"/>
    <col min="16138" max="16138" width="21.33203125" style="92" customWidth="1"/>
    <col min="16139" max="16139" width="11" style="92" customWidth="1"/>
    <col min="16140" max="16140" width="10" style="92" bestFit="1" customWidth="1"/>
    <col min="16141" max="16141" width="28.1640625" style="92" bestFit="1" customWidth="1"/>
    <col min="16142" max="16384" width="8.83203125" style="92" customWidth="1"/>
  </cols>
  <sheetData>
    <row r="2" spans="1:15" ht="18">
      <c r="A2" s="90"/>
      <c r="B2" s="430" t="str">
        <f>'Summary Results Table'!B2</f>
        <v>Church &amp; Dwight Co Inc</v>
      </c>
      <c r="C2" s="431"/>
      <c r="D2" s="431"/>
      <c r="E2" s="431"/>
      <c r="F2" s="432"/>
      <c r="G2" s="433"/>
      <c r="H2" s="433"/>
      <c r="I2" s="433"/>
      <c r="J2" s="433"/>
      <c r="K2" s="433"/>
      <c r="L2" s="434"/>
      <c r="M2" s="435"/>
      <c r="N2" s="436"/>
    </row>
    <row r="3" spans="1:15" ht="18">
      <c r="A3" s="90"/>
      <c r="B3" s="437" t="s">
        <v>28</v>
      </c>
      <c r="C3" s="438"/>
      <c r="D3" s="438"/>
      <c r="E3" s="438"/>
      <c r="F3" s="439"/>
      <c r="G3" s="440"/>
      <c r="H3" s="440"/>
      <c r="I3" s="440"/>
      <c r="J3" s="440"/>
      <c r="K3" s="440"/>
      <c r="L3" s="441"/>
      <c r="M3" s="442"/>
      <c r="N3" s="443"/>
    </row>
    <row r="4" spans="1:15" ht="18">
      <c r="A4" s="95"/>
      <c r="B4" s="309"/>
      <c r="C4" s="309"/>
      <c r="D4" s="309"/>
      <c r="E4" s="309"/>
      <c r="F4" s="309"/>
      <c r="G4" s="309"/>
      <c r="H4" s="309"/>
      <c r="I4" s="309"/>
      <c r="J4" s="309"/>
      <c r="K4" s="309"/>
      <c r="L4" s="310"/>
      <c r="M4" s="311"/>
      <c r="N4" s="311"/>
      <c r="O4" s="311"/>
    </row>
    <row r="5" spans="1:15" ht="17" thickBot="1">
      <c r="A5" s="90"/>
      <c r="B5" s="413"/>
      <c r="C5" s="413"/>
      <c r="D5" s="413"/>
      <c r="E5" s="413"/>
      <c r="F5" s="413"/>
      <c r="G5" s="413"/>
      <c r="H5" s="413"/>
      <c r="I5" s="413"/>
      <c r="J5" s="413"/>
      <c r="K5" s="413"/>
      <c r="L5" s="90"/>
      <c r="M5" s="91"/>
      <c r="N5" s="91"/>
      <c r="O5" s="91"/>
    </row>
    <row r="6" spans="1:15" ht="17" thickBot="1">
      <c r="A6" s="90"/>
      <c r="B6" s="424" t="s">
        <v>29</v>
      </c>
      <c r="C6" s="297" t="s">
        <v>2</v>
      </c>
      <c r="D6" s="297" t="s">
        <v>2</v>
      </c>
      <c r="E6" s="297" t="s">
        <v>2</v>
      </c>
      <c r="F6" s="298" t="s">
        <v>2</v>
      </c>
      <c r="G6" s="413"/>
      <c r="H6" s="413"/>
      <c r="I6" s="244" t="s">
        <v>30</v>
      </c>
      <c r="J6" s="366" t="s">
        <v>31</v>
      </c>
      <c r="K6" s="93"/>
      <c r="L6" s="93"/>
      <c r="M6" s="91"/>
      <c r="N6" s="91"/>
      <c r="O6" s="91"/>
    </row>
    <row r="7" spans="1:15" ht="16">
      <c r="A7" s="90"/>
      <c r="B7" s="245" t="s">
        <v>32</v>
      </c>
      <c r="C7" s="719" t="s">
        <v>33</v>
      </c>
      <c r="D7" s="719"/>
      <c r="E7" s="420"/>
      <c r="F7" s="246">
        <v>2026</v>
      </c>
      <c r="G7" s="413"/>
      <c r="H7" s="413"/>
      <c r="I7" s="412" t="s">
        <v>34</v>
      </c>
      <c r="J7" s="238">
        <f>'Data Source'!Q550</f>
        <v>4.7739934783072304E-3</v>
      </c>
      <c r="K7" s="413"/>
      <c r="L7" s="90"/>
      <c r="M7" s="91"/>
      <c r="N7" s="91"/>
      <c r="O7" s="91"/>
    </row>
    <row r="8" spans="1:15" ht="16">
      <c r="A8" s="90"/>
      <c r="B8" s="247" t="s">
        <v>32</v>
      </c>
      <c r="C8" s="709" t="s">
        <v>35</v>
      </c>
      <c r="D8" s="709"/>
      <c r="E8" s="709"/>
      <c r="F8" s="720"/>
      <c r="G8" s="413"/>
      <c r="H8" s="413"/>
      <c r="I8" s="412" t="s">
        <v>36</v>
      </c>
      <c r="J8" s="238">
        <f>'Data Source'!Q551</f>
        <v>5.6046274083244557E-2</v>
      </c>
      <c r="K8" s="413"/>
      <c r="L8" s="90"/>
      <c r="M8" s="91"/>
      <c r="N8" s="91"/>
      <c r="O8" s="91"/>
    </row>
    <row r="9" spans="1:15" ht="17" thickBot="1">
      <c r="A9" s="90"/>
      <c r="B9" s="241" t="s">
        <v>2</v>
      </c>
      <c r="C9" s="415" t="s">
        <v>2</v>
      </c>
      <c r="D9" s="415" t="s">
        <v>2</v>
      </c>
      <c r="E9" s="415" t="s">
        <v>2</v>
      </c>
      <c r="F9" s="248" t="s">
        <v>2</v>
      </c>
      <c r="G9" s="413"/>
      <c r="H9" s="413"/>
      <c r="I9" s="412" t="s">
        <v>37</v>
      </c>
      <c r="J9" s="238">
        <f>'Data Source'!Q552</f>
        <v>0.1573871947223979</v>
      </c>
      <c r="K9" s="413"/>
      <c r="L9" s="90"/>
      <c r="M9" s="91"/>
      <c r="N9" s="91"/>
      <c r="O9" s="91"/>
    </row>
    <row r="10" spans="1:15" ht="16">
      <c r="A10" s="90"/>
      <c r="B10" s="413"/>
      <c r="C10" s="413"/>
      <c r="D10" s="413"/>
      <c r="E10" s="413"/>
      <c r="F10" s="413"/>
      <c r="G10" s="413"/>
      <c r="H10" s="413"/>
      <c r="I10" s="412" t="s">
        <v>38</v>
      </c>
      <c r="J10" s="238">
        <f>'Data Source'!Q553</f>
        <v>2.1101728000068747E-2</v>
      </c>
      <c r="K10" s="413"/>
      <c r="L10" s="90"/>
      <c r="M10" s="91"/>
      <c r="N10" s="91"/>
      <c r="O10" s="91"/>
    </row>
    <row r="11" spans="1:15" ht="17" thickBot="1">
      <c r="A11" s="90"/>
      <c r="B11" s="413"/>
      <c r="C11" s="413"/>
      <c r="D11" s="413"/>
      <c r="E11" s="413"/>
      <c r="F11" s="413"/>
      <c r="G11" s="413"/>
      <c r="H11" s="413"/>
      <c r="I11" s="412" t="s">
        <v>39</v>
      </c>
      <c r="J11" s="238">
        <f>'Data Source'!Q554</f>
        <v>1.8930675465214816E-2</v>
      </c>
      <c r="K11" s="413"/>
      <c r="L11" s="90"/>
      <c r="M11" s="91"/>
      <c r="N11" s="91"/>
      <c r="O11" s="91"/>
    </row>
    <row r="12" spans="1:15" ht="17" thickBot="1">
      <c r="A12" s="90"/>
      <c r="B12" s="723" t="s">
        <v>40</v>
      </c>
      <c r="C12" s="724"/>
      <c r="D12" s="425"/>
      <c r="E12" s="425"/>
      <c r="F12" s="249"/>
      <c r="G12" s="413"/>
      <c r="H12" s="413"/>
      <c r="I12" s="241" t="s">
        <v>41</v>
      </c>
      <c r="J12" s="243">
        <f>'Data Source'!Q555</f>
        <v>3.2171380000444533E-2</v>
      </c>
      <c r="K12" s="413"/>
      <c r="L12" s="90"/>
      <c r="M12" s="91"/>
      <c r="N12" s="91"/>
      <c r="O12" s="91"/>
    </row>
    <row r="13" spans="1:15" ht="17" thickBot="1">
      <c r="A13" s="90"/>
      <c r="B13" s="721" t="s">
        <v>42</v>
      </c>
      <c r="C13" s="722" t="s">
        <v>2</v>
      </c>
      <c r="D13" s="722" t="s">
        <v>2</v>
      </c>
      <c r="E13" s="365" t="s">
        <v>43</v>
      </c>
      <c r="F13" s="366" t="s">
        <v>44</v>
      </c>
      <c r="G13" s="413"/>
      <c r="H13" s="413"/>
      <c r="I13" s="413"/>
      <c r="J13" s="160"/>
      <c r="K13" s="413"/>
      <c r="L13" s="90"/>
      <c r="M13" s="91"/>
      <c r="N13" s="91"/>
      <c r="O13" s="91"/>
    </row>
    <row r="14" spans="1:15" ht="17" thickBot="1">
      <c r="A14" s="90"/>
      <c r="B14" s="708" t="s">
        <v>45</v>
      </c>
      <c r="C14" s="709"/>
      <c r="D14" s="413" t="s">
        <v>2</v>
      </c>
      <c r="E14" s="263">
        <v>1.0500000000000001E-2</v>
      </c>
      <c r="F14" s="264">
        <v>0.01</v>
      </c>
      <c r="G14" s="413"/>
      <c r="H14" s="413"/>
      <c r="K14" s="413"/>
      <c r="L14" s="90"/>
      <c r="M14" s="91"/>
      <c r="N14" s="91"/>
      <c r="O14" s="91"/>
    </row>
    <row r="15" spans="1:15" ht="17" thickBot="1">
      <c r="A15" s="90"/>
      <c r="B15" s="708" t="s">
        <v>46</v>
      </c>
      <c r="C15" s="709"/>
      <c r="D15" s="709"/>
      <c r="E15" s="239">
        <f>'Data Source'!H198</f>
        <v>3.5199999999999995E-2</v>
      </c>
      <c r="F15" s="240">
        <f>'Data Source'!I198</f>
        <v>3.5199999999999995E-2</v>
      </c>
      <c r="G15" s="413"/>
      <c r="H15" s="413"/>
      <c r="I15" s="299" t="s">
        <v>47</v>
      </c>
      <c r="J15" s="382" t="s">
        <v>48</v>
      </c>
      <c r="K15" s="413"/>
      <c r="L15" s="90"/>
      <c r="M15" s="91"/>
      <c r="N15" s="91"/>
      <c r="O15" s="91"/>
    </row>
    <row r="16" spans="1:15" ht="17" thickBot="1">
      <c r="A16" s="90"/>
      <c r="B16" s="412" t="s">
        <v>49</v>
      </c>
      <c r="C16" s="413"/>
      <c r="D16" s="413"/>
      <c r="E16" s="237">
        <v>5.0000000000000001E-3</v>
      </c>
      <c r="F16" s="264">
        <v>5.0000000000000001E-4</v>
      </c>
      <c r="G16" s="413"/>
      <c r="H16" s="413"/>
      <c r="I16" s="244" t="s">
        <v>50</v>
      </c>
      <c r="J16" s="301" t="s">
        <v>51</v>
      </c>
      <c r="K16" s="413"/>
      <c r="L16" s="90"/>
      <c r="M16" s="91"/>
      <c r="N16" s="91"/>
      <c r="O16" s="91"/>
    </row>
    <row r="17" spans="1:15" ht="17" thickBot="1">
      <c r="A17" s="90"/>
      <c r="B17" s="241" t="s">
        <v>2</v>
      </c>
      <c r="C17" s="415" t="s">
        <v>2</v>
      </c>
      <c r="D17" s="415" t="s">
        <v>2</v>
      </c>
      <c r="E17" s="242" t="s">
        <v>2</v>
      </c>
      <c r="F17" s="243" t="s">
        <v>2</v>
      </c>
      <c r="G17" s="413"/>
      <c r="H17" s="413"/>
      <c r="I17" s="412" t="s">
        <v>34</v>
      </c>
      <c r="J17" s="383" t="s">
        <v>52</v>
      </c>
      <c r="K17" s="413"/>
      <c r="L17" s="90"/>
      <c r="M17" s="91"/>
      <c r="N17" s="91"/>
      <c r="O17" s="91"/>
    </row>
    <row r="18" spans="1:15" ht="17" thickBot="1">
      <c r="A18" s="90"/>
      <c r="B18" s="244" t="s">
        <v>53</v>
      </c>
      <c r="C18" s="365" t="s">
        <v>2</v>
      </c>
      <c r="D18" s="365" t="s">
        <v>2</v>
      </c>
      <c r="E18" s="365" t="s">
        <v>43</v>
      </c>
      <c r="F18" s="366" t="s">
        <v>44</v>
      </c>
      <c r="G18" s="413"/>
      <c r="H18" s="413"/>
      <c r="I18" s="412" t="s">
        <v>36</v>
      </c>
      <c r="J18" s="361">
        <v>40</v>
      </c>
      <c r="K18" s="413"/>
      <c r="L18" s="90"/>
      <c r="M18" s="91"/>
      <c r="N18" s="91"/>
      <c r="O18" s="91"/>
    </row>
    <row r="19" spans="1:15" ht="16">
      <c r="A19" s="90"/>
      <c r="B19" s="708" t="s">
        <v>45</v>
      </c>
      <c r="C19" s="709"/>
      <c r="D19" s="413" t="s">
        <v>2</v>
      </c>
      <c r="E19" s="237">
        <f>'Data Source'!H184</f>
        <v>3.1200000000000006E-2</v>
      </c>
      <c r="F19" s="238">
        <f>'Data Source'!I184</f>
        <v>3.1200000000000006E-2</v>
      </c>
      <c r="G19" s="413"/>
      <c r="H19" s="413"/>
      <c r="I19" s="412" t="s">
        <v>37</v>
      </c>
      <c r="J19" s="361">
        <v>15</v>
      </c>
      <c r="K19" s="413"/>
      <c r="L19" s="90"/>
      <c r="M19" s="91"/>
      <c r="N19" s="91"/>
      <c r="O19" s="91"/>
    </row>
    <row r="20" spans="1:15" ht="16">
      <c r="A20" s="90"/>
      <c r="B20" s="708" t="s">
        <v>46</v>
      </c>
      <c r="C20" s="709"/>
      <c r="D20" s="709"/>
      <c r="E20" s="237">
        <f>'Data Source'!H199</f>
        <v>2.64E-2</v>
      </c>
      <c r="F20" s="238">
        <f>'Data Source'!I199</f>
        <v>2.64E-2</v>
      </c>
      <c r="G20" s="413"/>
      <c r="H20" s="413"/>
      <c r="I20" s="412" t="s">
        <v>38</v>
      </c>
      <c r="J20" s="361">
        <v>10</v>
      </c>
      <c r="K20" s="413"/>
      <c r="L20" s="90"/>
      <c r="M20" s="91"/>
      <c r="N20" s="91"/>
      <c r="O20" s="91"/>
    </row>
    <row r="21" spans="1:15" ht="16">
      <c r="A21" s="90"/>
      <c r="B21" s="412" t="s">
        <v>49</v>
      </c>
      <c r="C21" s="413"/>
      <c r="D21" s="413"/>
      <c r="E21" s="237">
        <f>'Data Source'!H216</f>
        <v>4.179999999999999E-2</v>
      </c>
      <c r="F21" s="238">
        <f>E21</f>
        <v>4.179999999999999E-2</v>
      </c>
      <c r="G21" s="413"/>
      <c r="H21" s="413"/>
      <c r="I21" s="412" t="s">
        <v>39</v>
      </c>
      <c r="J21" s="361">
        <v>10</v>
      </c>
      <c r="K21" s="413"/>
      <c r="L21" s="90"/>
      <c r="M21" s="91"/>
      <c r="N21" s="91"/>
      <c r="O21" s="91"/>
    </row>
    <row r="22" spans="1:15" ht="17" thickBot="1">
      <c r="A22" s="90"/>
      <c r="B22" s="241" t="s">
        <v>2</v>
      </c>
      <c r="C22" s="415" t="s">
        <v>2</v>
      </c>
      <c r="D22" s="415" t="s">
        <v>2</v>
      </c>
      <c r="E22" s="415" t="s">
        <v>2</v>
      </c>
      <c r="F22" s="250" t="s">
        <v>2</v>
      </c>
      <c r="G22" s="413"/>
      <c r="H22" s="413"/>
      <c r="I22" s="241" t="s">
        <v>41</v>
      </c>
      <c r="J22" s="384" t="s">
        <v>54</v>
      </c>
      <c r="K22" s="413"/>
      <c r="L22" s="90"/>
      <c r="M22" s="91"/>
      <c r="N22" s="91"/>
      <c r="O22" s="91"/>
    </row>
    <row r="23" spans="1:15" ht="17" thickBot="1">
      <c r="A23" s="90"/>
      <c r="B23" s="413"/>
      <c r="C23" s="413"/>
      <c r="D23" s="413"/>
      <c r="E23" s="413"/>
      <c r="F23" s="413"/>
      <c r="G23" s="413"/>
      <c r="H23" s="413"/>
      <c r="I23" s="299" t="s">
        <v>55</v>
      </c>
      <c r="J23" s="382"/>
      <c r="K23" s="413"/>
      <c r="L23" s="90"/>
      <c r="M23" s="91"/>
      <c r="N23" s="91"/>
      <c r="O23" s="91"/>
    </row>
    <row r="24" spans="1:15" ht="17" thickBot="1">
      <c r="A24" s="90"/>
      <c r="B24" s="723" t="s">
        <v>56</v>
      </c>
      <c r="C24" s="724"/>
      <c r="D24" s="425"/>
      <c r="E24" s="425"/>
      <c r="F24" s="249"/>
      <c r="G24" s="413"/>
      <c r="H24" s="413"/>
      <c r="I24" s="244" t="s">
        <v>50</v>
      </c>
      <c r="J24" s="301" t="s">
        <v>51</v>
      </c>
      <c r="K24" s="413"/>
      <c r="L24" s="94"/>
      <c r="M24" s="91"/>
      <c r="N24" s="91"/>
      <c r="O24" s="91"/>
    </row>
    <row r="25" spans="1:15" ht="15" thickBot="1">
      <c r="A25" s="90"/>
      <c r="B25" s="721" t="s">
        <v>57</v>
      </c>
      <c r="C25" s="722" t="s">
        <v>2</v>
      </c>
      <c r="D25" s="722" t="s">
        <v>2</v>
      </c>
      <c r="E25" s="365" t="s">
        <v>43</v>
      </c>
      <c r="F25" s="366" t="s">
        <v>44</v>
      </c>
      <c r="G25" s="413"/>
      <c r="H25" s="413"/>
      <c r="I25" s="412" t="s">
        <v>58</v>
      </c>
      <c r="J25" s="362">
        <v>20</v>
      </c>
      <c r="K25" s="413"/>
      <c r="L25" s="410"/>
    </row>
    <row r="26" spans="1:15" ht="14">
      <c r="A26" s="90"/>
      <c r="B26" s="708" t="s">
        <v>45</v>
      </c>
      <c r="C26" s="709"/>
      <c r="D26" s="413" t="s">
        <v>2</v>
      </c>
      <c r="E26" s="237">
        <f>'Data Source'!H185</f>
        <v>2.5768576694311807E-2</v>
      </c>
      <c r="F26" s="238">
        <f>'Data Source'!I185</f>
        <v>0</v>
      </c>
      <c r="G26" s="413"/>
      <c r="H26" s="413"/>
      <c r="I26" s="412" t="s">
        <v>59</v>
      </c>
      <c r="J26" s="362">
        <v>15</v>
      </c>
      <c r="K26" s="413"/>
    </row>
    <row r="27" spans="1:15" ht="14">
      <c r="A27" s="90"/>
      <c r="B27" s="708" t="s">
        <v>46</v>
      </c>
      <c r="C27" s="709"/>
      <c r="D27" s="709"/>
      <c r="E27" s="239">
        <f>'Data Source'!H202</f>
        <v>1.1212309029734212E-2</v>
      </c>
      <c r="F27" s="240">
        <f>'Data Source'!I202</f>
        <v>0</v>
      </c>
      <c r="G27" s="413"/>
      <c r="H27" s="413"/>
      <c r="I27" s="412" t="s">
        <v>60</v>
      </c>
      <c r="J27" s="362">
        <v>10</v>
      </c>
      <c r="K27" s="413"/>
    </row>
    <row r="28" spans="1:15" ht="15" thickBot="1">
      <c r="A28" s="90"/>
      <c r="B28" s="412" t="s">
        <v>49</v>
      </c>
      <c r="C28" s="413"/>
      <c r="D28" s="413"/>
      <c r="E28" s="237">
        <v>0</v>
      </c>
      <c r="F28" s="238">
        <f>E28</f>
        <v>0</v>
      </c>
      <c r="G28" s="413"/>
      <c r="H28" s="413"/>
      <c r="I28" s="328"/>
      <c r="J28" s="329"/>
      <c r="K28" s="413"/>
    </row>
    <row r="29" spans="1:15" ht="15" thickBot="1">
      <c r="A29" s="90"/>
      <c r="B29" s="241" t="s">
        <v>2</v>
      </c>
      <c r="C29" s="415" t="s">
        <v>2</v>
      </c>
      <c r="D29" s="415" t="s">
        <v>2</v>
      </c>
      <c r="E29" s="242" t="s">
        <v>2</v>
      </c>
      <c r="F29" s="243" t="s">
        <v>2</v>
      </c>
      <c r="G29" s="413"/>
    </row>
    <row r="30" spans="1:15" ht="15" thickBot="1">
      <c r="A30" s="90"/>
      <c r="B30" s="244" t="s">
        <v>61</v>
      </c>
      <c r="C30" s="365"/>
      <c r="D30" s="365"/>
      <c r="E30" s="365" t="s">
        <v>43</v>
      </c>
      <c r="F30" s="366" t="s">
        <v>44</v>
      </c>
      <c r="G30" s="413"/>
      <c r="H30" s="413"/>
      <c r="K30" s="413"/>
    </row>
    <row r="31" spans="1:15" ht="15" thickBot="1">
      <c r="A31" s="90"/>
      <c r="B31" s="708" t="s">
        <v>45</v>
      </c>
      <c r="C31" s="709"/>
      <c r="D31" s="413" t="s">
        <v>2</v>
      </c>
      <c r="E31" s="237">
        <f>'Data Source'!H186</f>
        <v>-6.7000000000000004E-2</v>
      </c>
      <c r="F31" s="238">
        <f>'Data Source'!I186</f>
        <v>0</v>
      </c>
      <c r="G31" s="413"/>
      <c r="H31" s="413"/>
      <c r="I31" s="244" t="s">
        <v>62</v>
      </c>
      <c r="J31" s="365">
        <v>2026</v>
      </c>
      <c r="K31" s="365">
        <v>2027</v>
      </c>
      <c r="L31" s="365">
        <v>2028</v>
      </c>
      <c r="M31" s="365">
        <v>2029</v>
      </c>
      <c r="N31" s="366">
        <v>2030</v>
      </c>
    </row>
    <row r="32" spans="1:15" ht="16">
      <c r="A32" s="90"/>
      <c r="B32" s="708" t="s">
        <v>46</v>
      </c>
      <c r="C32" s="709"/>
      <c r="D32" s="709"/>
      <c r="E32" s="237">
        <f>'Data Source'!H201</f>
        <v>-3.5999999999999997E-2</v>
      </c>
      <c r="F32" s="238">
        <f>'Data Source'!I201</f>
        <v>0</v>
      </c>
      <c r="G32" s="93"/>
      <c r="H32" s="413"/>
      <c r="I32" s="412" t="s">
        <v>63</v>
      </c>
      <c r="J32" s="326">
        <f>'Data Source'!G598</f>
        <v>2205.1</v>
      </c>
      <c r="L32" s="90"/>
      <c r="M32" s="91"/>
      <c r="N32" s="320"/>
    </row>
    <row r="33" spans="1:15" ht="16">
      <c r="A33" s="90"/>
      <c r="B33" s="412" t="s">
        <v>49</v>
      </c>
      <c r="C33" s="413"/>
      <c r="D33" s="413"/>
      <c r="E33" s="237">
        <f>'Data Source'!H218</f>
        <v>0</v>
      </c>
      <c r="F33" s="238">
        <f>E33</f>
        <v>0</v>
      </c>
      <c r="G33" s="413"/>
      <c r="H33" s="413"/>
      <c r="I33" s="412" t="s">
        <v>64</v>
      </c>
      <c r="J33" s="325">
        <v>0</v>
      </c>
      <c r="L33" s="90"/>
      <c r="M33" s="91"/>
      <c r="N33" s="320"/>
    </row>
    <row r="34" spans="1:15" ht="17" thickBot="1">
      <c r="A34" s="90"/>
      <c r="B34" s="241" t="s">
        <v>2</v>
      </c>
      <c r="C34" s="415" t="s">
        <v>2</v>
      </c>
      <c r="D34" s="415" t="s">
        <v>2</v>
      </c>
      <c r="E34" s="415" t="s">
        <v>2</v>
      </c>
      <c r="F34" s="250" t="s">
        <v>2</v>
      </c>
      <c r="G34" s="413"/>
      <c r="H34" s="413"/>
      <c r="I34" s="412" t="s">
        <v>66</v>
      </c>
      <c r="J34" s="237">
        <f>'Data Source'!M624</f>
        <v>4.1877805070985472E-2</v>
      </c>
      <c r="K34" s="428"/>
      <c r="L34" s="90"/>
      <c r="M34" s="91"/>
      <c r="N34" s="320"/>
      <c r="O34" s="91"/>
    </row>
    <row r="35" spans="1:15" ht="17" thickBot="1">
      <c r="A35" s="90"/>
      <c r="G35" s="413"/>
      <c r="H35" s="413"/>
      <c r="I35" s="412" t="s">
        <v>67</v>
      </c>
      <c r="J35" s="319"/>
      <c r="N35" s="321"/>
      <c r="O35" s="91"/>
    </row>
    <row r="36" spans="1:15" ht="17" thickBot="1">
      <c r="A36" s="90"/>
      <c r="B36" s="244" t="s">
        <v>65</v>
      </c>
      <c r="C36" s="365"/>
      <c r="D36" s="365"/>
      <c r="E36" s="367">
        <f>'Data Source'!H221</f>
        <v>0</v>
      </c>
      <c r="F36" s="368">
        <f>'Data Source'!J221</f>
        <v>0</v>
      </c>
      <c r="G36" s="413"/>
      <c r="H36" s="413"/>
      <c r="I36" s="119" t="s">
        <v>69</v>
      </c>
      <c r="J36" s="398">
        <f>'Data Source'!D642</f>
        <v>32.4</v>
      </c>
      <c r="K36" s="399">
        <f>'Data Source'!D643</f>
        <v>30.7</v>
      </c>
      <c r="L36" s="399">
        <f>'Data Source'!D644</f>
        <v>26.6</v>
      </c>
      <c r="M36" s="399">
        <f>'Data Source'!D645</f>
        <v>26</v>
      </c>
      <c r="N36" s="400">
        <f>'Data Source'!D646</f>
        <v>25.9</v>
      </c>
      <c r="O36" s="91"/>
    </row>
    <row r="37" spans="1:15" ht="17" thickBot="1">
      <c r="A37" s="90"/>
      <c r="G37" s="413"/>
      <c r="H37" s="413"/>
      <c r="I37" s="322" t="s">
        <v>70</v>
      </c>
      <c r="J37" s="401">
        <v>0</v>
      </c>
      <c r="K37" s="402">
        <v>425</v>
      </c>
      <c r="L37" s="402">
        <v>0</v>
      </c>
      <c r="M37" s="402">
        <v>0</v>
      </c>
      <c r="N37" s="403">
        <v>0</v>
      </c>
      <c r="O37" s="91"/>
    </row>
    <row r="38" spans="1:15" ht="17" thickBot="1">
      <c r="A38" s="90"/>
      <c r="B38" s="244" t="s">
        <v>68</v>
      </c>
      <c r="C38" s="365"/>
      <c r="D38" s="365"/>
      <c r="E38" s="365" t="s">
        <v>43</v>
      </c>
      <c r="F38" s="366" t="s">
        <v>44</v>
      </c>
      <c r="G38" s="413"/>
      <c r="H38" s="413"/>
      <c r="I38" s="323" t="s">
        <v>71</v>
      </c>
      <c r="J38" s="404">
        <f>J36+J37</f>
        <v>32.4</v>
      </c>
      <c r="K38" s="405">
        <f>K36+K37</f>
        <v>455.7</v>
      </c>
      <c r="L38" s="406">
        <f>L36+L37</f>
        <v>26.6</v>
      </c>
      <c r="M38" s="407">
        <f>M36+M37</f>
        <v>26</v>
      </c>
      <c r="N38" s="408">
        <f>N36+N37</f>
        <v>25.9</v>
      </c>
      <c r="O38" s="91"/>
    </row>
    <row r="39" spans="1:15" ht="16">
      <c r="A39" s="90"/>
      <c r="B39" s="708" t="s">
        <v>45</v>
      </c>
      <c r="C39" s="709"/>
      <c r="D39" s="413" t="s">
        <v>2</v>
      </c>
      <c r="E39" s="237">
        <f>E14+E19+E26+E31+E36</f>
        <v>4.685766943118147E-4</v>
      </c>
      <c r="F39" s="238">
        <f>F14+F19+F26+F31+F36</f>
        <v>4.1200000000000007E-2</v>
      </c>
      <c r="G39" s="413"/>
      <c r="H39" s="413"/>
      <c r="K39" s="413"/>
      <c r="L39" s="90"/>
      <c r="M39" s="91"/>
      <c r="N39" s="91"/>
      <c r="O39" s="91"/>
    </row>
    <row r="40" spans="1:15" ht="17" thickBot="1">
      <c r="A40" s="90"/>
      <c r="B40" s="708" t="s">
        <v>46</v>
      </c>
      <c r="C40" s="709"/>
      <c r="D40" s="709"/>
      <c r="E40" s="237">
        <f>E15+E20+E27+E32+E36</f>
        <v>3.681230902973421E-2</v>
      </c>
      <c r="F40" s="238">
        <f>F15+F20+F27+F32+F36</f>
        <v>6.1599999999999995E-2</v>
      </c>
      <c r="G40" s="413"/>
      <c r="H40" s="413"/>
      <c r="K40" s="413"/>
      <c r="L40" s="90"/>
      <c r="M40" s="91"/>
      <c r="N40" s="91"/>
      <c r="O40" s="91"/>
    </row>
    <row r="41" spans="1:15" ht="17" thickBot="1">
      <c r="A41" s="90"/>
      <c r="B41" s="412" t="s">
        <v>49</v>
      </c>
      <c r="C41" s="413"/>
      <c r="D41" s="413"/>
      <c r="E41" s="237">
        <f>E16+E21+E28+E33+E36</f>
        <v>4.6799999999999987E-2</v>
      </c>
      <c r="F41" s="238">
        <f>F16+F21+F28+F33+F36</f>
        <v>4.229999999999999E-2</v>
      </c>
      <c r="G41" s="413"/>
      <c r="H41" s="413"/>
      <c r="I41" s="422" t="s">
        <v>72</v>
      </c>
      <c r="J41" s="423">
        <v>2025</v>
      </c>
      <c r="K41" s="305">
        <v>2026</v>
      </c>
      <c r="L41" s="90"/>
      <c r="M41" s="91"/>
      <c r="N41" s="91"/>
      <c r="O41" s="91"/>
    </row>
    <row r="42" spans="1:15" ht="17" thickBot="1">
      <c r="A42" s="90"/>
      <c r="B42" s="241" t="s">
        <v>2</v>
      </c>
      <c r="C42" s="415" t="s">
        <v>2</v>
      </c>
      <c r="D42" s="415" t="s">
        <v>2</v>
      </c>
      <c r="E42" s="415" t="s">
        <v>2</v>
      </c>
      <c r="F42" s="250" t="s">
        <v>2</v>
      </c>
      <c r="G42" s="413"/>
      <c r="H42" s="413"/>
      <c r="I42" s="119" t="s">
        <v>73</v>
      </c>
      <c r="J42" s="426" t="s">
        <v>74</v>
      </c>
      <c r="K42" s="421">
        <v>566</v>
      </c>
      <c r="L42" s="90"/>
      <c r="M42" s="91"/>
      <c r="N42" s="91"/>
    </row>
    <row r="43" spans="1:15" ht="16">
      <c r="A43" s="90"/>
      <c r="G43" s="413"/>
      <c r="H43" s="413"/>
      <c r="I43" s="119" t="s">
        <v>76</v>
      </c>
      <c r="J43" s="426" t="s">
        <v>77</v>
      </c>
      <c r="K43" s="421">
        <v>70.400000000000006</v>
      </c>
      <c r="L43" s="90"/>
      <c r="M43" s="91"/>
      <c r="N43" s="91"/>
    </row>
    <row r="44" spans="1:15" ht="15" thickBot="1">
      <c r="A44" s="90"/>
      <c r="C44" s="413"/>
      <c r="D44" s="413"/>
      <c r="E44" s="413"/>
      <c r="F44" s="413"/>
      <c r="G44" s="413"/>
      <c r="H44" s="413"/>
      <c r="I44" s="194" t="s">
        <v>79</v>
      </c>
      <c r="J44" s="195" t="s">
        <v>80</v>
      </c>
      <c r="K44" s="248">
        <v>2462</v>
      </c>
    </row>
    <row r="45" spans="1:15" ht="15" thickBot="1">
      <c r="A45" s="90"/>
      <c r="B45" s="244" t="s">
        <v>75</v>
      </c>
      <c r="C45" s="365"/>
      <c r="D45" s="365"/>
      <c r="E45" s="365"/>
      <c r="F45" s="366" t="s">
        <v>31</v>
      </c>
      <c r="G45" s="413"/>
      <c r="H45" s="413"/>
    </row>
    <row r="46" spans="1:15" ht="15" thickBot="1">
      <c r="A46" s="90"/>
      <c r="B46" s="708" t="s">
        <v>78</v>
      </c>
      <c r="C46" s="709"/>
      <c r="D46" s="413" t="s">
        <v>2</v>
      </c>
      <c r="E46" s="237"/>
      <c r="F46" s="238">
        <f>'Data Source'!H230</f>
        <v>0.54170159550910979</v>
      </c>
      <c r="G46" s="413"/>
      <c r="H46" s="413"/>
    </row>
    <row r="47" spans="1:15" ht="17" thickBot="1">
      <c r="A47" s="90"/>
      <c r="B47" s="708" t="s">
        <v>81</v>
      </c>
      <c r="C47" s="709"/>
      <c r="D47" s="709"/>
      <c r="E47" s="237"/>
      <c r="F47" s="238">
        <f>'Data Source'!H232</f>
        <v>0.45829840449089032</v>
      </c>
      <c r="G47" s="413"/>
      <c r="H47" s="413"/>
      <c r="I47" s="387" t="s">
        <v>83</v>
      </c>
      <c r="J47" s="388"/>
      <c r="K47" s="389"/>
    </row>
    <row r="48" spans="1:15" ht="16">
      <c r="A48" s="90"/>
      <c r="B48" s="412" t="s">
        <v>82</v>
      </c>
      <c r="C48" s="413" t="s">
        <v>2</v>
      </c>
      <c r="D48" s="413" t="s">
        <v>2</v>
      </c>
      <c r="E48" s="237"/>
      <c r="F48" s="238">
        <f>F46+F47</f>
        <v>1</v>
      </c>
      <c r="G48" s="413"/>
      <c r="H48" s="413"/>
      <c r="I48" s="412" t="s">
        <v>84</v>
      </c>
      <c r="K48" s="444">
        <f>'WACC Model'!B21</f>
        <v>0.23</v>
      </c>
      <c r="L48" s="90"/>
      <c r="M48" s="91"/>
      <c r="N48" s="91"/>
    </row>
    <row r="49" spans="1:15" ht="17" thickBot="1">
      <c r="A49" s="90"/>
      <c r="B49" s="241"/>
      <c r="C49" s="415"/>
      <c r="D49" s="415"/>
      <c r="E49" s="415"/>
      <c r="F49" s="250"/>
      <c r="G49" s="413"/>
      <c r="H49" s="413"/>
      <c r="I49" s="412" t="s">
        <v>85</v>
      </c>
      <c r="K49" s="445">
        <v>0.35299999999999998</v>
      </c>
      <c r="L49" s="90"/>
      <c r="M49" s="91"/>
    </row>
    <row r="50" spans="1:15" ht="17" thickBot="1">
      <c r="A50" s="90"/>
      <c r="C50" s="413"/>
      <c r="D50" s="413"/>
      <c r="E50" s="413"/>
      <c r="F50" s="413"/>
      <c r="G50" s="413"/>
      <c r="H50" s="413"/>
      <c r="I50" s="385" t="s">
        <v>87</v>
      </c>
      <c r="J50" s="386"/>
      <c r="K50" s="390">
        <v>0.03</v>
      </c>
      <c r="L50" s="90"/>
      <c r="M50" s="91"/>
      <c r="N50" s="91"/>
    </row>
    <row r="51" spans="1:15" ht="17" thickBot="1">
      <c r="A51" s="90"/>
      <c r="G51" s="413"/>
      <c r="H51" s="413"/>
      <c r="L51" s="90"/>
      <c r="M51" s="91"/>
    </row>
    <row r="52" spans="1:15" ht="17" thickBot="1">
      <c r="A52" s="90"/>
      <c r="B52" s="244" t="s">
        <v>86</v>
      </c>
      <c r="C52" s="365"/>
      <c r="D52" s="365"/>
      <c r="E52" s="365"/>
      <c r="F52" s="366" t="s">
        <v>31</v>
      </c>
      <c r="G52" s="413"/>
      <c r="H52" s="413"/>
      <c r="M52" s="91"/>
      <c r="N52" s="91"/>
    </row>
    <row r="53" spans="1:15" ht="17" thickBot="1">
      <c r="A53" s="90"/>
      <c r="B53" s="708" t="s">
        <v>45</v>
      </c>
      <c r="C53" s="709"/>
      <c r="D53" s="413" t="s">
        <v>2</v>
      </c>
      <c r="E53" s="237" t="s">
        <v>2</v>
      </c>
      <c r="F53" s="238">
        <f>'Data Source'!H250</f>
        <v>0.48247145780724876</v>
      </c>
      <c r="G53" s="413"/>
      <c r="H53" s="413"/>
      <c r="I53" s="397" t="s">
        <v>685</v>
      </c>
      <c r="J53" s="388"/>
      <c r="K53" s="389"/>
      <c r="M53" s="91"/>
      <c r="N53" s="91"/>
    </row>
    <row r="54" spans="1:15" ht="16">
      <c r="A54" s="90"/>
      <c r="B54" s="708" t="s">
        <v>46</v>
      </c>
      <c r="C54" s="709"/>
      <c r="D54" s="709"/>
      <c r="E54" s="237"/>
      <c r="F54" s="238">
        <f>'Data Source'!H267</f>
        <v>0.44414079712628418</v>
      </c>
      <c r="G54" s="413"/>
      <c r="H54" s="413"/>
      <c r="I54" s="419" t="s">
        <v>686</v>
      </c>
      <c r="K54" s="392">
        <f>VALUE(SUBSTITUTE('Data Source'!B783,"x",""))</f>
        <v>13.83</v>
      </c>
      <c r="M54" s="91"/>
      <c r="N54" s="91"/>
    </row>
    <row r="55" spans="1:15" ht="16">
      <c r="A55" s="90"/>
      <c r="B55" s="412" t="s">
        <v>49</v>
      </c>
      <c r="C55" s="413"/>
      <c r="D55" s="413"/>
      <c r="E55" s="237"/>
      <c r="F55" s="238">
        <f>'Data Source'!H283</f>
        <v>0.36011634169408807</v>
      </c>
      <c r="G55" s="413"/>
      <c r="H55" s="413"/>
      <c r="I55" s="391" t="s">
        <v>687</v>
      </c>
      <c r="J55" s="115"/>
      <c r="K55" s="392">
        <f>VALUE(SUBSTITUTE('Data Source'!E783,"x",""))</f>
        <v>3.1</v>
      </c>
      <c r="L55" s="90"/>
      <c r="M55" s="91"/>
      <c r="N55" s="91"/>
      <c r="O55" s="91"/>
    </row>
    <row r="56" spans="1:15" ht="17" thickBot="1">
      <c r="A56" s="90"/>
      <c r="B56" s="241"/>
      <c r="C56" s="415"/>
      <c r="D56" s="415"/>
      <c r="E56" s="415"/>
      <c r="F56" s="250"/>
      <c r="G56" s="413"/>
      <c r="H56" s="413"/>
      <c r="I56" s="393" t="s">
        <v>688</v>
      </c>
      <c r="J56" s="262"/>
      <c r="K56" s="394">
        <f>VALUE(SUBSTITUTE('Data Source'!D783,"x",""))</f>
        <v>17.2</v>
      </c>
      <c r="L56" s="90"/>
      <c r="M56" s="91"/>
      <c r="N56" s="91"/>
      <c r="O56" s="91"/>
    </row>
    <row r="57" spans="1:15" ht="17" thickBot="1">
      <c r="A57" s="90"/>
      <c r="G57" s="413"/>
      <c r="H57" s="413"/>
      <c r="I57" s="387" t="s">
        <v>689</v>
      </c>
      <c r="J57" s="388"/>
      <c r="K57" s="389"/>
      <c r="L57" s="90"/>
      <c r="M57" s="91"/>
      <c r="N57" s="91"/>
      <c r="O57" s="91"/>
    </row>
    <row r="58" spans="1:15" ht="17" thickBot="1">
      <c r="A58" s="90"/>
      <c r="G58" s="413"/>
      <c r="H58" s="413"/>
      <c r="I58" s="119" t="s">
        <v>690</v>
      </c>
      <c r="J58" s="426"/>
      <c r="K58" s="395">
        <f>VALUE(SUBSTITUTE('Data Source'!B773,"x",""))</f>
        <v>18.41</v>
      </c>
      <c r="L58" s="90"/>
      <c r="M58" s="91"/>
      <c r="N58" s="91"/>
      <c r="O58" s="91"/>
    </row>
    <row r="59" spans="1:15" ht="17" thickBot="1">
      <c r="A59" s="90"/>
      <c r="B59" s="244" t="s">
        <v>88</v>
      </c>
      <c r="C59" s="365"/>
      <c r="D59" s="365"/>
      <c r="E59" s="365"/>
      <c r="F59" s="366" t="s">
        <v>31</v>
      </c>
      <c r="G59" s="413"/>
      <c r="H59" s="413"/>
      <c r="I59" s="119" t="s">
        <v>691</v>
      </c>
      <c r="J59" s="426"/>
      <c r="K59" s="395">
        <f>VALUE(SUBSTITUTE('Data Source'!E773,"x",""))</f>
        <v>3.35</v>
      </c>
      <c r="L59" s="90"/>
      <c r="M59" s="91"/>
      <c r="N59" s="91"/>
      <c r="O59" s="91"/>
    </row>
    <row r="60" spans="1:15" ht="17" thickBot="1">
      <c r="A60" s="90"/>
      <c r="B60" s="257" t="s">
        <v>45</v>
      </c>
      <c r="C60" s="258"/>
      <c r="D60" s="258" t="s">
        <v>2</v>
      </c>
      <c r="E60" s="258" t="s">
        <v>2</v>
      </c>
      <c r="F60" s="259" t="s">
        <v>2</v>
      </c>
      <c r="G60" s="413"/>
      <c r="H60" s="413"/>
      <c r="I60" s="194" t="s">
        <v>692</v>
      </c>
      <c r="J60" s="195"/>
      <c r="K60" s="396">
        <f>VALUE(SUBSTITUTE('Data Source'!D773,"x",""))</f>
        <v>26.3</v>
      </c>
      <c r="L60" s="90"/>
      <c r="M60" s="91"/>
      <c r="N60" s="91"/>
      <c r="O60" s="91"/>
    </row>
    <row r="61" spans="1:15" ht="16">
      <c r="A61" s="90"/>
      <c r="B61" s="256" t="s">
        <v>89</v>
      </c>
      <c r="C61" s="1"/>
      <c r="D61" s="1"/>
      <c r="E61" s="413"/>
      <c r="F61" s="238">
        <f>'Data Source'!H252</f>
        <v>0.10978433016925784</v>
      </c>
      <c r="G61" s="413"/>
      <c r="H61" s="413"/>
      <c r="L61" s="90"/>
      <c r="M61" s="91"/>
      <c r="N61" s="91"/>
      <c r="O61" s="91"/>
    </row>
    <row r="62" spans="1:15" ht="16">
      <c r="A62" s="90"/>
      <c r="B62" s="256" t="s">
        <v>90</v>
      </c>
      <c r="C62" s="1"/>
      <c r="D62" s="1"/>
      <c r="E62" s="413"/>
      <c r="F62" s="238">
        <f>'Data Source'!H254</f>
        <v>2.4973481777181186E-2</v>
      </c>
      <c r="H62" s="413"/>
      <c r="L62" s="90"/>
      <c r="M62" s="91"/>
      <c r="N62" s="91"/>
      <c r="O62" s="91"/>
    </row>
    <row r="63" spans="1:15" ht="17" thickBot="1">
      <c r="A63" s="90"/>
      <c r="B63" s="256" t="s">
        <v>91</v>
      </c>
      <c r="C63" s="1"/>
      <c r="D63" s="1"/>
      <c r="E63" s="413"/>
      <c r="F63" s="238">
        <f>'Data Source'!H256</f>
        <v>9.3950457373218305E-2</v>
      </c>
      <c r="L63" s="90"/>
      <c r="M63" s="91"/>
      <c r="N63" s="91"/>
      <c r="O63" s="91"/>
    </row>
    <row r="64" spans="1:15" ht="17" thickBot="1">
      <c r="A64" s="90"/>
      <c r="B64" s="257" t="s">
        <v>46</v>
      </c>
      <c r="C64" s="258"/>
      <c r="D64" s="258"/>
      <c r="E64" s="258"/>
      <c r="F64" s="259"/>
      <c r="G64" s="413"/>
      <c r="I64" s="115"/>
      <c r="L64" s="90"/>
      <c r="M64" s="91"/>
      <c r="N64" s="91"/>
      <c r="O64" s="91"/>
    </row>
    <row r="65" spans="1:15" ht="16">
      <c r="A65" s="90"/>
      <c r="B65" s="256" t="s">
        <v>89</v>
      </c>
      <c r="C65" s="413"/>
      <c r="D65" s="413"/>
      <c r="E65" s="413"/>
      <c r="F65" s="238">
        <f>'Data Source'!H269</f>
        <v>0.1410578226798978</v>
      </c>
      <c r="I65" s="115"/>
      <c r="L65" s="90"/>
      <c r="M65" s="91"/>
      <c r="N65" s="91"/>
      <c r="O65" s="91"/>
    </row>
    <row r="66" spans="1:15" ht="16">
      <c r="A66" s="90"/>
      <c r="B66" s="256" t="s">
        <v>90</v>
      </c>
      <c r="C66" s="413"/>
      <c r="D66" s="413"/>
      <c r="E66" s="413"/>
      <c r="F66" s="238">
        <f>'Data Source'!H271</f>
        <v>1.1585427291169811E-2</v>
      </c>
      <c r="I66" s="115"/>
      <c r="L66" s="90"/>
      <c r="M66" s="91"/>
      <c r="N66" s="91"/>
      <c r="O66" s="91"/>
    </row>
    <row r="67" spans="1:15" ht="17" thickBot="1">
      <c r="A67" s="90"/>
      <c r="B67" s="256" t="s">
        <v>91</v>
      </c>
      <c r="C67" s="413"/>
      <c r="D67" s="413"/>
      <c r="E67" s="413"/>
      <c r="F67" s="238">
        <f>'Data Source'!H273</f>
        <v>0.14420478561033315</v>
      </c>
      <c r="O67" s="91"/>
    </row>
    <row r="68" spans="1:15" ht="17" thickBot="1">
      <c r="A68" s="90"/>
      <c r="B68" s="257" t="s">
        <v>49</v>
      </c>
      <c r="C68" s="261"/>
      <c r="D68" s="261"/>
      <c r="E68" s="258"/>
      <c r="F68" s="259"/>
      <c r="I68" s="115"/>
      <c r="L68" s="90"/>
      <c r="M68" s="91"/>
      <c r="N68" s="91"/>
      <c r="O68" s="91"/>
    </row>
    <row r="69" spans="1:15" ht="16" customHeight="1">
      <c r="A69" s="90"/>
      <c r="B69" s="256" t="s">
        <v>89</v>
      </c>
      <c r="E69" s="413"/>
      <c r="F69" s="238">
        <f>'Data Source'!H285</f>
        <v>1.1994526338922333E-2</v>
      </c>
      <c r="I69" s="115"/>
      <c r="L69" s="90"/>
      <c r="M69" s="91"/>
      <c r="N69" s="91"/>
      <c r="O69" s="91"/>
    </row>
    <row r="70" spans="1:15" ht="16">
      <c r="A70" s="90"/>
      <c r="B70" s="256" t="s">
        <v>90</v>
      </c>
      <c r="C70" s="413"/>
      <c r="D70" s="413"/>
      <c r="E70" s="413"/>
      <c r="F70" s="238">
        <f>'Data Source'!H287</f>
        <v>1.1225436807126184E-2</v>
      </c>
      <c r="I70" s="115"/>
      <c r="L70" s="90"/>
      <c r="M70" s="91"/>
      <c r="N70" s="91"/>
      <c r="O70" s="91"/>
    </row>
    <row r="71" spans="1:15" ht="17" thickBot="1">
      <c r="A71" s="90"/>
      <c r="B71" s="369" t="s">
        <v>91</v>
      </c>
      <c r="C71" s="415" t="s">
        <v>2</v>
      </c>
      <c r="D71" s="415" t="s">
        <v>2</v>
      </c>
      <c r="E71" s="415" t="s">
        <v>2</v>
      </c>
      <c r="F71" s="243">
        <f>'Data Source'!H289</f>
        <v>0.17838441736047955</v>
      </c>
      <c r="I71" s="115"/>
      <c r="L71" s="90"/>
      <c r="M71" s="91"/>
      <c r="N71" s="91"/>
      <c r="O71" s="91"/>
    </row>
    <row r="72" spans="1:15" ht="16">
      <c r="A72" s="90"/>
      <c r="I72" s="115"/>
      <c r="L72" s="90"/>
      <c r="M72" s="91"/>
      <c r="N72" s="91"/>
      <c r="O72" s="91"/>
    </row>
    <row r="73" spans="1:15" ht="17" thickBot="1">
      <c r="A73" s="90"/>
      <c r="I73" s="115"/>
      <c r="L73" s="90"/>
      <c r="M73" s="91"/>
      <c r="N73" s="91"/>
      <c r="O73" s="91"/>
    </row>
    <row r="74" spans="1:15" ht="17" thickBot="1">
      <c r="A74" s="90"/>
      <c r="B74" s="244" t="s">
        <v>92</v>
      </c>
      <c r="C74" s="365"/>
      <c r="D74" s="365"/>
      <c r="E74" s="365"/>
      <c r="F74" s="366" t="s">
        <v>31</v>
      </c>
      <c r="I74" s="115"/>
      <c r="L74" s="90"/>
      <c r="M74" s="91"/>
      <c r="N74" s="91"/>
      <c r="O74" s="91"/>
    </row>
    <row r="75" spans="1:15" ht="16">
      <c r="A75" s="90"/>
      <c r="B75" s="708" t="s">
        <v>45</v>
      </c>
      <c r="C75" s="709"/>
      <c r="D75" s="413" t="s">
        <v>2</v>
      </c>
      <c r="E75" s="237" t="s">
        <v>2</v>
      </c>
      <c r="F75" s="238">
        <f>'Data Source'!H375</f>
        <v>0.81775692409281486</v>
      </c>
      <c r="G75" s="282"/>
      <c r="I75" s="115"/>
      <c r="L75" s="90"/>
      <c r="M75" s="91"/>
      <c r="N75" s="91"/>
      <c r="O75" s="91"/>
    </row>
    <row r="76" spans="1:15" ht="16">
      <c r="A76" s="90"/>
      <c r="B76" s="708" t="s">
        <v>46</v>
      </c>
      <c r="C76" s="709"/>
      <c r="D76" s="709"/>
      <c r="E76" s="237"/>
      <c r="F76" s="238">
        <f>'Data Source'!H376</f>
        <v>0.12567599493014273</v>
      </c>
      <c r="G76" s="282"/>
      <c r="I76" s="115"/>
      <c r="L76" s="90"/>
      <c r="M76" s="91"/>
      <c r="N76" s="91"/>
      <c r="O76" s="91"/>
    </row>
    <row r="77" spans="1:15" ht="16">
      <c r="A77" s="90"/>
      <c r="B77" s="412" t="s">
        <v>49</v>
      </c>
      <c r="C77" s="413"/>
      <c r="D77" s="413" t="s">
        <v>2</v>
      </c>
      <c r="E77" s="237" t="s">
        <v>2</v>
      </c>
      <c r="F77" s="238">
        <f>'Data Source'!H377</f>
        <v>5.656708097704248E-2</v>
      </c>
      <c r="G77" s="282"/>
      <c r="I77" s="115"/>
      <c r="L77" s="90"/>
      <c r="M77" s="91"/>
      <c r="N77" s="91"/>
      <c r="O77" s="91"/>
    </row>
    <row r="78" spans="1:15" ht="17" thickBot="1">
      <c r="A78" s="90"/>
      <c r="B78" s="328"/>
      <c r="C78" s="324"/>
      <c r="D78" s="324"/>
      <c r="E78" s="324"/>
      <c r="F78" s="329"/>
      <c r="G78" s="282"/>
      <c r="I78" s="115"/>
      <c r="L78" s="90"/>
      <c r="M78" s="91"/>
      <c r="N78" s="91"/>
      <c r="O78" s="91"/>
    </row>
    <row r="79" spans="1:15" ht="16">
      <c r="A79" s="90"/>
      <c r="G79" s="282"/>
      <c r="I79" s="115"/>
      <c r="L79" s="90"/>
      <c r="M79" s="91"/>
      <c r="N79" s="91"/>
      <c r="O79" s="91"/>
    </row>
    <row r="80" spans="1:15" ht="17" thickBot="1">
      <c r="A80" s="90"/>
      <c r="I80" s="115"/>
      <c r="L80" s="90"/>
      <c r="M80" s="91"/>
      <c r="N80" s="91"/>
      <c r="O80" s="91"/>
    </row>
    <row r="81" spans="2:15" ht="17" thickBot="1">
      <c r="B81" s="244" t="s">
        <v>93</v>
      </c>
      <c r="C81" s="365"/>
      <c r="D81" s="365"/>
      <c r="E81" s="365"/>
      <c r="F81" s="366" t="s">
        <v>31</v>
      </c>
      <c r="G81" s="717"/>
      <c r="H81" s="718"/>
      <c r="I81" s="413"/>
      <c r="K81" s="93"/>
      <c r="L81" s="96"/>
      <c r="M81" s="96"/>
      <c r="N81" s="96"/>
      <c r="O81" s="91"/>
    </row>
    <row r="82" spans="2:15" ht="16">
      <c r="B82" s="708" t="s">
        <v>94</v>
      </c>
      <c r="C82" s="709"/>
      <c r="D82" s="413"/>
      <c r="E82" s="237" t="s">
        <v>2</v>
      </c>
      <c r="F82" s="238">
        <f>'Data Source'!O397</f>
        <v>6.6584333144318136E-2</v>
      </c>
      <c r="I82" s="413"/>
      <c r="J82" s="413"/>
      <c r="K82" s="93"/>
      <c r="L82" s="96"/>
      <c r="M82" s="96"/>
      <c r="N82" s="96"/>
      <c r="O82" s="91"/>
    </row>
    <row r="83" spans="2:15" ht="15" customHeight="1">
      <c r="B83" s="708" t="s">
        <v>95</v>
      </c>
      <c r="C83" s="709"/>
      <c r="D83" s="709"/>
      <c r="E83" s="237"/>
      <c r="F83" s="264">
        <v>4.2500000000000003E-2</v>
      </c>
      <c r="I83" s="413"/>
      <c r="J83" s="413"/>
      <c r="K83" s="93"/>
      <c r="L83" s="90"/>
      <c r="M83" s="90"/>
      <c r="N83" s="90"/>
      <c r="O83" s="90"/>
    </row>
    <row r="84" spans="2:15" ht="14">
      <c r="B84" s="412" t="s">
        <v>96</v>
      </c>
      <c r="C84" s="413"/>
      <c r="D84" s="413"/>
      <c r="E84" s="237"/>
      <c r="F84" s="279">
        <f>'Data Source'!H400</f>
        <v>-20.880000000000003</v>
      </c>
      <c r="I84" s="413"/>
      <c r="J84" s="413"/>
      <c r="K84" s="93"/>
      <c r="L84" s="90"/>
      <c r="M84" s="90"/>
      <c r="N84" s="90"/>
      <c r="O84" s="90"/>
    </row>
    <row r="85" spans="2:15" ht="15" thickBot="1">
      <c r="B85" s="241" t="s">
        <v>97</v>
      </c>
      <c r="C85" s="415"/>
      <c r="D85" s="415"/>
      <c r="E85" s="415" t="s">
        <v>2</v>
      </c>
      <c r="F85" s="250"/>
      <c r="I85" s="413"/>
      <c r="J85" s="413"/>
      <c r="K85" s="93"/>
      <c r="L85" s="90"/>
      <c r="M85" s="90"/>
      <c r="N85" s="90"/>
      <c r="O85" s="90"/>
    </row>
    <row r="86" spans="2:15" ht="14">
      <c r="L86" s="90"/>
      <c r="M86" s="90"/>
      <c r="N86" s="90"/>
      <c r="O86" s="90"/>
    </row>
    <row r="87" spans="2:15" ht="15" thickBot="1">
      <c r="G87" s="413"/>
      <c r="H87" s="413"/>
      <c r="I87" s="116"/>
      <c r="K87" s="413"/>
      <c r="L87" s="90"/>
      <c r="M87" s="90"/>
      <c r="N87" s="90"/>
      <c r="O87" s="90"/>
    </row>
    <row r="88" spans="2:15" ht="15" customHeight="1" thickBot="1">
      <c r="B88" s="302" t="s">
        <v>98</v>
      </c>
      <c r="C88" s="303"/>
      <c r="D88" s="303"/>
      <c r="E88" s="303"/>
      <c r="F88" s="304"/>
      <c r="G88" s="413"/>
      <c r="H88" s="413"/>
      <c r="I88" s="116"/>
      <c r="K88" s="413"/>
      <c r="L88" s="90"/>
      <c r="M88" s="90"/>
      <c r="N88" s="90"/>
      <c r="O88" s="90"/>
    </row>
    <row r="89" spans="2:15" ht="17" thickBot="1">
      <c r="B89" s="422" t="s">
        <v>99</v>
      </c>
      <c r="C89" s="423"/>
      <c r="D89" s="423"/>
      <c r="E89" s="423"/>
      <c r="F89" s="305"/>
      <c r="G89" s="413"/>
      <c r="H89" s="413"/>
      <c r="L89" s="90"/>
      <c r="M89" s="91"/>
      <c r="N89" s="91"/>
      <c r="O89" s="90"/>
    </row>
    <row r="90" spans="2:15" ht="16">
      <c r="B90" s="412" t="s">
        <v>100</v>
      </c>
      <c r="C90" s="413"/>
      <c r="D90" s="413"/>
      <c r="E90" s="413" t="s">
        <v>2</v>
      </c>
      <c r="F90" s="238">
        <f>'Data Source'!O433</f>
        <v>6.7586042754961537E-2</v>
      </c>
      <c r="G90" s="413"/>
      <c r="H90" s="413"/>
      <c r="L90" s="90"/>
      <c r="M90" s="91"/>
      <c r="N90" s="91"/>
      <c r="O90" s="90"/>
    </row>
    <row r="91" spans="2:15" ht="16">
      <c r="B91" s="412" t="s">
        <v>101</v>
      </c>
      <c r="C91" s="413"/>
      <c r="D91" s="413" t="s">
        <v>2</v>
      </c>
      <c r="E91" s="413" t="s">
        <v>2</v>
      </c>
      <c r="F91" s="238">
        <f>'Data Source'!O434</f>
        <v>8.1463720351593868E-2</v>
      </c>
      <c r="G91" s="413"/>
      <c r="H91" s="413"/>
      <c r="L91" s="90"/>
      <c r="M91" s="91"/>
      <c r="N91" s="91"/>
      <c r="O91" s="91"/>
    </row>
    <row r="92" spans="2:15" ht="16">
      <c r="B92" s="412" t="s">
        <v>102</v>
      </c>
      <c r="C92" s="413"/>
      <c r="D92" s="413"/>
      <c r="E92" s="413"/>
      <c r="F92" s="238">
        <f>'Data Source'!O435</f>
        <v>0.10090686104610791</v>
      </c>
      <c r="L92" s="90"/>
      <c r="M92" s="91"/>
      <c r="N92" s="91"/>
      <c r="O92" s="91"/>
    </row>
    <row r="93" spans="2:15" ht="16">
      <c r="B93" s="412" t="s">
        <v>103</v>
      </c>
      <c r="C93" s="413"/>
      <c r="D93" s="413"/>
      <c r="E93" s="413"/>
      <c r="F93" s="238">
        <f>'Data Source'!O436</f>
        <v>8.7118551284142472E-3</v>
      </c>
      <c r="G93" s="413"/>
      <c r="H93" s="413"/>
      <c r="L93" s="93"/>
      <c r="M93"/>
      <c r="N93"/>
      <c r="O93" s="91"/>
    </row>
    <row r="94" spans="2:15" ht="16">
      <c r="B94" s="708" t="s">
        <v>104</v>
      </c>
      <c r="C94" s="709"/>
      <c r="D94" s="413"/>
      <c r="E94" s="413"/>
      <c r="F94" s="238">
        <f>'Data Source'!O450</f>
        <v>9.3002656753448099E-2</v>
      </c>
      <c r="G94" s="413"/>
      <c r="H94" s="413"/>
      <c r="L94" s="93"/>
      <c r="M94"/>
      <c r="N94"/>
      <c r="O94" s="91"/>
    </row>
    <row r="95" spans="2:15" ht="16">
      <c r="B95" s="708" t="s">
        <v>105</v>
      </c>
      <c r="C95" s="709"/>
      <c r="D95" s="413"/>
      <c r="E95" s="413"/>
      <c r="F95" s="238">
        <f>'Data Source'!O451</f>
        <v>0.11778103030048966</v>
      </c>
      <c r="G95" s="413"/>
      <c r="H95" s="413"/>
      <c r="L95" s="93"/>
      <c r="M95"/>
      <c r="N95"/>
      <c r="O95" s="91"/>
    </row>
    <row r="96" spans="2:15" ht="16">
      <c r="B96" s="708" t="s">
        <v>106</v>
      </c>
      <c r="C96" s="709"/>
      <c r="D96" s="709"/>
      <c r="E96" s="413"/>
      <c r="F96" s="238">
        <f>'Data Source'!O449</f>
        <v>3.3764651527381215E-2</v>
      </c>
      <c r="G96" s="413"/>
      <c r="H96" s="413"/>
      <c r="L96" s="93"/>
      <c r="M96"/>
      <c r="N96"/>
      <c r="O96" s="91"/>
    </row>
    <row r="97" spans="1:16" ht="17" thickBot="1">
      <c r="B97" s="711" t="s">
        <v>107</v>
      </c>
      <c r="C97" s="712"/>
      <c r="D97" s="415"/>
      <c r="E97" s="415"/>
      <c r="F97" s="243">
        <f>'Data Source'!O448</f>
        <v>1.2627731116376686E-2</v>
      </c>
      <c r="G97" s="413"/>
      <c r="H97" s="413"/>
      <c r="O97" s="91"/>
    </row>
    <row r="98" spans="1:16" ht="17" thickBot="1">
      <c r="B98" s="306" t="s">
        <v>108</v>
      </c>
      <c r="C98" s="307"/>
      <c r="D98" s="307"/>
      <c r="E98" s="260"/>
      <c r="F98" s="308"/>
      <c r="G98" s="413"/>
      <c r="H98" s="413"/>
      <c r="L98" s="98"/>
      <c r="M98" s="98"/>
      <c r="O98" s="91"/>
    </row>
    <row r="99" spans="1:16" ht="14">
      <c r="G99" s="413"/>
      <c r="H99" s="413"/>
      <c r="L99" s="99"/>
      <c r="M99" s="93"/>
    </row>
    <row r="100" spans="1:16" ht="14">
      <c r="G100" s="413"/>
      <c r="H100" s="413"/>
      <c r="L100" s="100"/>
      <c r="M100" s="101"/>
      <c r="N100" s="95"/>
    </row>
    <row r="101" spans="1:16" ht="15" thickBot="1">
      <c r="G101" s="413"/>
      <c r="H101" s="413"/>
      <c r="L101" s="103"/>
      <c r="M101" s="101"/>
      <c r="N101" s="102"/>
    </row>
    <row r="102" spans="1:16" ht="15" thickBot="1">
      <c r="B102" s="244" t="s">
        <v>109</v>
      </c>
      <c r="C102" s="300"/>
      <c r="D102" s="300"/>
      <c r="E102" s="300"/>
      <c r="F102" s="301"/>
      <c r="G102" s="413"/>
      <c r="H102" s="413"/>
      <c r="L102" s="99"/>
      <c r="M102" s="101"/>
      <c r="N102" s="95"/>
      <c r="O102" s="102"/>
    </row>
    <row r="103" spans="1:16" ht="14">
      <c r="B103" s="416" t="s">
        <v>110</v>
      </c>
      <c r="C103" s="417"/>
      <c r="D103" s="417"/>
      <c r="E103" s="417"/>
      <c r="F103" s="312"/>
      <c r="G103" s="413"/>
      <c r="H103" s="413"/>
      <c r="O103" s="95"/>
    </row>
    <row r="104" spans="1:16" ht="14">
      <c r="A104" s="90"/>
      <c r="B104" s="416" t="s">
        <v>111</v>
      </c>
      <c r="C104" s="417"/>
      <c r="D104" s="417"/>
      <c r="E104" s="413"/>
      <c r="F104" s="112" t="s">
        <v>2</v>
      </c>
      <c r="G104" s="413"/>
      <c r="H104" s="413"/>
      <c r="O104" s="95"/>
    </row>
    <row r="105" spans="1:16" ht="16">
      <c r="A105" s="90"/>
      <c r="B105" s="200" t="s">
        <v>45</v>
      </c>
      <c r="C105" s="201"/>
      <c r="D105" s="201"/>
      <c r="E105" s="413"/>
      <c r="F105" s="112" t="s">
        <v>2</v>
      </c>
      <c r="G105" s="413"/>
      <c r="H105" s="413"/>
      <c r="I105" s="115"/>
      <c r="P105"/>
    </row>
    <row r="106" spans="1:16" ht="16">
      <c r="A106" s="90"/>
      <c r="B106" s="416" t="s">
        <v>112</v>
      </c>
      <c r="C106" s="417"/>
      <c r="D106" s="417"/>
      <c r="E106" s="413"/>
      <c r="F106" s="112"/>
      <c r="G106" s="413"/>
      <c r="H106" s="413"/>
      <c r="I106" s="115"/>
      <c r="P106"/>
    </row>
    <row r="107" spans="1:16" ht="16">
      <c r="A107" s="90"/>
      <c r="B107" s="414" t="s">
        <v>113</v>
      </c>
      <c r="C107" s="413"/>
      <c r="D107" s="413"/>
      <c r="E107" s="413"/>
      <c r="F107" s="113">
        <v>0.02</v>
      </c>
      <c r="G107" s="413"/>
      <c r="H107" s="413"/>
      <c r="P107"/>
    </row>
    <row r="108" spans="1:16" ht="16">
      <c r="A108" s="90"/>
      <c r="B108" s="414" t="s">
        <v>114</v>
      </c>
      <c r="C108" s="413"/>
      <c r="D108" s="413"/>
      <c r="E108" s="413"/>
      <c r="F108" s="113">
        <v>-0.02</v>
      </c>
      <c r="G108" s="413"/>
      <c r="H108" s="413"/>
      <c r="I108" s="115"/>
      <c r="P108"/>
    </row>
    <row r="109" spans="1:16" ht="14">
      <c r="A109" s="90"/>
      <c r="B109" s="416" t="s">
        <v>115</v>
      </c>
      <c r="C109" s="417"/>
      <c r="D109" s="417"/>
      <c r="E109" s="413"/>
      <c r="F109" s="109"/>
      <c r="G109" s="413"/>
      <c r="H109" s="413"/>
      <c r="I109" s="115"/>
    </row>
    <row r="110" spans="1:16" ht="14">
      <c r="A110" s="90"/>
      <c r="B110" s="414" t="s">
        <v>113</v>
      </c>
      <c r="C110" s="413"/>
      <c r="D110" s="413"/>
      <c r="E110" s="413"/>
      <c r="F110" s="113">
        <v>0.01</v>
      </c>
      <c r="G110" s="110"/>
      <c r="I110" s="115"/>
    </row>
    <row r="111" spans="1:16" ht="14">
      <c r="A111" s="90"/>
      <c r="B111" s="414" t="s">
        <v>114</v>
      </c>
      <c r="C111" s="413"/>
      <c r="D111" s="413"/>
      <c r="E111" s="413"/>
      <c r="F111" s="113">
        <v>-5.0000000000000001E-3</v>
      </c>
      <c r="I111" s="115"/>
    </row>
    <row r="112" spans="1:16" ht="14">
      <c r="A112" s="90"/>
      <c r="B112" s="416" t="s">
        <v>57</v>
      </c>
      <c r="C112" s="417"/>
      <c r="D112" s="417"/>
      <c r="E112" s="413"/>
      <c r="F112" s="113"/>
      <c r="I112" s="115"/>
    </row>
    <row r="113" spans="1:9" ht="14">
      <c r="A113" s="90"/>
      <c r="B113" s="414" t="s">
        <v>113</v>
      </c>
      <c r="C113" s="413"/>
      <c r="D113" s="413"/>
      <c r="E113" s="413"/>
      <c r="F113" s="113">
        <v>0.02</v>
      </c>
      <c r="I113" s="115"/>
    </row>
    <row r="114" spans="1:9" ht="14">
      <c r="A114" s="90"/>
      <c r="B114" s="414" t="s">
        <v>114</v>
      </c>
      <c r="C114" s="413"/>
      <c r="D114" s="413"/>
      <c r="E114" s="413"/>
      <c r="F114" s="113">
        <v>0</v>
      </c>
      <c r="I114" s="115"/>
    </row>
    <row r="115" spans="1:9" ht="14">
      <c r="A115" s="90"/>
      <c r="B115" s="416" t="s">
        <v>61</v>
      </c>
      <c r="C115" s="417"/>
      <c r="D115" s="417"/>
      <c r="E115" s="413"/>
      <c r="F115" s="113"/>
      <c r="I115" s="115"/>
    </row>
    <row r="116" spans="1:9" ht="14">
      <c r="A116" s="90"/>
      <c r="B116" s="414" t="s">
        <v>113</v>
      </c>
      <c r="C116" s="413"/>
      <c r="D116" s="413"/>
      <c r="E116" s="413"/>
      <c r="F116" s="113">
        <v>0</v>
      </c>
      <c r="I116" s="115"/>
    </row>
    <row r="117" spans="1:9" ht="14">
      <c r="A117" s="90"/>
      <c r="B117" s="414" t="s">
        <v>114</v>
      </c>
      <c r="C117" s="413"/>
      <c r="D117" s="413"/>
      <c r="E117" s="413"/>
      <c r="F117" s="113">
        <v>0</v>
      </c>
      <c r="I117" s="115"/>
    </row>
    <row r="118" spans="1:9" ht="14">
      <c r="A118" s="90"/>
      <c r="B118" s="200" t="s">
        <v>116</v>
      </c>
      <c r="C118" s="201"/>
      <c r="D118" s="201"/>
      <c r="E118" s="413"/>
      <c r="F118" s="112"/>
      <c r="I118" s="115"/>
    </row>
    <row r="119" spans="1:9" ht="14">
      <c r="A119" s="90"/>
      <c r="B119" s="416" t="s">
        <v>112</v>
      </c>
      <c r="C119" s="417"/>
      <c r="D119" s="417"/>
      <c r="E119" s="413"/>
      <c r="F119" s="112"/>
      <c r="I119" s="115"/>
    </row>
    <row r="120" spans="1:9" ht="14">
      <c r="A120" s="90"/>
      <c r="B120" s="414" t="s">
        <v>113</v>
      </c>
      <c r="C120" s="413"/>
      <c r="D120" s="413"/>
      <c r="E120" s="413"/>
      <c r="F120" s="113">
        <v>0.03</v>
      </c>
      <c r="I120" s="115"/>
    </row>
    <row r="121" spans="1:9" ht="14">
      <c r="B121" s="414" t="s">
        <v>114</v>
      </c>
      <c r="C121" s="413"/>
      <c r="D121" s="413"/>
      <c r="E121" s="413"/>
      <c r="F121" s="113">
        <v>-0.01</v>
      </c>
      <c r="I121" s="115"/>
    </row>
    <row r="122" spans="1:9" ht="14">
      <c r="B122" s="416" t="s">
        <v>115</v>
      </c>
      <c r="C122" s="417"/>
      <c r="D122" s="417"/>
      <c r="E122" s="413"/>
      <c r="F122" s="109"/>
      <c r="I122" s="115"/>
    </row>
    <row r="123" spans="1:9" ht="14">
      <c r="B123" s="414" t="s">
        <v>113</v>
      </c>
      <c r="C123" s="413"/>
      <c r="D123" s="413"/>
      <c r="E123" s="413"/>
      <c r="F123" s="113">
        <v>5.0000000000000001E-3</v>
      </c>
      <c r="I123" s="115"/>
    </row>
    <row r="124" spans="1:9" ht="14">
      <c r="B124" s="414" t="s">
        <v>114</v>
      </c>
      <c r="C124" s="413"/>
      <c r="D124" s="413"/>
      <c r="E124" s="413"/>
      <c r="F124" s="113">
        <v>-1E-3</v>
      </c>
      <c r="I124" s="115"/>
    </row>
    <row r="125" spans="1:9" ht="14">
      <c r="B125" s="416" t="s">
        <v>57</v>
      </c>
      <c r="C125" s="417"/>
      <c r="D125" s="417"/>
      <c r="E125" s="413"/>
      <c r="F125" s="113"/>
      <c r="I125" s="115"/>
    </row>
    <row r="126" spans="1:9" ht="14">
      <c r="B126" s="414" t="s">
        <v>113</v>
      </c>
      <c r="C126" s="413"/>
      <c r="D126" s="413"/>
      <c r="E126" s="413"/>
      <c r="F126" s="113">
        <v>1.4999999999999999E-2</v>
      </c>
      <c r="I126" s="115"/>
    </row>
    <row r="127" spans="1:9" ht="14">
      <c r="B127" s="414" t="s">
        <v>114</v>
      </c>
      <c r="C127" s="413"/>
      <c r="D127" s="413"/>
      <c r="E127" s="413"/>
      <c r="F127" s="113">
        <v>0</v>
      </c>
      <c r="I127" s="115"/>
    </row>
    <row r="128" spans="1:9" ht="14">
      <c r="B128" s="416" t="s">
        <v>61</v>
      </c>
      <c r="C128" s="417"/>
      <c r="D128" s="417"/>
      <c r="E128" s="413"/>
      <c r="F128" s="113"/>
      <c r="I128" s="115"/>
    </row>
    <row r="129" spans="2:9" ht="14">
      <c r="B129" s="414" t="s">
        <v>113</v>
      </c>
      <c r="C129" s="413"/>
      <c r="D129" s="413"/>
      <c r="E129" s="413"/>
      <c r="F129" s="113">
        <v>0</v>
      </c>
      <c r="I129" s="115"/>
    </row>
    <row r="130" spans="2:9" ht="14">
      <c r="B130" s="414" t="s">
        <v>114</v>
      </c>
      <c r="C130" s="413"/>
      <c r="D130" s="413"/>
      <c r="E130" s="413"/>
      <c r="F130" s="113">
        <v>0</v>
      </c>
      <c r="I130" s="115"/>
    </row>
    <row r="131" spans="2:9" ht="14">
      <c r="B131" s="200" t="s">
        <v>117</v>
      </c>
      <c r="C131" s="201"/>
      <c r="D131" s="201"/>
      <c r="E131" s="413"/>
      <c r="F131" s="112"/>
      <c r="I131" s="115"/>
    </row>
    <row r="132" spans="2:9" ht="14">
      <c r="B132" s="416" t="s">
        <v>112</v>
      </c>
      <c r="C132" s="417"/>
      <c r="D132" s="417"/>
      <c r="E132" s="413"/>
      <c r="F132" s="112"/>
      <c r="I132" s="115"/>
    </row>
    <row r="133" spans="2:9" ht="14">
      <c r="B133" s="414" t="s">
        <v>113</v>
      </c>
      <c r="C133" s="413"/>
      <c r="D133" s="413"/>
      <c r="E133" s="413"/>
      <c r="F133" s="113">
        <v>0.01</v>
      </c>
      <c r="I133" s="115"/>
    </row>
    <row r="134" spans="2:9" ht="14">
      <c r="B134" s="414" t="s">
        <v>114</v>
      </c>
      <c r="C134" s="413"/>
      <c r="D134" s="413"/>
      <c r="E134" s="413"/>
      <c r="F134" s="113">
        <v>-0.01</v>
      </c>
      <c r="I134" s="115"/>
    </row>
    <row r="135" spans="2:9" ht="14">
      <c r="B135" s="416" t="s">
        <v>115</v>
      </c>
      <c r="C135" s="417"/>
      <c r="D135" s="417"/>
      <c r="E135" s="413"/>
      <c r="F135" s="109"/>
      <c r="I135" s="115"/>
    </row>
    <row r="136" spans="2:9" ht="14">
      <c r="B136" s="414" t="s">
        <v>113</v>
      </c>
      <c r="C136" s="413"/>
      <c r="D136" s="413"/>
      <c r="E136" s="413"/>
      <c r="F136" s="113">
        <v>5.0000000000000001E-3</v>
      </c>
      <c r="I136" s="115"/>
    </row>
    <row r="137" spans="2:9" ht="14">
      <c r="B137" s="414" t="s">
        <v>114</v>
      </c>
      <c r="C137" s="413"/>
      <c r="D137" s="413"/>
      <c r="E137" s="413"/>
      <c r="F137" s="113">
        <v>-0.01</v>
      </c>
    </row>
    <row r="138" spans="2:9" ht="14">
      <c r="B138" s="416" t="s">
        <v>57</v>
      </c>
      <c r="C138" s="417"/>
      <c r="D138" s="417"/>
      <c r="E138" s="413"/>
      <c r="F138" s="113"/>
    </row>
    <row r="139" spans="2:9" ht="14">
      <c r="B139" s="414" t="s">
        <v>113</v>
      </c>
      <c r="C139" s="413"/>
      <c r="D139" s="413"/>
      <c r="E139" s="413"/>
      <c r="F139" s="113">
        <v>0</v>
      </c>
      <c r="I139" s="115"/>
    </row>
    <row r="140" spans="2:9" ht="14">
      <c r="B140" s="414" t="s">
        <v>114</v>
      </c>
      <c r="C140" s="413"/>
      <c r="D140" s="413"/>
      <c r="E140" s="413"/>
      <c r="F140" s="113">
        <v>0</v>
      </c>
      <c r="I140" s="115"/>
    </row>
    <row r="141" spans="2:9" ht="14">
      <c r="B141" s="416" t="s">
        <v>61</v>
      </c>
      <c r="C141" s="417"/>
      <c r="D141" s="417"/>
      <c r="E141" s="413"/>
      <c r="F141" s="113"/>
      <c r="I141" s="115"/>
    </row>
    <row r="142" spans="2:9" ht="14">
      <c r="B142" s="414" t="s">
        <v>113</v>
      </c>
      <c r="C142" s="413"/>
      <c r="D142" s="413"/>
      <c r="E142" s="413"/>
      <c r="F142" s="113">
        <v>0</v>
      </c>
      <c r="I142" s="115"/>
    </row>
    <row r="143" spans="2:9" ht="14">
      <c r="B143" s="414" t="s">
        <v>114</v>
      </c>
      <c r="C143" s="413"/>
      <c r="D143" s="413"/>
      <c r="E143" s="413"/>
      <c r="F143" s="113">
        <v>0</v>
      </c>
      <c r="I143" s="115"/>
    </row>
    <row r="144" spans="2:9" ht="14">
      <c r="B144" s="414"/>
      <c r="C144" s="413"/>
      <c r="D144" s="413"/>
      <c r="E144" s="413"/>
      <c r="F144" s="113"/>
      <c r="I144" s="115"/>
    </row>
    <row r="145" spans="2:9" ht="14">
      <c r="B145" s="118" t="s">
        <v>118</v>
      </c>
      <c r="C145" s="427"/>
      <c r="D145" s="427"/>
      <c r="E145" s="413"/>
      <c r="F145" s="113"/>
      <c r="I145" s="115"/>
    </row>
    <row r="146" spans="2:9" ht="14">
      <c r="B146" s="200" t="s">
        <v>45</v>
      </c>
      <c r="C146" s="201"/>
      <c r="D146" s="201"/>
      <c r="E146" s="413"/>
      <c r="F146" s="113"/>
      <c r="I146" s="115"/>
    </row>
    <row r="147" spans="2:9" ht="14">
      <c r="B147" s="414" t="s">
        <v>113</v>
      </c>
      <c r="C147" s="413"/>
      <c r="D147" s="413"/>
      <c r="E147" s="413"/>
      <c r="F147" s="113">
        <v>0.02</v>
      </c>
      <c r="I147" s="115"/>
    </row>
    <row r="148" spans="2:9" ht="14">
      <c r="B148" s="414" t="s">
        <v>114</v>
      </c>
      <c r="C148" s="413"/>
      <c r="D148" s="413"/>
      <c r="E148" s="413"/>
      <c r="F148" s="113">
        <v>-1.4999999999999999E-2</v>
      </c>
      <c r="I148" s="115"/>
    </row>
    <row r="149" spans="2:9" ht="14">
      <c r="B149" s="200" t="s">
        <v>119</v>
      </c>
      <c r="C149" s="201"/>
      <c r="D149" s="201"/>
      <c r="E149" s="413"/>
      <c r="F149" s="113"/>
      <c r="I149" s="115"/>
    </row>
    <row r="150" spans="2:9" ht="14">
      <c r="B150" s="414" t="s">
        <v>113</v>
      </c>
      <c r="C150" s="413"/>
      <c r="D150" s="413"/>
      <c r="E150" s="413"/>
      <c r="F150" s="113">
        <v>2.5000000000000001E-2</v>
      </c>
      <c r="I150" s="115"/>
    </row>
    <row r="151" spans="2:9" ht="14">
      <c r="B151" s="414" t="s">
        <v>114</v>
      </c>
      <c r="C151" s="413"/>
      <c r="D151" s="413"/>
      <c r="E151" s="413"/>
      <c r="F151" s="113">
        <v>-1.4999999999999999E-2</v>
      </c>
      <c r="I151" s="115"/>
    </row>
    <row r="152" spans="2:9" ht="14">
      <c r="B152" s="200" t="s">
        <v>117</v>
      </c>
      <c r="C152" s="201"/>
      <c r="D152" s="201"/>
      <c r="E152" s="413"/>
      <c r="F152" s="113"/>
      <c r="I152" s="115"/>
    </row>
    <row r="153" spans="2:9" ht="14">
      <c r="B153" s="414" t="s">
        <v>113</v>
      </c>
      <c r="C153" s="413"/>
      <c r="D153" s="413"/>
      <c r="E153" s="413"/>
      <c r="F153" s="113">
        <v>0.01</v>
      </c>
      <c r="I153" s="115"/>
    </row>
    <row r="154" spans="2:9" ht="14">
      <c r="B154" s="414" t="s">
        <v>114</v>
      </c>
      <c r="C154" s="413"/>
      <c r="D154" s="413"/>
      <c r="E154" s="413"/>
      <c r="F154" s="113">
        <v>-0.01</v>
      </c>
      <c r="I154" s="115"/>
    </row>
    <row r="155" spans="2:9" ht="14">
      <c r="B155" s="414"/>
      <c r="C155" s="413"/>
      <c r="D155" s="413"/>
      <c r="E155" s="413"/>
      <c r="F155" s="113"/>
      <c r="I155" s="115"/>
    </row>
    <row r="156" spans="2:9" ht="14">
      <c r="B156" s="118" t="s">
        <v>120</v>
      </c>
      <c r="C156" s="427"/>
      <c r="D156" s="427"/>
      <c r="E156" s="413"/>
      <c r="F156" s="109"/>
      <c r="I156" s="115"/>
    </row>
    <row r="157" spans="2:9" ht="14">
      <c r="B157" s="416" t="s">
        <v>89</v>
      </c>
      <c r="C157" s="417"/>
      <c r="D157" s="417"/>
      <c r="E157" s="413"/>
      <c r="F157" s="109"/>
      <c r="I157" s="115"/>
    </row>
    <row r="158" spans="2:9" ht="14">
      <c r="B158" s="414" t="s">
        <v>121</v>
      </c>
      <c r="C158" s="413"/>
      <c r="D158" s="413"/>
      <c r="E158" s="413"/>
      <c r="F158" s="113">
        <v>-0.02</v>
      </c>
      <c r="I158" s="115"/>
    </row>
    <row r="159" spans="2:9" ht="14">
      <c r="B159" s="710" t="s">
        <v>122</v>
      </c>
      <c r="C159" s="709"/>
      <c r="D159" s="709"/>
      <c r="E159" s="413"/>
      <c r="F159" s="113">
        <v>0.02</v>
      </c>
      <c r="I159" s="115"/>
    </row>
    <row r="160" spans="2:9" ht="14">
      <c r="B160" s="713" t="s">
        <v>123</v>
      </c>
      <c r="C160" s="714"/>
      <c r="D160" s="714"/>
      <c r="E160" s="413"/>
      <c r="F160" s="109"/>
      <c r="I160" s="115"/>
    </row>
    <row r="161" spans="2:9" ht="14">
      <c r="B161" s="710" t="s">
        <v>121</v>
      </c>
      <c r="C161" s="709"/>
      <c r="D161" s="709"/>
      <c r="E161" s="413"/>
      <c r="F161" s="113">
        <v>-0.02</v>
      </c>
      <c r="I161" s="115"/>
    </row>
    <row r="162" spans="2:9" ht="14">
      <c r="B162" s="710" t="s">
        <v>122</v>
      </c>
      <c r="C162" s="709"/>
      <c r="D162" s="709"/>
      <c r="E162" s="413"/>
      <c r="F162" s="113">
        <v>0.02</v>
      </c>
      <c r="I162" s="115"/>
    </row>
    <row r="163" spans="2:9" ht="14">
      <c r="B163" s="119" t="s">
        <v>2</v>
      </c>
      <c r="C163" s="413"/>
      <c r="D163" s="413"/>
      <c r="E163" s="413"/>
      <c r="F163" s="109"/>
      <c r="I163" s="115"/>
    </row>
    <row r="164" spans="2:9" ht="14">
      <c r="B164" s="713" t="s">
        <v>124</v>
      </c>
      <c r="C164" s="714"/>
      <c r="D164" s="714"/>
      <c r="E164" s="413"/>
      <c r="F164" s="112"/>
      <c r="I164" s="115"/>
    </row>
    <row r="165" spans="2:9" ht="14">
      <c r="B165" s="710" t="s">
        <v>113</v>
      </c>
      <c r="C165" s="709"/>
      <c r="D165" s="709"/>
      <c r="E165" s="413"/>
      <c r="F165" s="113">
        <v>0.01</v>
      </c>
      <c r="I165" s="115"/>
    </row>
    <row r="166" spans="2:9" ht="14">
      <c r="B166" s="710" t="s">
        <v>114</v>
      </c>
      <c r="C166" s="709"/>
      <c r="D166" s="709"/>
      <c r="E166" s="413"/>
      <c r="F166" s="113">
        <v>-0.01</v>
      </c>
      <c r="I166" s="115"/>
    </row>
    <row r="167" spans="2:9" ht="14">
      <c r="B167" s="713" t="s">
        <v>125</v>
      </c>
      <c r="C167" s="714"/>
      <c r="D167" s="714"/>
      <c r="E167" s="413"/>
      <c r="F167" s="112"/>
      <c r="I167" s="115"/>
    </row>
    <row r="168" spans="2:9" ht="14">
      <c r="B168" s="710" t="s">
        <v>126</v>
      </c>
      <c r="C168" s="709"/>
      <c r="D168" s="709"/>
      <c r="E168" s="413"/>
      <c r="F168" s="113">
        <v>-0.01</v>
      </c>
      <c r="I168" s="115"/>
    </row>
    <row r="169" spans="2:9" ht="15" thickBot="1">
      <c r="B169" s="715" t="s">
        <v>122</v>
      </c>
      <c r="C169" s="716"/>
      <c r="D169" s="716"/>
      <c r="E169" s="418" t="s">
        <v>2</v>
      </c>
      <c r="F169" s="114">
        <v>5.0000000000000001E-4</v>
      </c>
      <c r="I169" s="115"/>
    </row>
    <row r="170" spans="2:9">
      <c r="I170" s="115"/>
    </row>
    <row r="171" spans="2:9">
      <c r="I171" s="115"/>
    </row>
    <row r="172" spans="2:9">
      <c r="I172" s="115"/>
    </row>
    <row r="173" spans="2:9">
      <c r="I173" s="115"/>
    </row>
    <row r="174" spans="2:9">
      <c r="I174" s="115"/>
    </row>
    <row r="175" spans="2:9">
      <c r="I175" s="115"/>
    </row>
    <row r="176" spans="2:9">
      <c r="I176" s="115"/>
    </row>
    <row r="177" spans="1:9">
      <c r="I177" s="115"/>
    </row>
    <row r="178" spans="1:9">
      <c r="I178" s="115"/>
    </row>
    <row r="181" spans="1:9" ht="13">
      <c r="C181" s="120"/>
      <c r="D181" s="121"/>
    </row>
    <row r="182" spans="1:9" ht="16">
      <c r="C182" s="120"/>
      <c r="D182" s="428"/>
    </row>
    <row r="184" spans="1:9" ht="14">
      <c r="A184" s="90"/>
    </row>
    <row r="185" spans="1:9" ht="14">
      <c r="A185" s="90"/>
    </row>
    <row r="186" spans="1:9" ht="14">
      <c r="A186" s="90"/>
      <c r="I186" s="97"/>
    </row>
    <row r="187" spans="1:9" ht="14">
      <c r="A187" s="93"/>
      <c r="I187" s="97"/>
    </row>
    <row r="188" spans="1:9" ht="14">
      <c r="A188" s="93"/>
      <c r="I188" s="97"/>
    </row>
    <row r="189" spans="1:9" ht="14">
      <c r="A189" s="93"/>
    </row>
    <row r="190" spans="1:9" ht="14">
      <c r="A190" s="93"/>
    </row>
    <row r="191" spans="1:9" ht="14">
      <c r="A191" s="93"/>
    </row>
    <row r="192" spans="1:9" ht="14">
      <c r="A192" s="104"/>
    </row>
    <row r="193" spans="1:1" ht="14">
      <c r="A193" s="105"/>
    </row>
    <row r="194" spans="1:1" ht="14">
      <c r="A194" s="105"/>
    </row>
    <row r="195" spans="1:1" ht="14">
      <c r="A195" s="105"/>
    </row>
    <row r="196" spans="1:1" ht="14">
      <c r="A196" s="105"/>
    </row>
  </sheetData>
  <mergeCells count="39">
    <mergeCell ref="B47:D47"/>
    <mergeCell ref="B19:C19"/>
    <mergeCell ref="B20:D20"/>
    <mergeCell ref="B39:C39"/>
    <mergeCell ref="B40:D40"/>
    <mergeCell ref="B46:C46"/>
    <mergeCell ref="G81:H81"/>
    <mergeCell ref="B75:C75"/>
    <mergeCell ref="B53:C53"/>
    <mergeCell ref="B54:D54"/>
    <mergeCell ref="C7:D7"/>
    <mergeCell ref="C8:F8"/>
    <mergeCell ref="B14:C14"/>
    <mergeCell ref="B15:D15"/>
    <mergeCell ref="B13:D13"/>
    <mergeCell ref="B24:C24"/>
    <mergeCell ref="B25:D25"/>
    <mergeCell ref="B26:C26"/>
    <mergeCell ref="B27:D27"/>
    <mergeCell ref="B31:C31"/>
    <mergeCell ref="B32:D32"/>
    <mergeCell ref="B12:C12"/>
    <mergeCell ref="B166:D166"/>
    <mergeCell ref="B167:D167"/>
    <mergeCell ref="B168:D168"/>
    <mergeCell ref="B169:D169"/>
    <mergeCell ref="B161:D161"/>
    <mergeCell ref="B162:D162"/>
    <mergeCell ref="B164:D164"/>
    <mergeCell ref="B82:C82"/>
    <mergeCell ref="B83:D83"/>
    <mergeCell ref="B159:D159"/>
    <mergeCell ref="B76:D76"/>
    <mergeCell ref="B165:D165"/>
    <mergeCell ref="B94:C94"/>
    <mergeCell ref="B95:C95"/>
    <mergeCell ref="B96:D96"/>
    <mergeCell ref="B97:C97"/>
    <mergeCell ref="B160:D160"/>
  </mergeCells>
  <pageMargins left="0.7" right="0.7" top="0.75" bottom="0.75" header="0.3" footer="0.3"/>
  <pageSetup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86787-3841-9247-A5A4-C6F520EEEE97}">
  <dimension ref="A1:L364"/>
  <sheetViews>
    <sheetView showGridLines="0" topLeftCell="A313" workbookViewId="0">
      <extLst>
        <ext xmlns:xlsdti="http://schemas.microsoft.com/office/spreadsheetml/2023/showDataTypeIcons" uri="{77bfe23e-c014-4d31-8a63-9c772dbf06b6}">
          <xlsdti:showDataTypeIcons visible="0"/>
        </ext>
      </extLst>
    </sheetView>
  </sheetViews>
  <sheetFormatPr baseColWidth="10" defaultColWidth="11" defaultRowHeight="16"/>
  <cols>
    <col min="1" max="1" width="56.1640625" bestFit="1" customWidth="1"/>
    <col min="2" max="2" width="16.83203125" customWidth="1"/>
    <col min="3" max="3" width="14.6640625" customWidth="1"/>
    <col min="4" max="4" width="15.1640625" customWidth="1"/>
    <col min="5" max="6" width="10.1640625" customWidth="1"/>
    <col min="7" max="9" width="11" customWidth="1"/>
  </cols>
  <sheetData>
    <row r="1" spans="1:12" ht="13" customHeight="1"/>
    <row r="2" spans="1:12" ht="20" customHeight="1">
      <c r="A2" s="562" t="s">
        <v>860</v>
      </c>
      <c r="B2" s="563">
        <f>'Data Source'!E227</f>
        <v>2023</v>
      </c>
      <c r="C2" s="563">
        <f>'Data Source'!F227</f>
        <v>2024</v>
      </c>
      <c r="D2" s="563">
        <f>'Data Source'!G227</f>
        <v>2025</v>
      </c>
      <c r="E2" s="564">
        <f>D2+1</f>
        <v>2026</v>
      </c>
      <c r="F2" s="564">
        <f>E2+1</f>
        <v>2027</v>
      </c>
      <c r="G2" s="564">
        <f>F2+1</f>
        <v>2028</v>
      </c>
      <c r="H2" s="564">
        <f>G2+1</f>
        <v>2029</v>
      </c>
      <c r="I2" s="565">
        <f>H2+1</f>
        <v>2030</v>
      </c>
    </row>
    <row r="3" spans="1:12">
      <c r="A3" s="566" t="s">
        <v>859</v>
      </c>
      <c r="B3" s="567"/>
      <c r="C3" s="567"/>
      <c r="D3" s="567"/>
      <c r="E3" s="568"/>
      <c r="F3" s="568"/>
      <c r="G3" s="568"/>
      <c r="H3" s="568"/>
      <c r="I3" s="569"/>
    </row>
    <row r="4" spans="1:12" s="40" customFormat="1">
      <c r="A4" s="106" t="s">
        <v>630</v>
      </c>
      <c r="B4" s="580">
        <f>'Data Source'!E182</f>
        <v>4571.2</v>
      </c>
      <c r="C4" s="580">
        <f>'Data Source'!F182</f>
        <v>4732.3</v>
      </c>
      <c r="D4" s="580">
        <f>'Data Source'!G182</f>
        <v>4774.8</v>
      </c>
      <c r="E4" s="453">
        <f>D4*(1+E5)</f>
        <v>4777.0373600000003</v>
      </c>
      <c r="F4" s="453">
        <f t="shared" ref="F4:I4" si="0">E4*(1+F5)</f>
        <v>4973.8512992320002</v>
      </c>
      <c r="G4" s="453">
        <f t="shared" si="0"/>
        <v>5178.7739727603584</v>
      </c>
      <c r="H4" s="453">
        <f t="shared" si="0"/>
        <v>5392.1394604380848</v>
      </c>
      <c r="I4" s="453">
        <f t="shared" si="0"/>
        <v>5614.295606208133</v>
      </c>
    </row>
    <row r="5" spans="1:12" s="40" customFormat="1">
      <c r="A5" s="107" t="s">
        <v>128</v>
      </c>
      <c r="B5" s="581">
        <f>'Data Source'!E187</f>
        <v>0.10700000000000001</v>
      </c>
      <c r="C5" s="581">
        <f>'Data Source'!F187</f>
        <v>3.5000000000000003E-2</v>
      </c>
      <c r="D5" s="581">
        <f>'Data Source'!G187</f>
        <v>9.0000000000000011E-3</v>
      </c>
      <c r="E5" s="132">
        <f>'Assumption table'!E39</f>
        <v>4.685766943118147E-4</v>
      </c>
      <c r="F5" s="132">
        <f>'Assumption table'!$F$39</f>
        <v>4.1200000000000007E-2</v>
      </c>
      <c r="G5" s="132">
        <f>'Assumption table'!$F$39</f>
        <v>4.1200000000000007E-2</v>
      </c>
      <c r="H5" s="132">
        <f>'Assumption table'!$F$39</f>
        <v>4.1200000000000007E-2</v>
      </c>
      <c r="I5" s="132">
        <f>'Assumption table'!$F$39</f>
        <v>4.1200000000000007E-2</v>
      </c>
    </row>
    <row r="6" spans="1:12">
      <c r="A6" s="1" t="s">
        <v>129</v>
      </c>
      <c r="B6" s="582">
        <f>'Data Source'!E188</f>
        <v>442.01700000000005</v>
      </c>
      <c r="C6" s="582">
        <f>'Data Source'!F188</f>
        <v>159.99200000000002</v>
      </c>
      <c r="D6" s="582">
        <f>'Data Source'!G188</f>
        <v>42.590700000000005</v>
      </c>
      <c r="E6" s="144">
        <f>SUM(E7:E10)</f>
        <v>2.2373600000000238</v>
      </c>
      <c r="F6" s="144">
        <f>SUM(F7:F10)</f>
        <v>196.81393923200002</v>
      </c>
      <c r="G6" s="144">
        <f t="shared" ref="G6:I6" si="1">SUM(G7:G10)</f>
        <v>204.92267352835844</v>
      </c>
      <c r="H6" s="144">
        <f t="shared" si="1"/>
        <v>213.3654876777268</v>
      </c>
      <c r="I6" s="144">
        <f t="shared" si="1"/>
        <v>222.15614577004914</v>
      </c>
      <c r="J6" s="87"/>
      <c r="K6" s="87"/>
      <c r="L6" s="87"/>
    </row>
    <row r="7" spans="1:12">
      <c r="A7" s="89" t="s">
        <v>130</v>
      </c>
      <c r="B7" s="582">
        <f>'Data Source'!E189</f>
        <v>41.31</v>
      </c>
      <c r="C7" s="582">
        <f>'Data Source'!F189</f>
        <v>127.9936</v>
      </c>
      <c r="D7" s="582">
        <f>'Data Source'!G189</f>
        <v>0</v>
      </c>
      <c r="E7" s="144">
        <f>D$4*'Scenarios Table'!G12</f>
        <v>50.135400000000004</v>
      </c>
      <c r="F7" s="144">
        <f>E$4*'Scenarios Table'!$H$12</f>
        <v>47.770373600000006</v>
      </c>
      <c r="G7" s="144">
        <f>F$4*'Scenarios Table'!$H$12</f>
        <v>49.738512992320004</v>
      </c>
      <c r="H7" s="144">
        <f>G$4*'Scenarios Table'!$H$12</f>
        <v>51.787739727603586</v>
      </c>
      <c r="I7" s="144">
        <f>H$4*'Scenarios Table'!$H$12</f>
        <v>53.921394604380851</v>
      </c>
    </row>
    <row r="8" spans="1:12" s="40" customFormat="1">
      <c r="A8" s="89" t="s">
        <v>115</v>
      </c>
      <c r="B8" s="582">
        <f>'Data Source'!E190</f>
        <v>194.15700000000001</v>
      </c>
      <c r="C8" s="582">
        <f>'Data Source'!F190</f>
        <v>31.9984</v>
      </c>
      <c r="D8" s="582">
        <f>'Data Source'!G190</f>
        <v>-23.6615</v>
      </c>
      <c r="E8" s="144">
        <f>D$4*'Scenarios Table'!G19</f>
        <v>148.97376000000003</v>
      </c>
      <c r="F8" s="144">
        <f>E$4*'Scenarios Table'!$H$19</f>
        <v>149.04356563200002</v>
      </c>
      <c r="G8" s="144">
        <f>F$4*'Scenarios Table'!$H$19</f>
        <v>155.18416053603843</v>
      </c>
      <c r="H8" s="144">
        <f>G$4*'Scenarios Table'!$H$19</f>
        <v>161.57774795012321</v>
      </c>
      <c r="I8" s="144">
        <f>H$4*'Scenarios Table'!$H$19</f>
        <v>168.23475116566829</v>
      </c>
    </row>
    <row r="9" spans="1:12" s="40" customFormat="1">
      <c r="A9" s="89" t="s">
        <v>57</v>
      </c>
      <c r="B9" s="582">
        <f>'Data Source'!E191</f>
        <v>206.55</v>
      </c>
      <c r="C9" s="582">
        <f>'Data Source'!F191</f>
        <v>0</v>
      </c>
      <c r="D9" s="582">
        <f>'Data Source'!G191</f>
        <v>104.11060000000002</v>
      </c>
      <c r="E9" s="144">
        <f>D$4*'Scenarios Table'!G26</f>
        <v>123.03980000000003</v>
      </c>
      <c r="F9" s="144">
        <f>E$4*'Scenarios Table'!$H$26</f>
        <v>0</v>
      </c>
      <c r="G9" s="144">
        <f>F$4*'Scenarios Table'!$H$26</f>
        <v>0</v>
      </c>
      <c r="H9" s="144">
        <f>G$4*'Scenarios Table'!$H$26</f>
        <v>0</v>
      </c>
      <c r="I9" s="144">
        <f>H$4*'Scenarios Table'!$H$26</f>
        <v>0</v>
      </c>
    </row>
    <row r="10" spans="1:12">
      <c r="A10" s="89" t="s">
        <v>61</v>
      </c>
      <c r="B10" s="582">
        <f>'Data Source'!E192</f>
        <v>0</v>
      </c>
      <c r="C10" s="582">
        <f>'Data Source'!F192</f>
        <v>0</v>
      </c>
      <c r="D10" s="582">
        <f>'Data Source'!G192</f>
        <v>-37.858400000000003</v>
      </c>
      <c r="E10" s="144">
        <f>D$4*'Scenarios Table'!G33</f>
        <v>-319.91160000000002</v>
      </c>
      <c r="F10" s="144">
        <f>E$4*'Scenarios Table'!$H$33</f>
        <v>0</v>
      </c>
      <c r="G10" s="144">
        <f>F$4*'Scenarios Table'!$H$33</f>
        <v>0</v>
      </c>
      <c r="H10" s="144">
        <f>G$4*'Scenarios Table'!$H$33</f>
        <v>0</v>
      </c>
      <c r="I10" s="144">
        <f>H$4*'Scenarios Table'!$H$33</f>
        <v>0</v>
      </c>
    </row>
    <row r="11" spans="1:12">
      <c r="A11" s="139" t="s">
        <v>131</v>
      </c>
      <c r="B11" s="582"/>
      <c r="C11" s="582"/>
      <c r="D11" s="582"/>
      <c r="E11" s="466">
        <f>(E6/D4)-E5</f>
        <v>-6.1257422745431001E-18</v>
      </c>
      <c r="F11" s="466">
        <f t="shared" ref="F11:I11" si="2">(F6/E4)-F5</f>
        <v>0</v>
      </c>
      <c r="G11" s="466">
        <f t="shared" si="2"/>
        <v>0</v>
      </c>
      <c r="H11" s="466">
        <f t="shared" si="2"/>
        <v>0</v>
      </c>
      <c r="I11" s="466">
        <f t="shared" si="2"/>
        <v>0</v>
      </c>
    </row>
    <row r="12" spans="1:12">
      <c r="A12" s="1"/>
      <c r="B12" s="583"/>
      <c r="C12" s="584"/>
      <c r="D12" s="584"/>
      <c r="E12" s="124"/>
      <c r="F12" s="124"/>
      <c r="G12" s="124"/>
      <c r="H12" s="124"/>
      <c r="I12" s="3"/>
    </row>
    <row r="13" spans="1:12">
      <c r="A13" s="570" t="s">
        <v>861</v>
      </c>
      <c r="B13" s="585"/>
      <c r="C13" s="585"/>
      <c r="D13" s="585"/>
      <c r="E13" s="571"/>
      <c r="F13" s="571"/>
      <c r="G13" s="571"/>
      <c r="H13" s="571"/>
      <c r="I13" s="572"/>
    </row>
    <row r="14" spans="1:12" s="40" customFormat="1">
      <c r="A14" s="106" t="s">
        <v>630</v>
      </c>
      <c r="B14" s="580">
        <f>'Data Source'!E197</f>
        <v>975.7</v>
      </c>
      <c r="C14" s="580">
        <f>'Data Source'!F197</f>
        <v>1071.5</v>
      </c>
      <c r="D14" s="580">
        <f>'Data Source'!G197</f>
        <v>1129.4000000000001</v>
      </c>
      <c r="E14" s="453">
        <f>D14*(1+E15)</f>
        <v>1170.9758218181821</v>
      </c>
      <c r="F14" s="453">
        <f>E14*(1+F15)</f>
        <v>1243.1079324421823</v>
      </c>
      <c r="G14" s="453">
        <f>F14*(1+G15)</f>
        <v>1319.6833810806208</v>
      </c>
      <c r="H14" s="453">
        <f>G14*(1+H15)</f>
        <v>1400.9758773551873</v>
      </c>
      <c r="I14" s="453">
        <f>H14*(1+I15)</f>
        <v>1487.275991400267</v>
      </c>
    </row>
    <row r="15" spans="1:12" s="40" customFormat="1">
      <c r="A15" s="107" t="s">
        <v>128</v>
      </c>
      <c r="B15" s="581">
        <f>'Data Source'!E203</f>
        <v>8.8999999999999996E-2</v>
      </c>
      <c r="C15" s="581">
        <f>'Data Source'!F203</f>
        <v>9.799999999999999E-2</v>
      </c>
      <c r="D15" s="581">
        <f>'Data Source'!G203</f>
        <v>5.3999999999999999E-2</v>
      </c>
      <c r="E15" s="132">
        <f>'Assumption table'!E40</f>
        <v>3.681230902973421E-2</v>
      </c>
      <c r="F15" s="132">
        <f>'Assumption table'!$F$40</f>
        <v>6.1599999999999995E-2</v>
      </c>
      <c r="G15" s="132">
        <f>'Assumption table'!$F$40</f>
        <v>6.1599999999999995E-2</v>
      </c>
      <c r="H15" s="132">
        <f>'Assumption table'!$F$40</f>
        <v>6.1599999999999995E-2</v>
      </c>
      <c r="I15" s="132">
        <f>'Assumption table'!$F$40</f>
        <v>6.1599999999999995E-2</v>
      </c>
    </row>
    <row r="16" spans="1:12">
      <c r="A16" s="1" t="s">
        <v>129</v>
      </c>
      <c r="B16" s="582">
        <f>'Data Source'!E204</f>
        <v>79.752899999999997</v>
      </c>
      <c r="C16" s="582">
        <f>'Data Source'!F204</f>
        <v>95.618600000000001</v>
      </c>
      <c r="D16" s="582">
        <f>'Data Source'!G204</f>
        <v>57.860999999999997</v>
      </c>
      <c r="E16" s="144">
        <f>SUM(E17:E21)</f>
        <v>41.575821818181822</v>
      </c>
      <c r="F16" s="144">
        <f>SUM(F17:F21)</f>
        <v>72.132110624000006</v>
      </c>
      <c r="G16" s="144">
        <f>SUM(G17:G21)</f>
        <v>76.575448638438417</v>
      </c>
      <c r="H16" s="144">
        <f>SUM(H17:H21)</f>
        <v>81.292496274566233</v>
      </c>
      <c r="I16" s="144">
        <f>SUM(I17:I21)</f>
        <v>86.300114045079539</v>
      </c>
    </row>
    <row r="17" spans="1:9">
      <c r="A17" s="89" t="s">
        <v>133</v>
      </c>
      <c r="B17" s="582">
        <f>'Data Source'!E205</f>
        <v>30.467400000000001</v>
      </c>
      <c r="C17" s="582">
        <f>'Data Source'!F205</f>
        <v>55.614900000000006</v>
      </c>
      <c r="D17" s="582">
        <f>'Data Source'!G205</f>
        <v>52.503500000000003</v>
      </c>
      <c r="E17" s="144">
        <f>D$14*'Scenarios Table'!G42</f>
        <v>39.75488</v>
      </c>
      <c r="F17" s="144">
        <f>E$14*'Scenarios Table'!$H$42</f>
        <v>41.218348928000005</v>
      </c>
      <c r="G17" s="144">
        <f>F$14*'Scenarios Table'!$H$42</f>
        <v>43.75739922196481</v>
      </c>
      <c r="H17" s="144">
        <f>G$14*'Scenarios Table'!$H$42</f>
        <v>46.452855014037844</v>
      </c>
      <c r="I17" s="144">
        <f>H$14*'Scenarios Table'!$H$42</f>
        <v>49.314350882902588</v>
      </c>
    </row>
    <row r="18" spans="1:9">
      <c r="A18" s="89" t="s">
        <v>115</v>
      </c>
      <c r="B18" s="582">
        <f>'Data Source'!E206</f>
        <v>45.701099999999997</v>
      </c>
      <c r="C18" s="582">
        <f>'Data Source'!F206</f>
        <v>32.198100000000004</v>
      </c>
      <c r="D18" s="582">
        <f>'Data Source'!G206</f>
        <v>6.4290000000000003</v>
      </c>
      <c r="E18" s="144">
        <f>D$14*'Scenarios Table'!G49</f>
        <v>29.816160000000004</v>
      </c>
      <c r="F18" s="144">
        <f>E$14*'Scenarios Table'!$H$49</f>
        <v>30.913761696000009</v>
      </c>
      <c r="G18" s="144">
        <f>F$14*'Scenarios Table'!$H$49</f>
        <v>32.818049416473613</v>
      </c>
      <c r="H18" s="144">
        <f>G$14*'Scenarios Table'!$H$49</f>
        <v>34.839641260528389</v>
      </c>
      <c r="I18" s="144">
        <f>H$14*'Scenarios Table'!$H$49</f>
        <v>36.985763162176944</v>
      </c>
    </row>
    <row r="19" spans="1:9">
      <c r="A19" s="89" t="s">
        <v>134</v>
      </c>
      <c r="B19" s="582">
        <f>'Data Source'!E207</f>
        <v>0.89610000000000001</v>
      </c>
      <c r="C19" s="582">
        <f>'Data Source'!F207</f>
        <v>-1.9514</v>
      </c>
      <c r="D19" s="582">
        <f>'Data Source'!G207</f>
        <v>-2.1430000000000002</v>
      </c>
      <c r="E19" s="144">
        <f>D$14*'Assumption table'!E36</f>
        <v>0</v>
      </c>
      <c r="F19" s="144">
        <f>E$14*'Assumption table'!$F$36</f>
        <v>0</v>
      </c>
      <c r="G19" s="144">
        <f>F$14*'Assumption table'!$F$36</f>
        <v>0</v>
      </c>
      <c r="H19" s="144">
        <f>G$14*'Assumption table'!$F$36</f>
        <v>0</v>
      </c>
      <c r="I19" s="144">
        <f>H$14*'Assumption table'!$F$36</f>
        <v>0</v>
      </c>
    </row>
    <row r="20" spans="1:9">
      <c r="A20" s="89" t="s">
        <v>57</v>
      </c>
      <c r="B20" s="582">
        <f>'Data Source'!E209</f>
        <v>2.6882999999999999</v>
      </c>
      <c r="C20" s="582">
        <f>'Data Source'!F209</f>
        <v>9.7570000000000014</v>
      </c>
      <c r="D20" s="582">
        <f>'Data Source'!G209</f>
        <v>10.715</v>
      </c>
      <c r="E20" s="144">
        <f>D$14*'Scenarios Table'!G56</f>
        <v>12.663181818181819</v>
      </c>
      <c r="F20" s="144">
        <f>E$14*'Scenarios Table'!$H$56</f>
        <v>0</v>
      </c>
      <c r="G20" s="144">
        <f>F$14*'Scenarios Table'!$H$56</f>
        <v>0</v>
      </c>
      <c r="H20" s="144">
        <f>G$14*'Scenarios Table'!$H$56</f>
        <v>0</v>
      </c>
      <c r="I20" s="144">
        <f>H$14*'Scenarios Table'!$H$56</f>
        <v>0</v>
      </c>
    </row>
    <row r="21" spans="1:9">
      <c r="A21" s="89" t="s">
        <v>61</v>
      </c>
      <c r="B21" s="582">
        <f>'Data Source'!E208</f>
        <v>0</v>
      </c>
      <c r="C21" s="582">
        <f>'Data Source'!F208</f>
        <v>0</v>
      </c>
      <c r="D21" s="582">
        <f>'Data Source'!G208</f>
        <v>-9.6435000000000013</v>
      </c>
      <c r="E21" s="144">
        <f>D$14*'Scenarios Table'!G63</f>
        <v>-40.6584</v>
      </c>
      <c r="F21" s="144">
        <f>E$14*'Scenarios Table'!$H$63</f>
        <v>0</v>
      </c>
      <c r="G21" s="144">
        <f>F$14*'Scenarios Table'!$H$63</f>
        <v>0</v>
      </c>
      <c r="H21" s="144">
        <f>G$14*'Scenarios Table'!$H$63</f>
        <v>0</v>
      </c>
      <c r="I21" s="144">
        <f>H$14*'Scenarios Table'!$H$63</f>
        <v>0</v>
      </c>
    </row>
    <row r="22" spans="1:9">
      <c r="A22" s="139" t="s">
        <v>131</v>
      </c>
      <c r="B22" s="582"/>
      <c r="C22" s="582"/>
      <c r="D22" s="582"/>
      <c r="E22" s="466">
        <f>(E16/D14)-E15</f>
        <v>0</v>
      </c>
      <c r="F22" s="466">
        <f>(F16/E14)-F15</f>
        <v>0</v>
      </c>
      <c r="G22" s="466">
        <f>(G16/F14)-G15</f>
        <v>0</v>
      </c>
      <c r="H22" s="466">
        <f>(H16/G14)-H15</f>
        <v>0</v>
      </c>
      <c r="I22" s="466">
        <f>(I16/H14)-I15</f>
        <v>0</v>
      </c>
    </row>
    <row r="23" spans="1:9">
      <c r="A23" s="135"/>
      <c r="B23" s="583"/>
      <c r="C23" s="584"/>
      <c r="D23" s="584"/>
      <c r="E23" s="124"/>
      <c r="F23" s="124"/>
      <c r="G23" s="124"/>
      <c r="H23" s="124"/>
      <c r="I23" s="3"/>
    </row>
    <row r="24" spans="1:9">
      <c r="A24" s="570" t="s">
        <v>49</v>
      </c>
      <c r="B24" s="585"/>
      <c r="C24" s="585"/>
      <c r="D24" s="585"/>
      <c r="E24" s="571"/>
      <c r="F24" s="571"/>
      <c r="G24" s="571"/>
      <c r="H24" s="571"/>
      <c r="I24" s="572"/>
    </row>
    <row r="25" spans="1:9">
      <c r="A25" s="106" t="s">
        <v>630</v>
      </c>
      <c r="B25" s="580">
        <f>'Data Source'!E214</f>
        <v>321</v>
      </c>
      <c r="C25" s="580">
        <f>'Data Source'!F214</f>
        <v>303.3</v>
      </c>
      <c r="D25" s="580">
        <f>'Data Source'!G214</f>
        <v>299</v>
      </c>
      <c r="E25" s="453">
        <f>D25*(1+E26)</f>
        <v>312.9932</v>
      </c>
      <c r="F25" s="453">
        <f t="shared" ref="F25" si="3">E25*(1+F26)</f>
        <v>326.23281236000003</v>
      </c>
      <c r="G25" s="453">
        <f t="shared" ref="G25" si="4">F25*(1+G26)</f>
        <v>340.032460322828</v>
      </c>
      <c r="H25" s="453">
        <f t="shared" ref="H25" si="5">G25*(1+H26)</f>
        <v>354.41583339448363</v>
      </c>
      <c r="I25" s="453">
        <f t="shared" ref="I25" si="6">H25*(1+I26)</f>
        <v>369.4076231470703</v>
      </c>
    </row>
    <row r="26" spans="1:9">
      <c r="A26" s="107" t="s">
        <v>128</v>
      </c>
      <c r="B26" s="581">
        <f>'Data Source'!E219</f>
        <v>-7.9000000000000001E-2</v>
      </c>
      <c r="C26" s="581">
        <f>'Data Source'!F219</f>
        <v>-5.4999999999999993E-2</v>
      </c>
      <c r="D26" s="581">
        <f>'Data Source'!G219</f>
        <v>-1.3999999999999999E-2</v>
      </c>
      <c r="E26" s="132">
        <f>'Assumption table'!E41</f>
        <v>4.6799999999999987E-2</v>
      </c>
      <c r="F26" s="132">
        <f>'Assumption table'!$F$41</f>
        <v>4.229999999999999E-2</v>
      </c>
      <c r="G26" s="132">
        <f>'Assumption table'!$F$41</f>
        <v>4.229999999999999E-2</v>
      </c>
      <c r="H26" s="132">
        <f>'Assumption table'!$F$41</f>
        <v>4.229999999999999E-2</v>
      </c>
      <c r="I26" s="132">
        <f>'Assumption table'!$F$41</f>
        <v>4.229999999999999E-2</v>
      </c>
    </row>
    <row r="27" spans="1:9">
      <c r="A27" s="1" t="s">
        <v>129</v>
      </c>
      <c r="B27" s="582">
        <f>'Data Source'!E220</f>
        <v>-27.531500000000001</v>
      </c>
      <c r="C27" s="582">
        <f>'Data Source'!F220</f>
        <v>-17.654999999999998</v>
      </c>
      <c r="D27" s="582">
        <f>'Data Source'!G220</f>
        <v>-4.2462</v>
      </c>
      <c r="E27" s="144">
        <f t="shared" ref="E27:F27" si="7">SUM(E28:E31)</f>
        <v>13.993199999999998</v>
      </c>
      <c r="F27" s="144">
        <f t="shared" si="7"/>
        <v>13.239612359999997</v>
      </c>
      <c r="G27" s="144">
        <f t="shared" ref="G27" si="8">SUM(G28:G31)</f>
        <v>13.799647962827999</v>
      </c>
      <c r="H27" s="144">
        <f t="shared" ref="H27" si="9">SUM(H28:H31)</f>
        <v>14.383373071655621</v>
      </c>
      <c r="I27" s="144">
        <f t="shared" ref="I27" si="10">SUM(I28:I31)</f>
        <v>14.991789752586653</v>
      </c>
    </row>
    <row r="28" spans="1:9">
      <c r="A28" s="89" t="s">
        <v>130</v>
      </c>
      <c r="B28" s="582">
        <f>'Data Source'!E221</f>
        <v>-25.091999999999999</v>
      </c>
      <c r="C28" s="582">
        <f>'Data Source'!F221</f>
        <v>12.84</v>
      </c>
      <c r="D28" s="582">
        <f>'Data Source'!G221</f>
        <v>0.90990000000000004</v>
      </c>
      <c r="E28" s="144">
        <f>D$25*'Scenarios Table'!G72</f>
        <v>1.4950000000000001</v>
      </c>
      <c r="F28" s="144">
        <f>E$25*'Scenarios Table'!$H$72</f>
        <v>0.15649660000000001</v>
      </c>
      <c r="G28" s="144">
        <f>F$25*'Scenarios Table'!$H$72</f>
        <v>0.16311640618000001</v>
      </c>
      <c r="H28" s="144">
        <f>G$25*'Scenarios Table'!$H$72</f>
        <v>0.17001623016141401</v>
      </c>
      <c r="I28" s="144">
        <f>H$25*'Scenarios Table'!$H$72</f>
        <v>0.17720791669724181</v>
      </c>
    </row>
    <row r="29" spans="1:9">
      <c r="A29" s="89" t="s">
        <v>115</v>
      </c>
      <c r="B29" s="582">
        <f>'Data Source'!E222</f>
        <v>-2.4395000000000002</v>
      </c>
      <c r="C29" s="582">
        <f>'Data Source'!F222</f>
        <v>9.9510000000000005</v>
      </c>
      <c r="D29" s="582">
        <f>'Data Source'!G222</f>
        <v>6.9759000000000002</v>
      </c>
      <c r="E29" s="144">
        <f>D$25*'Scenarios Table'!G79</f>
        <v>12.498199999999997</v>
      </c>
      <c r="F29" s="144">
        <f>E$25*'Scenarios Table'!$H$79</f>
        <v>13.083115759999997</v>
      </c>
      <c r="G29" s="144">
        <f>F$25*'Scenarios Table'!$H$79</f>
        <v>13.636531556647999</v>
      </c>
      <c r="H29" s="144">
        <f>G$25*'Scenarios Table'!$H$79</f>
        <v>14.213356841494207</v>
      </c>
      <c r="I29" s="144">
        <f>H$25*'Scenarios Table'!$H$79</f>
        <v>14.814581835889411</v>
      </c>
    </row>
    <row r="30" spans="1:9">
      <c r="A30" s="89" t="s">
        <v>57</v>
      </c>
      <c r="B30" s="582">
        <f>'Data Source'!E223</f>
        <v>0</v>
      </c>
      <c r="C30" s="582">
        <f>'Data Source'!F223</f>
        <v>0</v>
      </c>
      <c r="D30" s="582">
        <f>'Data Source'!G223</f>
        <v>0.90990000000000004</v>
      </c>
      <c r="E30" s="144">
        <f>D$25*'Assumption table'!E28</f>
        <v>0</v>
      </c>
      <c r="F30" s="144">
        <f>E$25*'Assumption table'!$F$28</f>
        <v>0</v>
      </c>
      <c r="G30" s="144">
        <f>F$25*'Assumption table'!$F$28</f>
        <v>0</v>
      </c>
      <c r="H30" s="144">
        <f>G$25*'Assumption table'!$F$28</f>
        <v>0</v>
      </c>
      <c r="I30" s="144">
        <f>H$25*'Assumption table'!$F$28</f>
        <v>0</v>
      </c>
    </row>
    <row r="31" spans="1:9">
      <c r="A31" s="89" t="s">
        <v>61</v>
      </c>
      <c r="B31" s="582">
        <f>'Data Source'!E224</f>
        <v>0</v>
      </c>
      <c r="C31" s="582">
        <f>'Data Source'!F224</f>
        <v>-40.445999999999998</v>
      </c>
      <c r="D31" s="582">
        <f>'Data Source'!G224</f>
        <v>-13.0419</v>
      </c>
      <c r="E31" s="144">
        <f>D$25*'Assumption table'!E33</f>
        <v>0</v>
      </c>
      <c r="F31" s="144">
        <f>E$25*'Assumption table'!$F$33</f>
        <v>0</v>
      </c>
      <c r="G31" s="144">
        <f>F$25*'Assumption table'!$F$33</f>
        <v>0</v>
      </c>
      <c r="H31" s="144">
        <f>G$25*'Assumption table'!$F$33</f>
        <v>0</v>
      </c>
      <c r="I31" s="144">
        <f>H$25*'Assumption table'!$F$33</f>
        <v>0</v>
      </c>
    </row>
    <row r="32" spans="1:9">
      <c r="A32" s="139" t="s">
        <v>131</v>
      </c>
      <c r="B32" s="582"/>
      <c r="C32" s="582"/>
      <c r="D32" s="582"/>
      <c r="E32" s="466">
        <f>(E27/D25)-E26</f>
        <v>0</v>
      </c>
      <c r="F32" s="466">
        <f t="shared" ref="F32:I32" si="11">(F27/E25)-F26</f>
        <v>0</v>
      </c>
      <c r="G32" s="466">
        <f t="shared" si="11"/>
        <v>0</v>
      </c>
      <c r="H32" s="466">
        <f t="shared" si="11"/>
        <v>0</v>
      </c>
      <c r="I32" s="466">
        <f t="shared" si="11"/>
        <v>0</v>
      </c>
    </row>
    <row r="33" spans="1:11">
      <c r="A33" s="139"/>
      <c r="B33" s="582"/>
      <c r="C33" s="582"/>
      <c r="D33" s="582"/>
      <c r="E33" s="147"/>
      <c r="F33" s="147"/>
      <c r="G33" s="147"/>
      <c r="H33" s="147"/>
      <c r="I33" s="147"/>
    </row>
    <row r="34" spans="1:11">
      <c r="A34" s="570" t="s">
        <v>706</v>
      </c>
      <c r="B34" s="585"/>
      <c r="C34" s="585"/>
      <c r="D34" s="585"/>
      <c r="E34" s="571"/>
      <c r="F34" s="571"/>
      <c r="G34" s="571"/>
      <c r="H34" s="571"/>
      <c r="I34" s="572"/>
    </row>
    <row r="35" spans="1:11">
      <c r="A35" s="1" t="s">
        <v>78</v>
      </c>
      <c r="B35" s="586">
        <f>'Data Source'!E229</f>
        <v>2484.1</v>
      </c>
      <c r="C35" s="586">
        <f>'Data Source'!F229</f>
        <v>2584.3000000000002</v>
      </c>
      <c r="D35" s="587">
        <f>'Data Source'!G229</f>
        <v>2556.9</v>
      </c>
      <c r="E35" s="32">
        <f>'Assumption table'!$F$46*E37</f>
        <v>2587.728759718626</v>
      </c>
      <c r="F35" s="32">
        <f>'Assumption table'!$F$46*F37</f>
        <v>2694.3431846190333</v>
      </c>
      <c r="G35" s="32">
        <f>'Assumption table'!$F$46*G37</f>
        <v>2805.3501238253371</v>
      </c>
      <c r="H35" s="32">
        <f>'Assumption table'!$F$46*H37</f>
        <v>2920.9305489269409</v>
      </c>
      <c r="I35" s="32">
        <f>'Assumption table'!$F$46*I37</f>
        <v>3041.2728875427306</v>
      </c>
      <c r="K35" s="87"/>
    </row>
    <row r="36" spans="1:11">
      <c r="A36" s="1" t="s">
        <v>81</v>
      </c>
      <c r="B36" s="586">
        <f>'Data Source'!E231</f>
        <v>2087.1</v>
      </c>
      <c r="C36" s="586">
        <f>'Data Source'!F231</f>
        <v>2148</v>
      </c>
      <c r="D36" s="587">
        <f>'Data Source'!G231</f>
        <v>2217.9</v>
      </c>
      <c r="E36" s="32">
        <f>'Assumption table'!$F$47*E37</f>
        <v>2189.3086002813748</v>
      </c>
      <c r="F36" s="32">
        <f>'Assumption table'!$F$47*F37</f>
        <v>2279.5081146129678</v>
      </c>
      <c r="G36" s="32">
        <f>'Assumption table'!$F$47*G37</f>
        <v>2373.4238489350219</v>
      </c>
      <c r="H36" s="32">
        <f>'Assumption table'!$F$47*H37</f>
        <v>2471.2089115111444</v>
      </c>
      <c r="I36" s="32">
        <f>'Assumption table'!$F$47*I37</f>
        <v>2573.0227186654033</v>
      </c>
    </row>
    <row r="37" spans="1:11" s="40" customFormat="1">
      <c r="A37" s="106" t="s">
        <v>127</v>
      </c>
      <c r="B37" s="588">
        <f>'Data Source'!E228</f>
        <v>4571.2</v>
      </c>
      <c r="C37" s="588">
        <f>'Data Source'!F228</f>
        <v>4732.3</v>
      </c>
      <c r="D37" s="588">
        <f>'Data Source'!G228</f>
        <v>4774.8</v>
      </c>
      <c r="E37" s="166">
        <f>E4</f>
        <v>4777.0373600000003</v>
      </c>
      <c r="F37" s="166">
        <f>F4</f>
        <v>4973.8512992320002</v>
      </c>
      <c r="G37" s="166">
        <f>G4</f>
        <v>5178.7739727603584</v>
      </c>
      <c r="H37" s="166">
        <f>H4</f>
        <v>5392.1394604380848</v>
      </c>
      <c r="I37" s="166">
        <f>I4</f>
        <v>5614.295606208133</v>
      </c>
    </row>
    <row r="38" spans="1:11" s="40" customFormat="1">
      <c r="A38" s="106"/>
      <c r="B38" s="588"/>
      <c r="C38" s="588"/>
      <c r="D38" s="588"/>
      <c r="E38" s="166"/>
      <c r="F38" s="166"/>
      <c r="G38" s="166"/>
      <c r="H38" s="166"/>
      <c r="I38" s="166"/>
    </row>
    <row r="39" spans="1:11">
      <c r="A39" s="106" t="s">
        <v>132</v>
      </c>
      <c r="B39" s="588">
        <f>'Data Source'!E233</f>
        <v>975.7</v>
      </c>
      <c r="C39" s="588">
        <f>'Data Source'!F233</f>
        <v>1071.5</v>
      </c>
      <c r="D39" s="588">
        <f>'Data Source'!G233</f>
        <v>1129.4000000000001</v>
      </c>
      <c r="E39" s="166">
        <f>E14</f>
        <v>1170.9758218181821</v>
      </c>
      <c r="F39" s="166">
        <f>F14</f>
        <v>1243.1079324421823</v>
      </c>
      <c r="G39" s="166">
        <f>G14</f>
        <v>1319.6833810806208</v>
      </c>
      <c r="H39" s="166">
        <f>H14</f>
        <v>1400.9758773551873</v>
      </c>
      <c r="I39" s="166">
        <f>I14</f>
        <v>1487.275991400267</v>
      </c>
    </row>
    <row r="40" spans="1:11">
      <c r="A40" s="106"/>
      <c r="B40" s="588"/>
      <c r="C40" s="588"/>
      <c r="D40" s="588"/>
      <c r="E40" s="166"/>
      <c r="F40" s="166"/>
      <c r="G40" s="166"/>
      <c r="H40" s="166"/>
      <c r="I40" s="166"/>
    </row>
    <row r="41" spans="1:11">
      <c r="A41" s="106" t="s">
        <v>135</v>
      </c>
      <c r="B41" s="588">
        <f>'Data Source'!E234</f>
        <v>321</v>
      </c>
      <c r="C41" s="588">
        <f>'Data Source'!F234</f>
        <v>303.3</v>
      </c>
      <c r="D41" s="588">
        <f>'Data Source'!G234</f>
        <v>299</v>
      </c>
      <c r="E41" s="166">
        <f t="shared" ref="E41:I41" si="12">E25</f>
        <v>312.9932</v>
      </c>
      <c r="F41" s="166">
        <f t="shared" si="12"/>
        <v>326.23281236000003</v>
      </c>
      <c r="G41" s="166">
        <f t="shared" si="12"/>
        <v>340.032460322828</v>
      </c>
      <c r="H41" s="166">
        <f t="shared" si="12"/>
        <v>354.41583339448363</v>
      </c>
      <c r="I41" s="166">
        <f t="shared" si="12"/>
        <v>369.4076231470703</v>
      </c>
    </row>
    <row r="42" spans="1:11" s="106" customFormat="1" ht="13">
      <c r="A42" s="164" t="s">
        <v>137</v>
      </c>
      <c r="B42" s="589">
        <f>'Data Source'!E235</f>
        <v>5867.9</v>
      </c>
      <c r="C42" s="589">
        <f>'Data Source'!F235</f>
        <v>6107.1</v>
      </c>
      <c r="D42" s="589">
        <f>'Data Source'!G235</f>
        <v>6203.2</v>
      </c>
      <c r="E42" s="165">
        <f>SUM(E37:E41)</f>
        <v>6261.0063818181825</v>
      </c>
      <c r="F42" s="165">
        <f t="shared" ref="F42:I42" si="13">SUM(F37:F41)</f>
        <v>6543.1920440341828</v>
      </c>
      <c r="G42" s="165">
        <f t="shared" si="13"/>
        <v>6838.4898141638078</v>
      </c>
      <c r="H42" s="165">
        <f t="shared" si="13"/>
        <v>7147.5311711877557</v>
      </c>
      <c r="I42" s="165">
        <f t="shared" si="13"/>
        <v>7470.9792207554701</v>
      </c>
    </row>
    <row r="43" spans="1:11" s="106" customFormat="1">
      <c r="A43" s="139" t="s">
        <v>131</v>
      </c>
      <c r="B43" s="590">
        <f>B37+B39+B41-B42</f>
        <v>0</v>
      </c>
      <c r="C43" s="590">
        <f t="shared" ref="C43:I43" si="14">C37+C39+C41-C42</f>
        <v>0</v>
      </c>
      <c r="D43" s="590">
        <f t="shared" si="14"/>
        <v>0</v>
      </c>
      <c r="E43" s="167">
        <f t="shared" si="14"/>
        <v>0</v>
      </c>
      <c r="F43" s="167">
        <f t="shared" si="14"/>
        <v>0</v>
      </c>
      <c r="G43" s="167">
        <f t="shared" si="14"/>
        <v>0</v>
      </c>
      <c r="H43" s="167">
        <f t="shared" si="14"/>
        <v>0</v>
      </c>
      <c r="I43" s="167">
        <f t="shared" si="14"/>
        <v>0</v>
      </c>
    </row>
    <row r="44" spans="1:11" s="106" customFormat="1" ht="13">
      <c r="A44" s="107" t="s">
        <v>138</v>
      </c>
      <c r="B44" s="591">
        <f>'Data Source'!E236</f>
        <v>9.1999999999999998E-2</v>
      </c>
      <c r="C44" s="591">
        <f>'Data Source'!F236</f>
        <v>4.1000000000000002E-2</v>
      </c>
      <c r="D44" s="591">
        <f>'Data Source'!G236</f>
        <v>1.6E-2</v>
      </c>
      <c r="E44" s="148">
        <f>E42/D42-1</f>
        <v>9.3188002673108006E-3</v>
      </c>
      <c r="F44" s="148">
        <f t="shared" ref="F44:I44" si="15">F42/E42-1</f>
        <v>4.507033614203948E-2</v>
      </c>
      <c r="G44" s="148">
        <f t="shared" si="15"/>
        <v>4.5130536921786479E-2</v>
      </c>
      <c r="H44" s="148">
        <f t="shared" si="15"/>
        <v>4.5191462650695957E-2</v>
      </c>
      <c r="I44" s="148">
        <f t="shared" si="15"/>
        <v>4.5253114931706584E-2</v>
      </c>
    </row>
    <row r="45" spans="1:11" s="106" customFormat="1" ht="16" customHeight="1">
      <c r="B45" s="592"/>
      <c r="C45" s="592"/>
      <c r="D45" s="592"/>
    </row>
    <row r="46" spans="1:11" s="106" customFormat="1" ht="13">
      <c r="B46" s="592"/>
      <c r="C46" s="592"/>
      <c r="D46" s="592"/>
    </row>
    <row r="47" spans="1:11" s="106" customFormat="1" ht="13">
      <c r="B47" s="592"/>
      <c r="C47" s="592"/>
      <c r="D47" s="592"/>
    </row>
    <row r="48" spans="1:11" s="106" customFormat="1" ht="19" customHeight="1">
      <c r="A48" s="562" t="s">
        <v>858</v>
      </c>
      <c r="B48" s="593">
        <f t="shared" ref="B48:I48" si="16">B$2</f>
        <v>2023</v>
      </c>
      <c r="C48" s="593">
        <f t="shared" si="16"/>
        <v>2024</v>
      </c>
      <c r="D48" s="593">
        <f t="shared" si="16"/>
        <v>2025</v>
      </c>
      <c r="E48" s="564">
        <f t="shared" si="16"/>
        <v>2026</v>
      </c>
      <c r="F48" s="564">
        <f t="shared" si="16"/>
        <v>2027</v>
      </c>
      <c r="G48" s="564">
        <f t="shared" si="16"/>
        <v>2028</v>
      </c>
      <c r="H48" s="564">
        <f t="shared" si="16"/>
        <v>2029</v>
      </c>
      <c r="I48" s="565">
        <f t="shared" si="16"/>
        <v>2030</v>
      </c>
    </row>
    <row r="49" spans="1:12" s="106" customFormat="1" ht="14">
      <c r="A49" s="570" t="s">
        <v>859</v>
      </c>
      <c r="B49" s="585"/>
      <c r="C49" s="585"/>
      <c r="D49" s="585"/>
      <c r="E49" s="571"/>
      <c r="F49" s="571"/>
      <c r="G49" s="571"/>
      <c r="H49" s="571"/>
      <c r="I49" s="572"/>
    </row>
    <row r="50" spans="1:12" s="106" customFormat="1">
      <c r="A50" s="1" t="s">
        <v>139</v>
      </c>
      <c r="B50" s="582">
        <f t="shared" ref="B50:I50" si="17">B4</f>
        <v>4571.2</v>
      </c>
      <c r="C50" s="582">
        <f t="shared" si="17"/>
        <v>4732.3</v>
      </c>
      <c r="D50" s="582">
        <f t="shared" si="17"/>
        <v>4774.8</v>
      </c>
      <c r="E50" s="144">
        <f t="shared" si="17"/>
        <v>4777.0373600000003</v>
      </c>
      <c r="F50" s="144">
        <f t="shared" si="17"/>
        <v>4973.8512992320002</v>
      </c>
      <c r="G50" s="144">
        <f t="shared" si="17"/>
        <v>5178.7739727603584</v>
      </c>
      <c r="H50" s="144">
        <f t="shared" si="17"/>
        <v>5392.1394604380848</v>
      </c>
      <c r="I50" s="144">
        <f t="shared" si="17"/>
        <v>5614.295606208133</v>
      </c>
      <c r="J50"/>
      <c r="K50"/>
      <c r="L50"/>
    </row>
    <row r="51" spans="1:12" s="106" customFormat="1">
      <c r="A51" s="1" t="s">
        <v>140</v>
      </c>
      <c r="B51" s="582">
        <f>'Data Source'!E248</f>
        <v>2374.5509769094137</v>
      </c>
      <c r="C51" s="582">
        <f>'Data Source'!F248</f>
        <v>2380.5752823086573</v>
      </c>
      <c r="D51" s="582">
        <f>'Data Source'!G248</f>
        <v>2467.8238884397738</v>
      </c>
      <c r="E51" s="147">
        <f>E50-E52</f>
        <v>2472.2531809211091</v>
      </c>
      <c r="F51" s="147">
        <f t="shared" ref="F51:I51" si="18">F50-F52</f>
        <v>2574.1100119750586</v>
      </c>
      <c r="G51" s="147">
        <f t="shared" si="18"/>
        <v>2680.1633444684312</v>
      </c>
      <c r="H51" s="147">
        <f t="shared" si="18"/>
        <v>2790.5860742605305</v>
      </c>
      <c r="I51" s="147">
        <f t="shared" si="18"/>
        <v>2905.5582205200635</v>
      </c>
      <c r="J51"/>
      <c r="K51"/>
      <c r="L51"/>
    </row>
    <row r="52" spans="1:12" s="106" customFormat="1">
      <c r="A52" s="1" t="s">
        <v>141</v>
      </c>
      <c r="B52" s="594">
        <f>'Data Source'!E249</f>
        <v>2196.6490230905861</v>
      </c>
      <c r="C52" s="594">
        <f>'Data Source'!F249</f>
        <v>2351.7247176913429</v>
      </c>
      <c r="D52" s="594">
        <f>'Data Source'!G249</f>
        <v>2306.9761115602264</v>
      </c>
      <c r="E52" s="187">
        <f>E$50*'Scenarios Table'!$G$87</f>
        <v>2304.7841790788912</v>
      </c>
      <c r="F52" s="187">
        <f>F$50*'Scenarios Table'!$G$87</f>
        <v>2399.7412872569416</v>
      </c>
      <c r="G52" s="187">
        <f>G$50*'Scenarios Table'!$G$87</f>
        <v>2498.6106282919272</v>
      </c>
      <c r="H52" s="187">
        <f>H$50*'Scenarios Table'!$G$87</f>
        <v>2601.5533861775543</v>
      </c>
      <c r="I52" s="187">
        <f>I$50*'Scenarios Table'!$G$87</f>
        <v>2708.7373856880695</v>
      </c>
      <c r="J52"/>
      <c r="K52"/>
      <c r="L52"/>
    </row>
    <row r="53" spans="1:12" s="106" customFormat="1">
      <c r="A53" s="1" t="s">
        <v>89</v>
      </c>
      <c r="B53" s="582">
        <f>'Data Source'!E251</f>
        <v>509.5</v>
      </c>
      <c r="C53" s="582">
        <f>'Data Source'!F251</f>
        <v>538.5</v>
      </c>
      <c r="D53" s="582">
        <f>'Data Source'!G251</f>
        <v>532.70000000000005</v>
      </c>
      <c r="E53" s="147">
        <f>E$50*'Scenarios Table'!$G$110</f>
        <v>524.44384676111986</v>
      </c>
      <c r="F53" s="147">
        <f>F$50*'Scenarios Table'!$G$110</f>
        <v>546.05093324767802</v>
      </c>
      <c r="G53" s="147">
        <f>G$50*'Scenarios Table'!$G$110</f>
        <v>568.54823169748227</v>
      </c>
      <c r="H53" s="147">
        <f>H$50*'Scenarios Table'!$G$110</f>
        <v>591.9724188434185</v>
      </c>
      <c r="I53" s="147">
        <f>I$50*'Scenarios Table'!$G$110</f>
        <v>616.36168249976731</v>
      </c>
      <c r="J53"/>
      <c r="K53"/>
      <c r="L53"/>
    </row>
    <row r="54" spans="1:12" s="106" customFormat="1">
      <c r="A54" s="1" t="s">
        <v>90</v>
      </c>
      <c r="B54" s="582">
        <f>'Data Source'!E253</f>
        <v>107.1</v>
      </c>
      <c r="C54" s="582">
        <f>'Data Source'!F253</f>
        <v>123.7</v>
      </c>
      <c r="D54" s="582">
        <f>'Data Source'!G253</f>
        <v>129.1</v>
      </c>
      <c r="E54" s="147">
        <f>E$50*'Assumption table'!$F$62</f>
        <v>119.29925545887373</v>
      </c>
      <c r="F54" s="147">
        <f>F$50*'Assumption table'!$F$62</f>
        <v>124.21438478377932</v>
      </c>
      <c r="G54" s="147">
        <f>G$50*'Assumption table'!$F$62</f>
        <v>129.33201743687104</v>
      </c>
      <c r="H54" s="147">
        <f>H$50*'Assumption table'!$F$62</f>
        <v>134.6604965552701</v>
      </c>
      <c r="I54" s="147">
        <f>I$50*'Assumption table'!$F$62</f>
        <v>140.2085090133472</v>
      </c>
      <c r="J54"/>
      <c r="K54"/>
      <c r="L54"/>
    </row>
    <row r="55" spans="1:12" s="106" customFormat="1">
      <c r="A55" s="1" t="s">
        <v>91</v>
      </c>
      <c r="B55" s="582">
        <f>'Data Source'!E255</f>
        <v>466.44902309058608</v>
      </c>
      <c r="C55" s="582">
        <f>'Data Source'!F255</f>
        <v>477.42471769134261</v>
      </c>
      <c r="D55" s="582">
        <f>'Data Source'!G255</f>
        <v>514.27611156022635</v>
      </c>
      <c r="E55" s="147">
        <f>E$50*'Scenarios Table'!$G$117</f>
        <v>448.80484486095133</v>
      </c>
      <c r="F55" s="147">
        <f>F$50*'Scenarios Table'!$G$117</f>
        <v>467.2956044692225</v>
      </c>
      <c r="G55" s="147">
        <f>G$50*'Scenarios Table'!$G$117</f>
        <v>486.54818337335445</v>
      </c>
      <c r="H55" s="147">
        <f>H$50*'Scenarios Table'!$G$117</f>
        <v>506.59396852833663</v>
      </c>
      <c r="I55" s="147">
        <f>I$50*'Scenarios Table'!$G$117</f>
        <v>527.46564003170397</v>
      </c>
      <c r="J55"/>
      <c r="K55"/>
      <c r="L55"/>
    </row>
    <row r="56" spans="1:12" s="106" customFormat="1">
      <c r="A56" s="1" t="s">
        <v>142</v>
      </c>
      <c r="B56" s="582">
        <f>'Data Source'!E257</f>
        <v>59.449023090586152</v>
      </c>
      <c r="C56" s="582">
        <f>'Data Source'!F257</f>
        <v>69.524717691342545</v>
      </c>
      <c r="D56" s="582">
        <f>'Data Source'!G257</f>
        <v>76.17611156022636</v>
      </c>
      <c r="E56" s="147">
        <f>E$181*'Assumption table'!$F$75</f>
        <v>81.391712510083678</v>
      </c>
      <c r="F56" s="147">
        <f>F$181*'Assumption table'!$F$75</f>
        <v>85.060064352089384</v>
      </c>
      <c r="G56" s="147">
        <f>G$181*'Assumption table'!$F$75</f>
        <v>88.89887072690091</v>
      </c>
      <c r="H56" s="147">
        <f>H$181*'Assumption table'!$F$75</f>
        <v>92.916340723044669</v>
      </c>
      <c r="I56" s="147">
        <f>I$181*'Assumption table'!$F$75</f>
        <v>97.121094568818222</v>
      </c>
      <c r="J56"/>
      <c r="K56"/>
      <c r="L56"/>
    </row>
    <row r="57" spans="1:12" s="106" customFormat="1">
      <c r="A57" s="1" t="s">
        <v>143</v>
      </c>
      <c r="B57" s="582">
        <f>'Data Source'!E258</f>
        <v>124.45097690941388</v>
      </c>
      <c r="C57" s="582">
        <f>'Data Source'!F258</f>
        <v>130.27528230865747</v>
      </c>
      <c r="D57" s="582">
        <f>'Data Source'!G258</f>
        <v>133.92388843977363</v>
      </c>
      <c r="E57" s="147">
        <f>E$212*'Assumption table'!$F$75</f>
        <v>135.85395779953933</v>
      </c>
      <c r="F57" s="147">
        <f>F$212*'Assumption table'!$F$75</f>
        <v>135.85395779953933</v>
      </c>
      <c r="G57" s="147">
        <f>G$212*'Assumption table'!$F$75</f>
        <v>135.85395779953933</v>
      </c>
      <c r="H57" s="147">
        <f>H$212*'Assumption table'!$F$75</f>
        <v>135.85395779953933</v>
      </c>
      <c r="I57" s="147">
        <f>I$212*'Assumption table'!$F$75</f>
        <v>135.85395779953933</v>
      </c>
      <c r="J57"/>
      <c r="K57"/>
      <c r="L57"/>
    </row>
    <row r="58" spans="1:12" s="106" customFormat="1">
      <c r="A58" s="1" t="s">
        <v>144</v>
      </c>
      <c r="B58" s="582">
        <f>'Data Source'!E259</f>
        <v>0</v>
      </c>
      <c r="C58" s="582">
        <f>'Data Source'!F259</f>
        <v>327.39999999999998</v>
      </c>
      <c r="D58" s="582">
        <f>'Data Source'!G259</f>
        <v>0</v>
      </c>
      <c r="E58" s="124">
        <f>D58</f>
        <v>0</v>
      </c>
      <c r="F58" s="124">
        <f t="shared" ref="F58:I58" si="19">E58</f>
        <v>0</v>
      </c>
      <c r="G58" s="124">
        <f t="shared" si="19"/>
        <v>0</v>
      </c>
      <c r="H58" s="124">
        <f t="shared" si="19"/>
        <v>0</v>
      </c>
      <c r="I58" s="124">
        <f t="shared" si="19"/>
        <v>0</v>
      </c>
      <c r="J58"/>
      <c r="K58"/>
      <c r="L58"/>
    </row>
    <row r="59" spans="1:12" s="106" customFormat="1" ht="17" thickBot="1">
      <c r="A59" s="1" t="s">
        <v>145</v>
      </c>
      <c r="B59" s="595">
        <f t="shared" ref="B59:E59" si="20">B52-B53-B54-B55-B56-B57-B58</f>
        <v>929.7</v>
      </c>
      <c r="C59" s="595">
        <f t="shared" si="20"/>
        <v>684.90000000000032</v>
      </c>
      <c r="D59" s="595">
        <f t="shared" si="20"/>
        <v>920.8</v>
      </c>
      <c r="E59" s="576">
        <f t="shared" si="20"/>
        <v>994.9905616883234</v>
      </c>
      <c r="F59" s="576">
        <f t="shared" ref="F59:I59" si="21">F52-F53-F54-F55-F56-F57-F58</f>
        <v>1041.2663426046331</v>
      </c>
      <c r="G59" s="576">
        <f t="shared" si="21"/>
        <v>1089.4293672577794</v>
      </c>
      <c r="H59" s="576">
        <f t="shared" si="21"/>
        <v>1139.5562037279453</v>
      </c>
      <c r="I59" s="576">
        <f t="shared" si="21"/>
        <v>1191.7265017748937</v>
      </c>
      <c r="J59"/>
      <c r="K59"/>
      <c r="L59"/>
    </row>
    <row r="60" spans="1:12" s="106" customFormat="1" ht="14" thickTop="1">
      <c r="B60" s="592"/>
      <c r="C60" s="592"/>
      <c r="D60" s="592"/>
    </row>
    <row r="61" spans="1:12">
      <c r="A61" s="1"/>
      <c r="B61" s="596"/>
      <c r="C61" s="596"/>
      <c r="D61" s="596"/>
      <c r="E61" s="42"/>
      <c r="F61" s="42"/>
      <c r="G61" s="42"/>
      <c r="H61" s="42"/>
      <c r="I61" s="42"/>
    </row>
    <row r="62" spans="1:12">
      <c r="A62" s="570" t="s">
        <v>861</v>
      </c>
      <c r="B62" s="585"/>
      <c r="C62" s="585"/>
      <c r="D62" s="585"/>
      <c r="E62" s="571"/>
      <c r="F62" s="571"/>
      <c r="G62" s="571"/>
      <c r="H62" s="571"/>
      <c r="I62" s="572"/>
    </row>
    <row r="63" spans="1:12">
      <c r="A63" s="1" t="s">
        <v>139</v>
      </c>
      <c r="B63" s="597">
        <f>'Data Source'!E264</f>
        <v>975.7</v>
      </c>
      <c r="C63" s="597">
        <f>'Data Source'!F264</f>
        <v>1071.5</v>
      </c>
      <c r="D63" s="597">
        <f>'Data Source'!G264</f>
        <v>1129.4000000000001</v>
      </c>
      <c r="E63" s="370">
        <f>E14</f>
        <v>1170.9758218181821</v>
      </c>
      <c r="F63" s="370">
        <f>F14</f>
        <v>1243.1079324421823</v>
      </c>
      <c r="G63" s="370">
        <f>G14</f>
        <v>1319.6833810806208</v>
      </c>
      <c r="H63" s="370">
        <f>H14</f>
        <v>1400.9758773551873</v>
      </c>
      <c r="I63" s="370">
        <f>I14</f>
        <v>1487.275991400267</v>
      </c>
    </row>
    <row r="64" spans="1:12">
      <c r="A64" s="1" t="s">
        <v>140</v>
      </c>
      <c r="B64" s="597">
        <f>'Data Source'!E265</f>
        <v>559.74547069271762</v>
      </c>
      <c r="C64" s="597">
        <f>'Data Source'!F265</f>
        <v>595.37402760351313</v>
      </c>
      <c r="D64" s="597">
        <f>'Data Source'!G265</f>
        <v>616.14567502021021</v>
      </c>
      <c r="E64" s="147">
        <f>E63-E65</f>
        <v>650.89768690024903</v>
      </c>
      <c r="F64" s="147">
        <f t="shared" ref="F64:I64" si="22">F63-F65</f>
        <v>690.9929844133045</v>
      </c>
      <c r="G64" s="147">
        <f t="shared" si="22"/>
        <v>733.55815225316405</v>
      </c>
      <c r="H64" s="147">
        <f t="shared" si="22"/>
        <v>778.74533443195912</v>
      </c>
      <c r="I64" s="147">
        <f t="shared" si="22"/>
        <v>826.71604703296782</v>
      </c>
    </row>
    <row r="65" spans="1:9">
      <c r="A65" s="1" t="s">
        <v>141</v>
      </c>
      <c r="B65" s="594">
        <f>'Data Source'!E266</f>
        <v>415.95452930728243</v>
      </c>
      <c r="C65" s="594">
        <f>'Data Source'!F266</f>
        <v>476.12597239648687</v>
      </c>
      <c r="D65" s="594">
        <f>'Data Source'!G266</f>
        <v>513.25432497978989</v>
      </c>
      <c r="E65" s="187">
        <f>E$63*'Scenarios Table'!$G$94</f>
        <v>520.07813491793308</v>
      </c>
      <c r="F65" s="187">
        <f>F$63*'Scenarios Table'!$G$94</f>
        <v>552.11494802887785</v>
      </c>
      <c r="G65" s="187">
        <f>G$63*'Scenarios Table'!$G$94</f>
        <v>586.12522882745679</v>
      </c>
      <c r="H65" s="187">
        <f>H$63*'Scenarios Table'!$G$94</f>
        <v>622.2305429232282</v>
      </c>
      <c r="I65" s="187">
        <f>I$63*'Scenarios Table'!$G$94</f>
        <v>660.55994436729918</v>
      </c>
    </row>
    <row r="66" spans="1:9">
      <c r="A66" s="1" t="s">
        <v>89</v>
      </c>
      <c r="B66" s="597">
        <f>'Data Source'!E268</f>
        <v>127.7</v>
      </c>
      <c r="C66" s="597">
        <f>'Data Source'!F268</f>
        <v>156.9</v>
      </c>
      <c r="D66" s="597">
        <f>'Data Source'!G268</f>
        <v>172.7</v>
      </c>
      <c r="E66" s="147">
        <f>E$63*'Scenarios Table'!$G$125</f>
        <v>165.17529983647674</v>
      </c>
      <c r="F66" s="147">
        <f>F$63*'Scenarios Table'!$G$125</f>
        <v>175.35009830640374</v>
      </c>
      <c r="G66" s="147">
        <f>G$63*'Scenarios Table'!$G$125</f>
        <v>186.15166436207821</v>
      </c>
      <c r="H66" s="147">
        <f>H$63*'Scenarios Table'!$G$125</f>
        <v>197.61860688678226</v>
      </c>
      <c r="I66" s="147">
        <f>I$63*'Scenarios Table'!$G$125</f>
        <v>209.79191307100808</v>
      </c>
    </row>
    <row r="67" spans="1:9">
      <c r="A67" s="1" t="s">
        <v>90</v>
      </c>
      <c r="B67" s="597">
        <f>'Data Source'!E270</f>
        <v>11.1</v>
      </c>
      <c r="C67" s="597">
        <f>'Data Source'!F270</f>
        <v>12.7</v>
      </c>
      <c r="D67" s="597">
        <f>'Data Source'!G270</f>
        <v>13.5</v>
      </c>
      <c r="E67" s="147">
        <f>E$63*'Assumption table'!$F$66</f>
        <v>13.566255243392366</v>
      </c>
      <c r="F67" s="147">
        <f>F$63*'Assumption table'!$F$66</f>
        <v>14.401936566385338</v>
      </c>
      <c r="G67" s="147">
        <f>G$63*'Assumption table'!$F$66</f>
        <v>15.289095858874674</v>
      </c>
      <c r="H67" s="147">
        <f>H$63*'Assumption table'!$F$66</f>
        <v>16.230904163781357</v>
      </c>
      <c r="I67" s="147">
        <f>I$63*'Assumption table'!$F$66</f>
        <v>17.230727860270292</v>
      </c>
    </row>
    <row r="68" spans="1:9">
      <c r="A68" s="1" t="s">
        <v>91</v>
      </c>
      <c r="B68" s="597">
        <f>'Data Source'!E272</f>
        <v>145.25452930728241</v>
      </c>
      <c r="C68" s="597">
        <f>'Data Source'!F272</f>
        <v>164.62597239648682</v>
      </c>
      <c r="D68" s="597">
        <f>'Data Source'!G272</f>
        <v>185.05432497978981</v>
      </c>
      <c r="E68" s="147">
        <f>E$63*'Scenarios Table'!$G$132</f>
        <v>168.86031734017462</v>
      </c>
      <c r="F68" s="147">
        <f>F$63*'Scenarios Table'!$G$132</f>
        <v>179.2621128883294</v>
      </c>
      <c r="G68" s="147">
        <f>G$63*'Scenarios Table'!$G$132</f>
        <v>190.30465904225051</v>
      </c>
      <c r="H68" s="147">
        <f>H$63*'Scenarios Table'!$G$132</f>
        <v>202.02742603925319</v>
      </c>
      <c r="I68" s="147">
        <f>I$63*'Scenarios Table'!$G$132</f>
        <v>214.47231548327119</v>
      </c>
    </row>
    <row r="69" spans="1:9">
      <c r="A69" s="1" t="s">
        <v>142</v>
      </c>
      <c r="B69" s="597">
        <f>'Data Source'!E274</f>
        <v>8.9545293072824155</v>
      </c>
      <c r="C69" s="597">
        <f>'Data Source'!F274</f>
        <v>10.125972396486826</v>
      </c>
      <c r="D69" s="597">
        <f>'Data Source'!G274</f>
        <v>9.3543249797898138</v>
      </c>
      <c r="E69" s="147">
        <f>E$181*'Assumption table'!$F$76</f>
        <v>12.508588001404593</v>
      </c>
      <c r="F69" s="147">
        <f>F$181*'Assumption table'!$F$76</f>
        <v>13.072354267290178</v>
      </c>
      <c r="G69" s="147">
        <f>G$181*'Assumption table'!$F$76</f>
        <v>13.662316634204794</v>
      </c>
      <c r="H69" s="147">
        <f>H$181*'Assumption table'!$F$76</f>
        <v>14.279736706101438</v>
      </c>
      <c r="I69" s="147">
        <f>I$181*'Assumption table'!$F$76</f>
        <v>14.925939272457157</v>
      </c>
    </row>
    <row r="70" spans="1:9">
      <c r="A70" s="1" t="s">
        <v>143</v>
      </c>
      <c r="B70" s="597">
        <f>'Data Source'!E275</f>
        <v>18.745470692717586</v>
      </c>
      <c r="C70" s="597">
        <f>'Data Source'!F275</f>
        <v>18.974027603513175</v>
      </c>
      <c r="D70" s="597">
        <f>'Data Source'!G275</f>
        <v>16.445675020210185</v>
      </c>
      <c r="E70" s="147">
        <f>E$212*'Assumption table'!$F$76</f>
        <v>20.878553037744609</v>
      </c>
      <c r="F70" s="147">
        <f>F$212*'Assumption table'!$F$76</f>
        <v>20.878553037744609</v>
      </c>
      <c r="G70" s="147">
        <f>G$212*'Assumption table'!$F$76</f>
        <v>20.878553037744609</v>
      </c>
      <c r="H70" s="147">
        <f>H$212*'Assumption table'!$F$76</f>
        <v>20.878553037744609</v>
      </c>
      <c r="I70" s="147">
        <f>I$212*'Assumption table'!$F$76</f>
        <v>20.878553037744609</v>
      </c>
    </row>
    <row r="71" spans="1:9">
      <c r="A71" s="1" t="s">
        <v>144</v>
      </c>
      <c r="B71" s="597">
        <f>'Data Source'!E276</f>
        <v>0</v>
      </c>
      <c r="C71" s="597">
        <f>'Data Source'!F276</f>
        <v>29.7</v>
      </c>
      <c r="D71" s="597">
        <f>'Data Source'!G276</f>
        <v>0</v>
      </c>
      <c r="E71" s="124">
        <f>D71</f>
        <v>0</v>
      </c>
      <c r="F71" s="124">
        <f t="shared" ref="F71:I71" si="23">E71</f>
        <v>0</v>
      </c>
      <c r="G71" s="124">
        <f t="shared" si="23"/>
        <v>0</v>
      </c>
      <c r="H71" s="124">
        <f t="shared" si="23"/>
        <v>0</v>
      </c>
      <c r="I71" s="124">
        <f t="shared" si="23"/>
        <v>0</v>
      </c>
    </row>
    <row r="72" spans="1:9" ht="17" thickBot="1">
      <c r="A72" s="1" t="s">
        <v>145</v>
      </c>
      <c r="B72" s="598">
        <f t="shared" ref="B72:E72" si="24">B65-B66-B67-B68-B69-B70-B71</f>
        <v>104.2</v>
      </c>
      <c r="C72" s="598">
        <f t="shared" si="24"/>
        <v>83.100000000000094</v>
      </c>
      <c r="D72" s="598">
        <f t="shared" si="24"/>
        <v>116.20000000000007</v>
      </c>
      <c r="E72" s="577">
        <f t="shared" si="24"/>
        <v>139.08912145874015</v>
      </c>
      <c r="F72" s="577">
        <f t="shared" ref="F72:I72" si="25">F65-F66-F67-F68-F69-F70-F71</f>
        <v>149.14989296272455</v>
      </c>
      <c r="G72" s="577">
        <f t="shared" si="25"/>
        <v>159.83893989230396</v>
      </c>
      <c r="H72" s="577">
        <f t="shared" si="25"/>
        <v>171.19531608956538</v>
      </c>
      <c r="I72" s="577">
        <f t="shared" si="25"/>
        <v>183.26049564254785</v>
      </c>
    </row>
    <row r="73" spans="1:9" ht="17" thickTop="1">
      <c r="A73" s="1"/>
      <c r="B73" s="596"/>
      <c r="C73" s="596"/>
      <c r="D73" s="596"/>
      <c r="E73" s="42"/>
      <c r="F73" s="42"/>
      <c r="G73" s="42"/>
      <c r="H73" s="42"/>
      <c r="I73" s="42"/>
    </row>
    <row r="74" spans="1:9">
      <c r="A74" s="1"/>
      <c r="B74" s="596"/>
      <c r="C74" s="596"/>
      <c r="D74" s="596"/>
      <c r="E74" s="42"/>
      <c r="F74" s="42"/>
      <c r="G74" s="42"/>
      <c r="H74" s="42"/>
      <c r="I74" s="42"/>
    </row>
    <row r="75" spans="1:9">
      <c r="A75" s="570" t="s">
        <v>49</v>
      </c>
      <c r="B75" s="585"/>
      <c r="C75" s="585"/>
      <c r="D75" s="585"/>
      <c r="E75" s="571"/>
      <c r="F75" s="571"/>
      <c r="G75" s="571"/>
      <c r="H75" s="571"/>
      <c r="I75" s="572"/>
    </row>
    <row r="76" spans="1:9">
      <c r="A76" s="1" t="s">
        <v>139</v>
      </c>
      <c r="B76" s="582">
        <f t="shared" ref="B76:I76" si="26">B25</f>
        <v>321</v>
      </c>
      <c r="C76" s="582">
        <f t="shared" si="26"/>
        <v>303.3</v>
      </c>
      <c r="D76" s="582">
        <f t="shared" si="26"/>
        <v>299</v>
      </c>
      <c r="E76" s="144">
        <f t="shared" si="26"/>
        <v>312.9932</v>
      </c>
      <c r="F76" s="144">
        <f t="shared" si="26"/>
        <v>326.23281236000003</v>
      </c>
      <c r="G76" s="144">
        <f t="shared" si="26"/>
        <v>340.032460322828</v>
      </c>
      <c r="H76" s="144">
        <f t="shared" si="26"/>
        <v>354.41583339448363</v>
      </c>
      <c r="I76" s="144">
        <f t="shared" si="26"/>
        <v>369.4076231470703</v>
      </c>
    </row>
    <row r="77" spans="1:9">
      <c r="A77" s="1" t="s">
        <v>140</v>
      </c>
      <c r="B77" s="582">
        <f>'Data Source'!E281</f>
        <v>211.90355239786857</v>
      </c>
      <c r="C77" s="582">
        <f>'Data Source'!F281</f>
        <v>189.95069008782937</v>
      </c>
      <c r="D77" s="582">
        <f>'Data Source'!G281</f>
        <v>186.23043654001617</v>
      </c>
      <c r="E77" s="147">
        <f>E76-E78</f>
        <v>200.27923384087396</v>
      </c>
      <c r="F77" s="147">
        <f t="shared" ref="F77:I77" si="27">F76-F78</f>
        <v>208.75104543234295</v>
      </c>
      <c r="G77" s="147">
        <f t="shared" si="27"/>
        <v>217.58121465413103</v>
      </c>
      <c r="H77" s="147">
        <f t="shared" si="27"/>
        <v>226.78490003400077</v>
      </c>
      <c r="I77" s="147">
        <f t="shared" si="27"/>
        <v>236.37790130543902</v>
      </c>
    </row>
    <row r="78" spans="1:9">
      <c r="A78" s="1" t="s">
        <v>141</v>
      </c>
      <c r="B78" s="594">
        <f>'Data Source'!E282</f>
        <v>109.09644760213143</v>
      </c>
      <c r="C78" s="594">
        <f>'Data Source'!F282</f>
        <v>113.34930991217064</v>
      </c>
      <c r="D78" s="594">
        <f>'Data Source'!G282</f>
        <v>112.76956345998383</v>
      </c>
      <c r="E78" s="187">
        <f>E$76*'Scenarios Table'!$G$101</f>
        <v>112.71396615912604</v>
      </c>
      <c r="F78" s="187">
        <f>F$76*'Scenarios Table'!$G$101</f>
        <v>117.48176692765709</v>
      </c>
      <c r="G78" s="187">
        <f>G$76*'Scenarios Table'!$G$101</f>
        <v>122.45124566869697</v>
      </c>
      <c r="H78" s="187">
        <f>H$76*'Scenarios Table'!$G$101</f>
        <v>127.63093336048286</v>
      </c>
      <c r="I78" s="187">
        <f>I$76*'Scenarios Table'!$G$101</f>
        <v>133.02972184163127</v>
      </c>
    </row>
    <row r="79" spans="1:9">
      <c r="A79" s="1" t="s">
        <v>89</v>
      </c>
      <c r="B79" s="582">
        <f>'Data Source'!E284</f>
        <v>4.0999999999999996</v>
      </c>
      <c r="C79" s="582">
        <f>'Data Source'!F284</f>
        <v>2.7</v>
      </c>
      <c r="D79" s="582">
        <f>'Data Source'!G284</f>
        <v>3.5</v>
      </c>
      <c r="E79" s="147">
        <f>E$76*'Assumption table'!$F$69</f>
        <v>3.7542051813035857</v>
      </c>
      <c r="F79" s="147">
        <f>F$76*'Assumption table'!$F$69</f>
        <v>3.9130080604727278</v>
      </c>
      <c r="G79" s="147">
        <f>G$76*'Assumption table'!$F$69</f>
        <v>4.0785283014307234</v>
      </c>
      <c r="H79" s="147">
        <f>H$76*'Assumption table'!$F$69</f>
        <v>4.2510500485812432</v>
      </c>
      <c r="I79" s="147">
        <f>I$76*'Assumption table'!$F$69</f>
        <v>4.4308694656362304</v>
      </c>
    </row>
    <row r="80" spans="1:9">
      <c r="A80" s="1" t="s">
        <v>90</v>
      </c>
      <c r="B80" s="582">
        <f>'Data Source'!E286</f>
        <v>4.2</v>
      </c>
      <c r="C80" s="582">
        <f>'Data Source'!F286</f>
        <v>3.3</v>
      </c>
      <c r="D80" s="582">
        <f>'Data Source'!G286</f>
        <v>3</v>
      </c>
      <c r="E80" s="147">
        <f>E$76*'Assumption table'!$F$70</f>
        <v>3.5134853876602072</v>
      </c>
      <c r="F80" s="147">
        <f>F$76*'Assumption table'!$F$70</f>
        <v>3.6621058195582341</v>
      </c>
      <c r="G80" s="147">
        <f>G$76*'Assumption table'!$F$70</f>
        <v>3.8170128957255471</v>
      </c>
      <c r="H80" s="147">
        <f>H$76*'Assumption table'!$F$70</f>
        <v>3.9784725412147379</v>
      </c>
      <c r="I80" s="147">
        <f>I$76*'Assumption table'!$F$70</f>
        <v>4.1467619297081217</v>
      </c>
    </row>
    <row r="81" spans="1:10">
      <c r="A81" s="1" t="s">
        <v>91</v>
      </c>
      <c r="B81" s="582">
        <f>'Data Source'!E288</f>
        <v>63.696447602131443</v>
      </c>
      <c r="C81" s="582">
        <f>'Data Source'!F288</f>
        <v>58.049309912170642</v>
      </c>
      <c r="D81" s="582">
        <f>'Data Source'!G288</f>
        <v>54.169563459983834</v>
      </c>
      <c r="E81" s="147">
        <f>E$76*'Assumption table'!$F$71</f>
        <v>55.833109619792047</v>
      </c>
      <c r="F81" s="147">
        <f>F$76*'Assumption table'!$F$71</f>
        <v>58.194850156709258</v>
      </c>
      <c r="G81" s="147">
        <f>G$76*'Assumption table'!$F$71</f>
        <v>60.656492318338053</v>
      </c>
      <c r="H81" s="147">
        <f>H$76*'Assumption table'!$F$71</f>
        <v>63.222261943403751</v>
      </c>
      <c r="I81" s="147">
        <f>I$76*'Assumption table'!$F$71</f>
        <v>65.896563623609737</v>
      </c>
    </row>
    <row r="82" spans="1:10">
      <c r="A82" s="1" t="s">
        <v>142</v>
      </c>
      <c r="B82" s="582">
        <f>'Data Source'!E290</f>
        <v>4.3964476021314383</v>
      </c>
      <c r="C82" s="582">
        <f>'Data Source'!F290</f>
        <v>3.5493099121706395</v>
      </c>
      <c r="D82" s="582">
        <f>'Data Source'!G290</f>
        <v>4.1695634599838316</v>
      </c>
      <c r="E82" s="147">
        <f>E$181*'Assumption table'!$F$77</f>
        <v>5.6301468771122307</v>
      </c>
      <c r="F82" s="147">
        <f>F$181*'Assumption table'!$F$77</f>
        <v>5.8838994893927321</v>
      </c>
      <c r="G82" s="147">
        <f>G$181*'Assumption table'!$F$77</f>
        <v>6.1494430325428526</v>
      </c>
      <c r="H82" s="147">
        <f>H$181*'Assumption table'!$F$77</f>
        <v>6.4273453576705935</v>
      </c>
      <c r="I82" s="147">
        <f>I$181*'Assumption table'!$F$77</f>
        <v>6.7182027558470327</v>
      </c>
    </row>
    <row r="83" spans="1:10">
      <c r="A83" s="1" t="s">
        <v>143</v>
      </c>
      <c r="B83" s="582">
        <f>'Data Source'!E291</f>
        <v>9.2035523978685614</v>
      </c>
      <c r="C83" s="582">
        <f>'Data Source'!F291</f>
        <v>6.6506900878293598</v>
      </c>
      <c r="D83" s="582">
        <f>'Data Source'!G291</f>
        <v>7.3304365400161666</v>
      </c>
      <c r="E83" s="147">
        <f>E$212*'Assumption table'!$F$77</f>
        <v>9.3974891627160666</v>
      </c>
      <c r="F83" s="147">
        <f>F$212*'Assumption table'!$F$77</f>
        <v>9.3974891627160666</v>
      </c>
      <c r="G83" s="147">
        <f>G$212*'Assumption table'!$F$77</f>
        <v>9.3974891627160666</v>
      </c>
      <c r="H83" s="147">
        <f>H$212*'Assumption table'!$F$77</f>
        <v>9.3974891627160666</v>
      </c>
      <c r="I83" s="147">
        <f>I$212*'Assumption table'!$F$77</f>
        <v>9.3974891627160666</v>
      </c>
    </row>
    <row r="84" spans="1:10" ht="17" thickBot="1">
      <c r="A84" s="1" t="s">
        <v>145</v>
      </c>
      <c r="B84" s="595">
        <f t="shared" ref="B84:I84" si="28">B78-B79-B80-B81-B82-B83</f>
        <v>23.499999999999993</v>
      </c>
      <c r="C84" s="595">
        <f t="shared" si="28"/>
        <v>39.099999999999994</v>
      </c>
      <c r="D84" s="595">
        <f t="shared" si="28"/>
        <v>40.599999999999994</v>
      </c>
      <c r="E84" s="576">
        <f t="shared" si="28"/>
        <v>34.585529930541895</v>
      </c>
      <c r="F84" s="576">
        <f t="shared" si="28"/>
        <v>36.430414238808069</v>
      </c>
      <c r="G84" s="576">
        <f t="shared" si="28"/>
        <v>38.352279957943736</v>
      </c>
      <c r="H84" s="576">
        <f t="shared" si="28"/>
        <v>40.354314306896455</v>
      </c>
      <c r="I84" s="576">
        <f t="shared" si="28"/>
        <v>42.439834904114093</v>
      </c>
    </row>
    <row r="85" spans="1:10" ht="17" thickTop="1">
      <c r="A85" s="1"/>
      <c r="B85" s="584"/>
      <c r="C85" s="584"/>
      <c r="D85" s="584"/>
      <c r="E85" s="124"/>
      <c r="F85" s="124"/>
      <c r="G85" s="124"/>
      <c r="H85" s="124"/>
      <c r="I85" s="124"/>
    </row>
    <row r="86" spans="1:10">
      <c r="A86" s="1"/>
      <c r="B86" s="584"/>
      <c r="C86" s="584"/>
      <c r="D86" s="584"/>
      <c r="E86" s="124"/>
      <c r="F86" s="124"/>
      <c r="G86" s="124"/>
      <c r="H86" s="124"/>
      <c r="I86" s="124"/>
    </row>
    <row r="87" spans="1:10">
      <c r="A87" s="1"/>
      <c r="B87" s="584"/>
      <c r="C87" s="584"/>
      <c r="D87" s="584"/>
      <c r="E87" s="124"/>
      <c r="F87" s="124"/>
      <c r="G87" s="124"/>
      <c r="H87" s="124"/>
      <c r="I87" s="124"/>
    </row>
    <row r="88" spans="1:10">
      <c r="A88" s="1"/>
      <c r="B88" s="584"/>
      <c r="C88" s="584"/>
      <c r="D88" s="584"/>
      <c r="E88" s="124"/>
      <c r="F88" s="124"/>
      <c r="G88" s="124"/>
      <c r="H88" s="124"/>
      <c r="I88" s="124"/>
    </row>
    <row r="89" spans="1:10">
      <c r="A89" s="1"/>
      <c r="B89" s="124"/>
      <c r="C89" s="124"/>
      <c r="D89" s="124"/>
      <c r="E89" s="124"/>
      <c r="F89" s="124"/>
      <c r="G89" s="124"/>
      <c r="H89" s="124"/>
      <c r="I89" s="124"/>
    </row>
    <row r="90" spans="1:10">
      <c r="A90" s="1"/>
      <c r="B90" s="124"/>
      <c r="C90" s="124"/>
      <c r="D90" s="124"/>
      <c r="E90" s="124"/>
      <c r="F90" s="124"/>
      <c r="G90" s="124"/>
      <c r="H90" s="124"/>
      <c r="I90" s="124"/>
    </row>
    <row r="91" spans="1:10">
      <c r="A91" s="1"/>
      <c r="B91" s="124"/>
      <c r="C91" s="124"/>
      <c r="D91" s="124"/>
      <c r="E91" s="124"/>
      <c r="F91" s="124"/>
      <c r="G91" s="124"/>
      <c r="H91" s="124"/>
      <c r="I91" s="124"/>
    </row>
    <row r="92" spans="1:10">
      <c r="A92" s="1"/>
      <c r="B92" s="124"/>
      <c r="C92" s="124"/>
      <c r="D92" s="124"/>
      <c r="E92" s="124"/>
      <c r="F92" s="124"/>
      <c r="G92" s="124"/>
      <c r="H92" s="124"/>
      <c r="I92" s="124"/>
    </row>
    <row r="93" spans="1:10">
      <c r="A93" s="1"/>
      <c r="B93" s="42"/>
      <c r="C93" s="42"/>
      <c r="D93" s="42"/>
      <c r="E93" s="42"/>
      <c r="F93" s="42"/>
      <c r="G93" s="42"/>
      <c r="H93" s="42"/>
      <c r="I93" s="42"/>
    </row>
    <row r="94" spans="1:10">
      <c r="A94" s="562" t="s">
        <v>146</v>
      </c>
      <c r="B94" s="563">
        <f t="shared" ref="B94:I94" si="29">B$2</f>
        <v>2023</v>
      </c>
      <c r="C94" s="563">
        <f t="shared" si="29"/>
        <v>2024</v>
      </c>
      <c r="D94" s="563">
        <f t="shared" si="29"/>
        <v>2025</v>
      </c>
      <c r="E94" s="564">
        <f t="shared" si="29"/>
        <v>2026</v>
      </c>
      <c r="F94" s="564">
        <f t="shared" si="29"/>
        <v>2027</v>
      </c>
      <c r="G94" s="564">
        <f t="shared" si="29"/>
        <v>2028</v>
      </c>
      <c r="H94" s="564">
        <f t="shared" si="29"/>
        <v>2029</v>
      </c>
      <c r="I94" s="565">
        <f t="shared" si="29"/>
        <v>2030</v>
      </c>
      <c r="J94" s="426"/>
    </row>
    <row r="95" spans="1:10">
      <c r="A95" s="426" t="s">
        <v>147</v>
      </c>
      <c r="B95" s="426"/>
      <c r="C95" s="426"/>
      <c r="D95" s="426"/>
      <c r="E95" s="426"/>
      <c r="F95" s="426"/>
      <c r="G95" s="426"/>
      <c r="H95" s="426"/>
      <c r="I95" s="426"/>
      <c r="J95" s="426"/>
    </row>
    <row r="96" spans="1:10">
      <c r="A96" s="1" t="s">
        <v>89</v>
      </c>
      <c r="B96" s="599">
        <f t="shared" ref="B96:I100" si="30">B53+B66+B79</f>
        <v>641.30000000000007</v>
      </c>
      <c r="C96" s="599">
        <f t="shared" si="30"/>
        <v>698.1</v>
      </c>
      <c r="D96" s="599">
        <f t="shared" si="30"/>
        <v>708.90000000000009</v>
      </c>
      <c r="E96" s="608">
        <f t="shared" si="30"/>
        <v>693.3733517789002</v>
      </c>
      <c r="F96" s="608">
        <f t="shared" si="30"/>
        <v>725.31403961455453</v>
      </c>
      <c r="G96" s="608">
        <f t="shared" si="30"/>
        <v>758.77842436099127</v>
      </c>
      <c r="H96" s="608">
        <f t="shared" si="30"/>
        <v>793.84207577878192</v>
      </c>
      <c r="I96" s="608">
        <f t="shared" si="30"/>
        <v>830.58446503641164</v>
      </c>
      <c r="J96" s="426"/>
    </row>
    <row r="97" spans="1:10">
      <c r="A97" s="1" t="s">
        <v>90</v>
      </c>
      <c r="B97" s="599">
        <f t="shared" si="30"/>
        <v>122.39999999999999</v>
      </c>
      <c r="C97" s="599">
        <f t="shared" si="30"/>
        <v>139.70000000000002</v>
      </c>
      <c r="D97" s="599">
        <f t="shared" si="30"/>
        <v>145.6</v>
      </c>
      <c r="E97" s="608">
        <f t="shared" si="30"/>
        <v>136.37899608992632</v>
      </c>
      <c r="F97" s="608">
        <f t="shared" si="30"/>
        <v>142.2784271697229</v>
      </c>
      <c r="G97" s="608">
        <f t="shared" si="30"/>
        <v>148.43812619147127</v>
      </c>
      <c r="H97" s="608">
        <f t="shared" si="30"/>
        <v>154.86987326026619</v>
      </c>
      <c r="I97" s="608">
        <f t="shared" si="30"/>
        <v>161.58599880332562</v>
      </c>
      <c r="J97" s="426"/>
    </row>
    <row r="98" spans="1:10">
      <c r="A98" s="1" t="s">
        <v>91</v>
      </c>
      <c r="B98" s="599">
        <f t="shared" si="30"/>
        <v>675.4</v>
      </c>
      <c r="C98" s="599">
        <f t="shared" si="30"/>
        <v>700.10000000000014</v>
      </c>
      <c r="D98" s="599">
        <f t="shared" si="30"/>
        <v>753.5</v>
      </c>
      <c r="E98" s="608">
        <f t="shared" si="30"/>
        <v>673.49827182091792</v>
      </c>
      <c r="F98" s="608">
        <f t="shared" si="30"/>
        <v>704.75256751426105</v>
      </c>
      <c r="G98" s="608">
        <f t="shared" si="30"/>
        <v>737.50933473394298</v>
      </c>
      <c r="H98" s="608">
        <f t="shared" si="30"/>
        <v>771.84365651099358</v>
      </c>
      <c r="I98" s="608">
        <f t="shared" si="30"/>
        <v>807.83451913858482</v>
      </c>
      <c r="J98" s="426"/>
    </row>
    <row r="99" spans="1:10">
      <c r="A99" s="1" t="s">
        <v>142</v>
      </c>
      <c r="B99" s="599">
        <f t="shared" si="30"/>
        <v>72.800000000000011</v>
      </c>
      <c r="C99" s="599">
        <f t="shared" si="30"/>
        <v>83.200000000000017</v>
      </c>
      <c r="D99" s="599">
        <f t="shared" si="30"/>
        <v>89.7</v>
      </c>
      <c r="E99" s="608">
        <f t="shared" si="30"/>
        <v>99.530447388600493</v>
      </c>
      <c r="F99" s="608">
        <f t="shared" si="30"/>
        <v>104.0163181087723</v>
      </c>
      <c r="G99" s="608">
        <f t="shared" si="30"/>
        <v>108.71063039364856</v>
      </c>
      <c r="H99" s="608">
        <f t="shared" si="30"/>
        <v>113.62342278681669</v>
      </c>
      <c r="I99" s="608">
        <f t="shared" si="30"/>
        <v>118.76523659712241</v>
      </c>
      <c r="J99" s="426"/>
    </row>
    <row r="100" spans="1:10">
      <c r="A100" s="1" t="s">
        <v>143</v>
      </c>
      <c r="B100" s="599">
        <f t="shared" si="30"/>
        <v>152.4</v>
      </c>
      <c r="C100" s="599">
        <f t="shared" si="30"/>
        <v>155.9</v>
      </c>
      <c r="D100" s="599">
        <f t="shared" si="30"/>
        <v>157.69999999999999</v>
      </c>
      <c r="E100" s="608">
        <f t="shared" si="30"/>
        <v>166.13</v>
      </c>
      <c r="F100" s="608">
        <f t="shared" si="30"/>
        <v>166.13</v>
      </c>
      <c r="G100" s="608">
        <f t="shared" si="30"/>
        <v>166.13</v>
      </c>
      <c r="H100" s="608">
        <f t="shared" si="30"/>
        <v>166.13</v>
      </c>
      <c r="I100" s="608">
        <f t="shared" si="30"/>
        <v>166.13</v>
      </c>
      <c r="J100" s="426"/>
    </row>
    <row r="101" spans="1:10">
      <c r="A101" s="1" t="s">
        <v>144</v>
      </c>
      <c r="B101" s="599">
        <f t="shared" ref="B101:I101" si="31">B58+B71</f>
        <v>0</v>
      </c>
      <c r="C101" s="599">
        <f t="shared" si="31"/>
        <v>357.09999999999997</v>
      </c>
      <c r="D101" s="599">
        <f t="shared" si="31"/>
        <v>0</v>
      </c>
      <c r="E101" s="608">
        <f t="shared" si="31"/>
        <v>0</v>
      </c>
      <c r="F101" s="608">
        <f t="shared" si="31"/>
        <v>0</v>
      </c>
      <c r="G101" s="608">
        <f t="shared" si="31"/>
        <v>0</v>
      </c>
      <c r="H101" s="608">
        <f t="shared" si="31"/>
        <v>0</v>
      </c>
      <c r="I101" s="608">
        <f t="shared" si="31"/>
        <v>0</v>
      </c>
      <c r="J101" s="426"/>
    </row>
    <row r="102" spans="1:10" s="40" customFormat="1" ht="17" thickBot="1">
      <c r="A102" s="427" t="s">
        <v>148</v>
      </c>
      <c r="B102" s="600">
        <f t="shared" ref="B102:I102" si="32">SUM(B96:B101)</f>
        <v>1664.3</v>
      </c>
      <c r="C102" s="600">
        <f t="shared" si="32"/>
        <v>2134.1000000000004</v>
      </c>
      <c r="D102" s="600">
        <f t="shared" si="32"/>
        <v>1855.4</v>
      </c>
      <c r="E102" s="609">
        <f t="shared" si="32"/>
        <v>1768.9110670783448</v>
      </c>
      <c r="F102" s="609">
        <f t="shared" si="32"/>
        <v>1842.4913524073108</v>
      </c>
      <c r="G102" s="609">
        <f t="shared" si="32"/>
        <v>1919.5665156800542</v>
      </c>
      <c r="H102" s="609">
        <f t="shared" si="32"/>
        <v>2000.3090283368583</v>
      </c>
      <c r="I102" s="609">
        <f t="shared" si="32"/>
        <v>2084.9002195754442</v>
      </c>
      <c r="J102" s="427"/>
    </row>
    <row r="103" spans="1:10" ht="17" thickTop="1">
      <c r="A103" s="427"/>
      <c r="B103" s="601"/>
      <c r="C103" s="601"/>
      <c r="D103" s="601"/>
      <c r="E103" s="426"/>
      <c r="F103" s="426"/>
      <c r="G103" s="426"/>
      <c r="H103" s="426"/>
      <c r="I103" s="426"/>
      <c r="J103" s="426"/>
    </row>
    <row r="104" spans="1:10">
      <c r="A104" s="562" t="s">
        <v>149</v>
      </c>
      <c r="B104" s="563">
        <f t="shared" ref="B104:I104" si="33">B$2</f>
        <v>2023</v>
      </c>
      <c r="C104" s="563">
        <f t="shared" si="33"/>
        <v>2024</v>
      </c>
      <c r="D104" s="563">
        <f t="shared" si="33"/>
        <v>2025</v>
      </c>
      <c r="E104" s="564">
        <f t="shared" si="33"/>
        <v>2026</v>
      </c>
      <c r="F104" s="564">
        <f t="shared" si="33"/>
        <v>2027</v>
      </c>
      <c r="G104" s="564">
        <f t="shared" si="33"/>
        <v>2028</v>
      </c>
      <c r="H104" s="564">
        <f t="shared" si="33"/>
        <v>2029</v>
      </c>
      <c r="I104" s="565">
        <f t="shared" si="33"/>
        <v>2030</v>
      </c>
      <c r="J104" s="123"/>
    </row>
    <row r="105" spans="1:10">
      <c r="A105" s="426" t="s">
        <v>147</v>
      </c>
      <c r="B105" s="426"/>
      <c r="C105" s="426"/>
      <c r="D105" s="426"/>
      <c r="E105" s="426"/>
      <c r="F105" s="426"/>
      <c r="G105" s="426"/>
      <c r="H105" s="426"/>
      <c r="I105" s="426"/>
      <c r="J105" s="123"/>
    </row>
    <row r="106" spans="1:10">
      <c r="A106" s="426" t="s">
        <v>34</v>
      </c>
      <c r="B106" s="602">
        <f>'Data Source'!E549</f>
        <v>28.3</v>
      </c>
      <c r="C106" s="602">
        <f>'Data Source'!F549</f>
        <v>29.2</v>
      </c>
      <c r="D106" s="602">
        <f>'Data Source'!G549</f>
        <v>16</v>
      </c>
      <c r="E106" s="150">
        <f>E42*'Assumption table'!$J$7</f>
        <v>29.890003634439953</v>
      </c>
      <c r="F106" s="150">
        <f>F42*'Assumption table'!$J$7</f>
        <v>31.237156145530946</v>
      </c>
      <c r="G106" s="150">
        <f>G42*'Assumption table'!$J$7</f>
        <v>32.646905774288442</v>
      </c>
      <c r="H106" s="150">
        <f>H42*'Assumption table'!$J$7</f>
        <v>34.122267197247986</v>
      </c>
      <c r="I106" s="150">
        <f>I42*'Assumption table'!$J$7</f>
        <v>35.666406076455452</v>
      </c>
      <c r="J106" s="123"/>
    </row>
    <row r="107" spans="1:10">
      <c r="A107" s="426" t="s">
        <v>150</v>
      </c>
      <c r="B107" s="601"/>
      <c r="C107" s="601"/>
      <c r="D107" s="601"/>
      <c r="E107" s="150">
        <f>E106-D106</f>
        <v>13.890003634439953</v>
      </c>
      <c r="F107" s="150">
        <f>F106-E106</f>
        <v>1.347152511090993</v>
      </c>
      <c r="G107" s="150">
        <f>G106-F106</f>
        <v>1.4097496287574955</v>
      </c>
      <c r="H107" s="150">
        <f>H106-G106</f>
        <v>1.4753614229595442</v>
      </c>
      <c r="I107" s="150">
        <f>I106-H106</f>
        <v>1.5441388792074662</v>
      </c>
      <c r="J107" s="123"/>
    </row>
    <row r="108" spans="1:10">
      <c r="A108" s="426" t="s">
        <v>36</v>
      </c>
      <c r="B108" s="602">
        <f>'Data Source'!E550</f>
        <v>317.8</v>
      </c>
      <c r="C108" s="602">
        <f>'Data Source'!F550</f>
        <v>348.2</v>
      </c>
      <c r="D108" s="602">
        <f>'Data Source'!G550</f>
        <v>367.5</v>
      </c>
      <c r="E108" s="150">
        <f>E42*'Assumption table'!$J$8</f>
        <v>350.90607971232515</v>
      </c>
      <c r="F108" s="150">
        <f>F42*'Assumption table'!$J$8</f>
        <v>366.721534679245</v>
      </c>
      <c r="G108" s="150">
        <f>G42*'Assumption table'!$J$8</f>
        <v>383.27187444010093</v>
      </c>
      <c r="H108" s="150">
        <f>H42*'Assumption table'!$J$8</f>
        <v>400.5924910389229</v>
      </c>
      <c r="I108" s="150">
        <f>I42*'Assumption table'!$J$8</f>
        <v>418.72054907668593</v>
      </c>
      <c r="J108" s="123"/>
    </row>
    <row r="109" spans="1:10">
      <c r="A109" s="426" t="s">
        <v>150</v>
      </c>
      <c r="B109" s="601"/>
      <c r="C109" s="601"/>
      <c r="D109" s="601"/>
      <c r="E109" s="150">
        <f>E108-D108</f>
        <v>-16.593920287674848</v>
      </c>
      <c r="F109" s="150">
        <f>F108-E108</f>
        <v>15.815454966919845</v>
      </c>
      <c r="G109" s="150">
        <f>G108-F108</f>
        <v>16.550339760855934</v>
      </c>
      <c r="H109" s="150">
        <f>H108-G108</f>
        <v>17.320616598821971</v>
      </c>
      <c r="I109" s="150">
        <f>I108-H108</f>
        <v>18.128058037763026</v>
      </c>
      <c r="J109" s="123"/>
    </row>
    <row r="110" spans="1:10">
      <c r="A110" s="426" t="s">
        <v>37</v>
      </c>
      <c r="B110" s="602">
        <f>'Data Source'!E551</f>
        <v>895.1</v>
      </c>
      <c r="C110" s="602">
        <f>'Data Source'!F551</f>
        <v>1000.4</v>
      </c>
      <c r="D110" s="602">
        <f>'Data Source'!G551</f>
        <v>911.1</v>
      </c>
      <c r="E110" s="150">
        <f>E42*'Assumption table'!$J$9</f>
        <v>985.40223057339426</v>
      </c>
      <c r="F110" s="150">
        <f>F42*'Assumption table'!$J$9</f>
        <v>1029.8146403404526</v>
      </c>
      <c r="G110" s="150">
        <f>G42*'Assumption table'!$J$9</f>
        <v>1076.2907279889339</v>
      </c>
      <c r="H110" s="150">
        <f>H42*'Assumption table'!$J$9</f>
        <v>1124.929880224136</v>
      </c>
      <c r="I110" s="150">
        <f>I42*'Assumption table'!$J$9</f>
        <v>1175.8364613840297</v>
      </c>
      <c r="J110" s="123"/>
    </row>
    <row r="111" spans="1:10">
      <c r="A111" s="426" t="s">
        <v>150</v>
      </c>
      <c r="B111" s="601"/>
      <c r="C111" s="601"/>
      <c r="D111" s="601"/>
      <c r="E111" s="150">
        <f>E110-D110</f>
        <v>74.30223057339424</v>
      </c>
      <c r="F111" s="150">
        <f>F110-E110</f>
        <v>44.412409767058307</v>
      </c>
      <c r="G111" s="150">
        <f>G110-F110</f>
        <v>46.476087648481325</v>
      </c>
      <c r="H111" s="150">
        <f>H110-G110</f>
        <v>48.639152235202118</v>
      </c>
      <c r="I111" s="150">
        <f>I110-H110</f>
        <v>50.906581159893676</v>
      </c>
      <c r="J111" s="123"/>
    </row>
    <row r="112" spans="1:10">
      <c r="A112" s="426" t="s">
        <v>38</v>
      </c>
      <c r="B112" s="602">
        <f>'Data Source'!E552</f>
        <v>122.6</v>
      </c>
      <c r="C112" s="602">
        <f>'Data Source'!F552</f>
        <v>129.6</v>
      </c>
      <c r="D112" s="602">
        <f>'Data Source'!G552</f>
        <v>138.9</v>
      </c>
      <c r="E112" s="150">
        <f>E42*'Assumption table'!$J$10</f>
        <v>132.11805367582187</v>
      </c>
      <c r="F112" s="150">
        <f>F42*'Assumption table'!$J$10</f>
        <v>138.07265876542317</v>
      </c>
      <c r="G112" s="150">
        <f>G42*'Assumption table'!$J$10</f>
        <v>144.30395198972533</v>
      </c>
      <c r="H112" s="150">
        <f>H42*'Assumption table'!$J$10</f>
        <v>150.82525864641684</v>
      </c>
      <c r="I112" s="150">
        <f>I42*'Assumption table'!$J$10</f>
        <v>157.65057141054749</v>
      </c>
      <c r="J112" s="123"/>
    </row>
    <row r="113" spans="1:11">
      <c r="A113" s="426" t="s">
        <v>150</v>
      </c>
      <c r="B113" s="601"/>
      <c r="C113" s="601"/>
      <c r="D113" s="601"/>
      <c r="E113" s="150">
        <f>E112-D112</f>
        <v>-6.7819463241781364</v>
      </c>
      <c r="F113" s="150">
        <f>F112-E112</f>
        <v>5.9546050896013014</v>
      </c>
      <c r="G113" s="150">
        <f>G112-F112</f>
        <v>6.2312932243021635</v>
      </c>
      <c r="H113" s="150">
        <f>H112-G112</f>
        <v>6.5213066566915074</v>
      </c>
      <c r="I113" s="150">
        <f>I112-H112</f>
        <v>6.8253127641306435</v>
      </c>
      <c r="J113" s="123"/>
    </row>
    <row r="114" spans="1:11" ht="17" customHeight="1">
      <c r="A114" s="426" t="s">
        <v>39</v>
      </c>
      <c r="B114" s="602">
        <f>'Data Source'!E553</f>
        <v>105.2</v>
      </c>
      <c r="C114" s="602">
        <f>'Data Source'!F553</f>
        <v>129.30000000000001</v>
      </c>
      <c r="D114" s="602">
        <f>'Data Source'!G553</f>
        <v>131.6</v>
      </c>
      <c r="E114" s="150">
        <f>E42*'Assumption table'!$J$11</f>
        <v>118.52507989983886</v>
      </c>
      <c r="F114" s="150">
        <f>F42*'Assumption table'!$J$11</f>
        <v>123.86704509218669</v>
      </c>
      <c r="G114" s="150">
        <f>G42*'Assumption table'!$J$11</f>
        <v>129.45723134411222</v>
      </c>
      <c r="H114" s="150">
        <f>H42*'Assumption table'!$J$11</f>
        <v>135.30759297926215</v>
      </c>
      <c r="I114" s="150">
        <f>I42*'Assumption table'!$J$11</f>
        <v>141.43068303548529</v>
      </c>
      <c r="J114" s="123"/>
      <c r="K114" s="87"/>
    </row>
    <row r="115" spans="1:11" ht="17" customHeight="1">
      <c r="A115" s="426" t="s">
        <v>150</v>
      </c>
      <c r="B115" s="601"/>
      <c r="C115" s="601"/>
      <c r="D115" s="601"/>
      <c r="E115" s="150">
        <f>E114-D114</f>
        <v>-13.074920100161137</v>
      </c>
      <c r="F115" s="150">
        <f>F114-E114</f>
        <v>5.3419651923478284</v>
      </c>
      <c r="G115" s="150">
        <f>G114-F114</f>
        <v>5.5901862519255303</v>
      </c>
      <c r="H115" s="150">
        <f>H114-G114</f>
        <v>5.8503616351499375</v>
      </c>
      <c r="I115" s="150">
        <f>I114-H114</f>
        <v>6.1230900562231341</v>
      </c>
      <c r="J115" s="123"/>
    </row>
    <row r="116" spans="1:11" ht="17" customHeight="1">
      <c r="A116" s="426" t="s">
        <v>41</v>
      </c>
      <c r="B116" s="602">
        <f>'Data Source'!E554</f>
        <v>348.4</v>
      </c>
      <c r="C116" s="602">
        <f>'Data Source'!F554</f>
        <v>215.1</v>
      </c>
      <c r="D116" s="602">
        <f>'Data Source'!G554</f>
        <v>131.9</v>
      </c>
      <c r="E116" s="150">
        <f>E42*'Assumption table'!$J$12</f>
        <v>201.42521549468105</v>
      </c>
      <c r="F116" s="150">
        <f>F42*'Assumption table'!$J$12</f>
        <v>210.5035176645091</v>
      </c>
      <c r="G116" s="150">
        <f>G42*'Assumption table'!$J$12</f>
        <v>220.00365444063317</v>
      </c>
      <c r="H116" s="150">
        <f>H42*'Assumption table'!$J$12</f>
        <v>229.94594137330364</v>
      </c>
      <c r="I116" s="150">
        <f>I42*'Assumption table'!$J$12</f>
        <v>240.35171148634922</v>
      </c>
      <c r="J116" s="123"/>
    </row>
    <row r="117" spans="1:11" ht="17" customHeight="1">
      <c r="A117" s="426" t="s">
        <v>150</v>
      </c>
      <c r="B117" s="601"/>
      <c r="C117" s="601"/>
      <c r="D117" s="601"/>
      <c r="E117" s="150">
        <f>E116-D116</f>
        <v>69.525215494681049</v>
      </c>
      <c r="F117" s="150">
        <f>F116-E116</f>
        <v>9.0783021698280493</v>
      </c>
      <c r="G117" s="150">
        <f>G116-F116</f>
        <v>9.5001367761240658</v>
      </c>
      <c r="H117" s="150">
        <f>H116-G116</f>
        <v>9.9422869326704699</v>
      </c>
      <c r="I117" s="150">
        <f>I116-H116</f>
        <v>10.405770113045577</v>
      </c>
      <c r="J117" s="123"/>
    </row>
    <row r="118" spans="1:11" ht="17" customHeight="1">
      <c r="A118" s="426"/>
      <c r="B118" s="601"/>
      <c r="C118" s="601"/>
      <c r="D118" s="601"/>
      <c r="E118" s="426"/>
      <c r="F118" s="426"/>
      <c r="G118" s="426"/>
      <c r="H118" s="426"/>
      <c r="I118" s="426"/>
      <c r="J118" s="123"/>
    </row>
    <row r="119" spans="1:11" ht="17" customHeight="1">
      <c r="A119" s="426"/>
      <c r="B119" s="603"/>
      <c r="C119" s="603"/>
      <c r="D119" s="603"/>
      <c r="E119" s="426"/>
      <c r="F119" s="426"/>
      <c r="G119" s="426"/>
      <c r="H119" s="426"/>
      <c r="I119" s="426"/>
      <c r="J119" s="123"/>
    </row>
    <row r="120" spans="1:11">
      <c r="A120" s="426" t="s">
        <v>151</v>
      </c>
      <c r="B120" s="604">
        <f>'Data Source'!E555</f>
        <v>1817.4</v>
      </c>
      <c r="C120" s="604">
        <f>'Data Source'!F555</f>
        <v>1851.8</v>
      </c>
      <c r="D120" s="604">
        <f>'Data Source'!G555</f>
        <v>1697</v>
      </c>
      <c r="E120" s="573">
        <f>E106+E108+E110+E112+E114+E116</f>
        <v>1818.2666629905009</v>
      </c>
      <c r="F120" s="573">
        <f>F106+F108+F110+F112+F114+F116</f>
        <v>1900.2165526873478</v>
      </c>
      <c r="G120" s="573">
        <f>G106+G108+G110+G112+G114+G116</f>
        <v>1985.9743459777942</v>
      </c>
      <c r="H120" s="573">
        <f>H106+H108+H110+H112+H114+H116</f>
        <v>2075.7234314592897</v>
      </c>
      <c r="I120" s="573">
        <f>I106+I108+I110+I112+I114+I116</f>
        <v>2169.6563824695531</v>
      </c>
      <c r="J120" s="123"/>
    </row>
    <row r="121" spans="1:11">
      <c r="A121" s="426" t="s">
        <v>152</v>
      </c>
      <c r="B121" s="604">
        <f>'Data Source'!E556</f>
        <v>889.7</v>
      </c>
      <c r="C121" s="604">
        <f>'Data Source'!F556</f>
        <v>920.1</v>
      </c>
      <c r="D121" s="604">
        <f>'Data Source'!G556</f>
        <v>874.2</v>
      </c>
      <c r="E121" s="575">
        <f>D121+E181</f>
        <v>973.73044738860051</v>
      </c>
      <c r="F121" s="575">
        <f>E121+F181</f>
        <v>1077.7467654973727</v>
      </c>
      <c r="G121" s="575">
        <f>F121+G181</f>
        <v>1186.4573958910212</v>
      </c>
      <c r="H121" s="575">
        <f>G121+H181</f>
        <v>1300.0808186778379</v>
      </c>
      <c r="I121" s="575">
        <f>H121+I181</f>
        <v>1418.8460552749602</v>
      </c>
      <c r="J121" s="123"/>
    </row>
    <row r="122" spans="1:11">
      <c r="A122" s="123"/>
      <c r="B122" s="605"/>
      <c r="C122" s="605"/>
      <c r="D122" s="605"/>
      <c r="E122" s="123"/>
      <c r="F122" s="123"/>
      <c r="G122" s="123"/>
      <c r="H122" s="123"/>
      <c r="I122" s="123"/>
      <c r="J122" s="123"/>
    </row>
    <row r="123" spans="1:11">
      <c r="A123" s="562" t="s">
        <v>153</v>
      </c>
      <c r="B123" s="563">
        <f t="shared" ref="B123:I123" si="34">B$2</f>
        <v>2023</v>
      </c>
      <c r="C123" s="563">
        <f t="shared" si="34"/>
        <v>2024</v>
      </c>
      <c r="D123" s="563">
        <f t="shared" si="34"/>
        <v>2025</v>
      </c>
      <c r="E123" s="564">
        <f t="shared" si="34"/>
        <v>2026</v>
      </c>
      <c r="F123" s="564">
        <f t="shared" si="34"/>
        <v>2027</v>
      </c>
      <c r="G123" s="564">
        <f t="shared" si="34"/>
        <v>2028</v>
      </c>
      <c r="H123" s="564">
        <f t="shared" si="34"/>
        <v>2029</v>
      </c>
      <c r="I123" s="565">
        <f t="shared" si="34"/>
        <v>2030</v>
      </c>
      <c r="J123" s="123"/>
    </row>
    <row r="124" spans="1:11">
      <c r="A124" s="426" t="s">
        <v>154</v>
      </c>
      <c r="B124" s="426"/>
      <c r="C124" s="426"/>
      <c r="D124" s="426"/>
      <c r="E124" s="426"/>
      <c r="F124" s="426"/>
      <c r="G124" s="426"/>
      <c r="H124" s="426"/>
      <c r="I124" s="426"/>
      <c r="J124" s="123"/>
    </row>
    <row r="125" spans="1:11">
      <c r="A125" s="413" t="s">
        <v>34</v>
      </c>
      <c r="B125" s="426"/>
      <c r="C125" s="426"/>
      <c r="D125" s="602">
        <f>D106</f>
        <v>16</v>
      </c>
      <c r="E125" s="150">
        <f>E107</f>
        <v>13.890003634439953</v>
      </c>
      <c r="F125" s="150">
        <f>F107</f>
        <v>1.347152511090993</v>
      </c>
      <c r="G125" s="150">
        <f>G107</f>
        <v>1.4097496287574955</v>
      </c>
      <c r="H125" s="150">
        <f>H107</f>
        <v>1.4753614229595442</v>
      </c>
      <c r="I125" s="150">
        <f>I107</f>
        <v>1.5441388792074662</v>
      </c>
      <c r="J125" s="123"/>
    </row>
    <row r="126" spans="1:11">
      <c r="A126" s="709" t="s">
        <v>36</v>
      </c>
      <c r="B126" s="709"/>
      <c r="C126" s="709"/>
      <c r="D126" s="602">
        <f>D108</f>
        <v>367.5</v>
      </c>
      <c r="E126" s="150">
        <f>E109</f>
        <v>-16.593920287674848</v>
      </c>
      <c r="F126" s="150">
        <f>F109</f>
        <v>15.815454966919845</v>
      </c>
      <c r="G126" s="150">
        <f>G109</f>
        <v>16.550339760855934</v>
      </c>
      <c r="H126" s="150">
        <f>H109</f>
        <v>17.320616598821971</v>
      </c>
      <c r="I126" s="150">
        <f>I109</f>
        <v>18.128058037763026</v>
      </c>
      <c r="J126" s="123"/>
    </row>
    <row r="127" spans="1:11">
      <c r="A127" s="709" t="s">
        <v>37</v>
      </c>
      <c r="B127" s="709"/>
      <c r="C127" s="426"/>
      <c r="D127" s="602">
        <f>D110</f>
        <v>911.1</v>
      </c>
      <c r="E127" s="150">
        <f>E111</f>
        <v>74.30223057339424</v>
      </c>
      <c r="F127" s="150">
        <f>F111</f>
        <v>44.412409767058307</v>
      </c>
      <c r="G127" s="150">
        <f>G111</f>
        <v>46.476087648481325</v>
      </c>
      <c r="H127" s="150">
        <f>H111</f>
        <v>48.639152235202118</v>
      </c>
      <c r="I127" s="150">
        <f>I111</f>
        <v>50.906581159893676</v>
      </c>
      <c r="J127" s="123"/>
    </row>
    <row r="128" spans="1:11">
      <c r="A128" s="413" t="s">
        <v>38</v>
      </c>
      <c r="B128" s="426"/>
      <c r="C128" s="426"/>
      <c r="D128" s="602">
        <f>D112</f>
        <v>138.9</v>
      </c>
      <c r="E128" s="150">
        <f>E113</f>
        <v>-6.7819463241781364</v>
      </c>
      <c r="F128" s="150">
        <f>F113</f>
        <v>5.9546050896013014</v>
      </c>
      <c r="G128" s="150">
        <f>G113</f>
        <v>6.2312932243021635</v>
      </c>
      <c r="H128" s="150">
        <f>H113</f>
        <v>6.5213066566915074</v>
      </c>
      <c r="I128" s="150">
        <f>I113</f>
        <v>6.8253127641306435</v>
      </c>
      <c r="J128" s="123"/>
    </row>
    <row r="129" spans="1:10" ht="16" customHeight="1">
      <c r="A129" s="709" t="s">
        <v>39</v>
      </c>
      <c r="B129" s="709"/>
      <c r="C129" s="709"/>
      <c r="D129" s="602">
        <f>D114</f>
        <v>131.6</v>
      </c>
      <c r="E129" s="150">
        <f>E115</f>
        <v>-13.074920100161137</v>
      </c>
      <c r="F129" s="150">
        <f>F115</f>
        <v>5.3419651923478284</v>
      </c>
      <c r="G129" s="150">
        <f>G115</f>
        <v>5.5901862519255303</v>
      </c>
      <c r="H129" s="150">
        <f>H115</f>
        <v>5.8503616351499375</v>
      </c>
      <c r="I129" s="150">
        <f>I115</f>
        <v>6.1230900562231341</v>
      </c>
      <c r="J129" s="123"/>
    </row>
    <row r="130" spans="1:10" ht="16" customHeight="1">
      <c r="A130" s="709" t="s">
        <v>41</v>
      </c>
      <c r="B130" s="709"/>
      <c r="C130" s="426"/>
      <c r="D130" s="602">
        <f>D116</f>
        <v>131.9</v>
      </c>
      <c r="E130" s="150">
        <f>E117</f>
        <v>69.525215494681049</v>
      </c>
      <c r="F130" s="150">
        <f>F117</f>
        <v>9.0783021698280493</v>
      </c>
      <c r="G130" s="150">
        <f>G117</f>
        <v>9.5001367761240658</v>
      </c>
      <c r="H130" s="150">
        <f>H117</f>
        <v>9.9422869326704699</v>
      </c>
      <c r="I130" s="150">
        <f>I117</f>
        <v>10.405770113045577</v>
      </c>
      <c r="J130" s="123"/>
    </row>
    <row r="131" spans="1:10" ht="16" customHeight="1">
      <c r="A131" s="413"/>
      <c r="B131" s="413"/>
      <c r="C131" s="426"/>
      <c r="D131" s="602"/>
      <c r="E131" s="150"/>
      <c r="F131" s="150"/>
      <c r="G131" s="150"/>
      <c r="H131" s="150"/>
      <c r="I131" s="150"/>
      <c r="J131" s="123"/>
    </row>
    <row r="132" spans="1:10" ht="16" customHeight="1">
      <c r="A132" s="413"/>
      <c r="B132" s="413"/>
      <c r="C132" s="426"/>
      <c r="D132" s="602"/>
      <c r="E132" s="150"/>
      <c r="F132" s="150"/>
      <c r="G132" s="150"/>
      <c r="H132" s="150"/>
      <c r="I132" s="150"/>
      <c r="J132" s="123"/>
    </row>
    <row r="133" spans="1:10" ht="16" customHeight="1">
      <c r="A133" s="413"/>
      <c r="B133" s="413"/>
      <c r="C133" s="426"/>
      <c r="D133" s="602"/>
      <c r="E133" s="150"/>
      <c r="F133" s="150"/>
      <c r="G133" s="150"/>
      <c r="H133" s="150"/>
      <c r="I133" s="150"/>
      <c r="J133" s="123"/>
    </row>
    <row r="134" spans="1:10" ht="16" customHeight="1">
      <c r="A134" s="413"/>
      <c r="B134" s="413"/>
      <c r="C134" s="426"/>
      <c r="D134" s="602"/>
      <c r="E134" s="150"/>
      <c r="F134" s="150"/>
      <c r="G134" s="150"/>
      <c r="H134" s="150"/>
      <c r="I134" s="150"/>
      <c r="J134" s="123"/>
    </row>
    <row r="135" spans="1:10" ht="16" customHeight="1">
      <c r="A135" s="413"/>
      <c r="B135" s="413"/>
      <c r="C135" s="426"/>
      <c r="D135" s="602"/>
      <c r="E135" s="150"/>
      <c r="F135" s="150"/>
      <c r="G135" s="150"/>
      <c r="H135" s="150"/>
      <c r="I135" s="150"/>
      <c r="J135" s="123"/>
    </row>
    <row r="136" spans="1:10">
      <c r="A136" s="413"/>
      <c r="B136" s="426"/>
      <c r="C136" s="426"/>
      <c r="D136" s="426"/>
      <c r="E136" s="426"/>
      <c r="F136" s="426"/>
      <c r="G136" s="426"/>
      <c r="H136" s="426"/>
      <c r="I136" s="426"/>
      <c r="J136" s="123"/>
    </row>
    <row r="137" spans="1:10">
      <c r="A137" s="562" t="s">
        <v>155</v>
      </c>
      <c r="B137" s="563">
        <f t="shared" ref="B137:I137" si="35">B$2</f>
        <v>2023</v>
      </c>
      <c r="C137" s="563">
        <f t="shared" si="35"/>
        <v>2024</v>
      </c>
      <c r="D137" s="563">
        <f t="shared" si="35"/>
        <v>2025</v>
      </c>
      <c r="E137" s="564">
        <f t="shared" si="35"/>
        <v>2026</v>
      </c>
      <c r="F137" s="564">
        <f t="shared" si="35"/>
        <v>2027</v>
      </c>
      <c r="G137" s="564">
        <f t="shared" si="35"/>
        <v>2028</v>
      </c>
      <c r="H137" s="564">
        <f t="shared" si="35"/>
        <v>2029</v>
      </c>
      <c r="I137" s="565">
        <f t="shared" si="35"/>
        <v>2030</v>
      </c>
    </row>
    <row r="138" spans="1:10">
      <c r="A138" s="426" t="str">
        <f>'Assumption table'!I18</f>
        <v>Buildings and improvements</v>
      </c>
      <c r="B138" s="426"/>
      <c r="C138" s="426"/>
      <c r="D138" s="426"/>
      <c r="E138" s="426"/>
      <c r="F138" s="426"/>
      <c r="G138" s="426"/>
      <c r="H138" s="426"/>
      <c r="I138" s="426"/>
    </row>
    <row r="139" spans="1:10">
      <c r="A139" s="426" t="s">
        <v>51</v>
      </c>
      <c r="B139" s="111">
        <f>'Assumption table'!$J$18</f>
        <v>40</v>
      </c>
      <c r="C139" s="426"/>
      <c r="D139" s="426"/>
      <c r="E139" s="426"/>
      <c r="F139" s="426"/>
      <c r="G139" s="426"/>
      <c r="H139" s="426"/>
      <c r="I139" s="426"/>
    </row>
    <row r="140" spans="1:10" ht="16" customHeight="1">
      <c r="A140" s="426"/>
      <c r="B140" s="725" t="s">
        <v>156</v>
      </c>
      <c r="C140" s="725"/>
      <c r="D140" s="140">
        <f>D126</f>
        <v>367.5</v>
      </c>
      <c r="E140" s="140">
        <f>D140/$B$139</f>
        <v>9.1875</v>
      </c>
      <c r="F140" s="143">
        <f>E140</f>
        <v>9.1875</v>
      </c>
      <c r="G140" s="143">
        <f>F140</f>
        <v>9.1875</v>
      </c>
      <c r="H140" s="143">
        <f>G140</f>
        <v>9.1875</v>
      </c>
      <c r="I140" s="143">
        <f>H140</f>
        <v>9.1875</v>
      </c>
    </row>
    <row r="141" spans="1:10" ht="16" customHeight="1">
      <c r="A141" s="426"/>
      <c r="B141" s="725" t="s">
        <v>157</v>
      </c>
      <c r="C141" s="725"/>
      <c r="D141" s="426"/>
      <c r="E141" s="426"/>
      <c r="F141" s="426"/>
      <c r="G141" s="426"/>
      <c r="H141" s="426"/>
      <c r="I141" s="426"/>
    </row>
    <row r="142" spans="1:10">
      <c r="A142" s="426">
        <v>2026</v>
      </c>
      <c r="B142" s="141" cm="1">
        <f t="array" ref="B142:B146">TRANSPOSE(E126:I126)</f>
        <v>-16.593920287674848</v>
      </c>
      <c r="C142" s="426"/>
      <c r="D142" s="426"/>
      <c r="E142" s="141">
        <f>B142/$B$139</f>
        <v>-0.4148480071918712</v>
      </c>
      <c r="F142" s="141">
        <f>E142</f>
        <v>-0.4148480071918712</v>
      </c>
      <c r="G142" s="141">
        <f>F142</f>
        <v>-0.4148480071918712</v>
      </c>
      <c r="H142" s="141">
        <f>G142</f>
        <v>-0.4148480071918712</v>
      </c>
      <c r="I142" s="141">
        <f>H142</f>
        <v>-0.4148480071918712</v>
      </c>
    </row>
    <row r="143" spans="1:10">
      <c r="A143" s="426">
        <v>2027</v>
      </c>
      <c r="B143" s="141">
        <v>15.815454966919845</v>
      </c>
      <c r="C143" s="426"/>
      <c r="D143" s="426"/>
      <c r="E143" s="426"/>
      <c r="F143" s="142">
        <f>B143/$B$139</f>
        <v>0.3953863741729961</v>
      </c>
      <c r="G143" s="142">
        <f>F143</f>
        <v>0.3953863741729961</v>
      </c>
      <c r="H143" s="142">
        <f>G143</f>
        <v>0.3953863741729961</v>
      </c>
      <c r="I143" s="142">
        <f>H143</f>
        <v>0.3953863741729961</v>
      </c>
    </row>
    <row r="144" spans="1:10">
      <c r="A144" s="426">
        <v>2028</v>
      </c>
      <c r="B144" s="141">
        <v>16.550339760855934</v>
      </c>
      <c r="C144" s="426"/>
      <c r="D144" s="426"/>
      <c r="E144" s="426"/>
      <c r="F144" s="154"/>
      <c r="G144" s="142">
        <f>B144/$B$139</f>
        <v>0.41375849402139836</v>
      </c>
      <c r="H144" s="142">
        <f>G144</f>
        <v>0.41375849402139836</v>
      </c>
      <c r="I144" s="142">
        <f>H144</f>
        <v>0.41375849402139836</v>
      </c>
    </row>
    <row r="145" spans="1:12">
      <c r="A145" s="426">
        <v>2029</v>
      </c>
      <c r="B145" s="141">
        <v>17.320616598821971</v>
      </c>
      <c r="C145" s="426"/>
      <c r="D145" s="426"/>
      <c r="E145" s="426"/>
      <c r="F145" s="154"/>
      <c r="G145" s="154"/>
      <c r="H145" s="142">
        <f>B145/$B$139</f>
        <v>0.43301541497054929</v>
      </c>
      <c r="I145" s="142">
        <f>H145</f>
        <v>0.43301541497054929</v>
      </c>
    </row>
    <row r="146" spans="1:12">
      <c r="A146" s="426">
        <v>2030</v>
      </c>
      <c r="B146" s="141">
        <v>18.128058037763026</v>
      </c>
      <c r="C146" s="426"/>
      <c r="D146" s="426"/>
      <c r="E146" s="426"/>
      <c r="F146" s="154"/>
      <c r="G146" s="154"/>
      <c r="H146" s="155"/>
      <c r="I146" s="142">
        <f>B146/$B$139</f>
        <v>0.45320145094407566</v>
      </c>
    </row>
    <row r="147" spans="1:12">
      <c r="A147" s="427" t="s">
        <v>158</v>
      </c>
      <c r="B147" s="427"/>
      <c r="C147" s="427"/>
      <c r="D147" s="427"/>
      <c r="E147" s="578">
        <f>SUM(E140:E146)</f>
        <v>8.7726519928081288</v>
      </c>
      <c r="F147" s="578">
        <f>SUM(F140:F146)</f>
        <v>9.1680383669811256</v>
      </c>
      <c r="G147" s="578">
        <f>SUM(G140:G146)</f>
        <v>9.5817968610025233</v>
      </c>
      <c r="H147" s="578">
        <f>SUM(H140:H146)</f>
        <v>10.014812275973073</v>
      </c>
      <c r="I147" s="578">
        <f>SUM(I140:I146)</f>
        <v>10.468013726917148</v>
      </c>
    </row>
    <row r="148" spans="1:12">
      <c r="A148" s="426"/>
      <c r="B148" s="426"/>
      <c r="C148" s="426"/>
      <c r="D148" s="426"/>
      <c r="E148" s="426"/>
      <c r="F148" s="426"/>
      <c r="G148" s="426"/>
      <c r="H148" s="426"/>
      <c r="I148" s="426"/>
    </row>
    <row r="149" spans="1:12">
      <c r="A149" s="426" t="str">
        <f>'Assumption table'!I19</f>
        <v>Machinery and equipment</v>
      </c>
      <c r="B149" s="426"/>
      <c r="C149" s="426"/>
      <c r="D149" s="426"/>
      <c r="E149" s="426"/>
      <c r="F149" s="426"/>
      <c r="G149" s="426"/>
      <c r="H149" s="426"/>
      <c r="I149" s="426"/>
    </row>
    <row r="150" spans="1:12">
      <c r="A150" s="426" t="s">
        <v>51</v>
      </c>
      <c r="B150" s="111">
        <f>'Assumption table'!$J$19</f>
        <v>15</v>
      </c>
      <c r="C150" s="426"/>
      <c r="D150" s="426"/>
      <c r="E150" s="426"/>
      <c r="F150" s="426"/>
      <c r="G150" s="426"/>
      <c r="H150" s="426"/>
      <c r="I150" s="426"/>
    </row>
    <row r="151" spans="1:12" ht="16" customHeight="1">
      <c r="A151" s="426"/>
      <c r="B151" s="725" t="s">
        <v>159</v>
      </c>
      <c r="C151" s="725"/>
      <c r="D151" s="140">
        <f>D127</f>
        <v>911.1</v>
      </c>
      <c r="E151" s="140">
        <f>D151/$B$150</f>
        <v>60.74</v>
      </c>
      <c r="F151" s="143">
        <f>E151</f>
        <v>60.74</v>
      </c>
      <c r="G151" s="143">
        <f>F151</f>
        <v>60.74</v>
      </c>
      <c r="H151" s="143">
        <f>G151</f>
        <v>60.74</v>
      </c>
      <c r="I151" s="143">
        <f>H151</f>
        <v>60.74</v>
      </c>
      <c r="K151" s="725"/>
      <c r="L151" s="725"/>
    </row>
    <row r="152" spans="1:12" ht="16" customHeight="1">
      <c r="A152" s="426"/>
      <c r="B152" s="725" t="s">
        <v>160</v>
      </c>
      <c r="C152" s="725"/>
      <c r="D152" s="426"/>
      <c r="E152" s="426"/>
      <c r="F152" s="426"/>
      <c r="G152" s="426"/>
      <c r="H152" s="426"/>
      <c r="I152" s="426"/>
      <c r="K152" s="725"/>
      <c r="L152" s="725"/>
    </row>
    <row r="153" spans="1:12">
      <c r="A153" s="426">
        <v>2026</v>
      </c>
      <c r="B153" s="141" cm="1">
        <f t="array" ref="B153:B157">TRANSPOSE(E127:I127)</f>
        <v>74.30223057339424</v>
      </c>
      <c r="C153" s="426"/>
      <c r="D153" s="426"/>
      <c r="E153" s="141">
        <f>B153/$B$150</f>
        <v>4.9534820382262827</v>
      </c>
      <c r="F153" s="141">
        <f>E153</f>
        <v>4.9534820382262827</v>
      </c>
      <c r="G153" s="141">
        <f>F153</f>
        <v>4.9534820382262827</v>
      </c>
      <c r="H153" s="141">
        <f>G153</f>
        <v>4.9534820382262827</v>
      </c>
      <c r="I153" s="141">
        <f>H153</f>
        <v>4.9534820382262827</v>
      </c>
    </row>
    <row r="154" spans="1:12">
      <c r="A154" s="426">
        <v>2027</v>
      </c>
      <c r="B154" s="141">
        <v>44.412409767058307</v>
      </c>
      <c r="C154" s="426"/>
      <c r="D154" s="426"/>
      <c r="E154" s="426"/>
      <c r="F154" s="142">
        <f>B154/$B$150</f>
        <v>2.9608273178038873</v>
      </c>
      <c r="G154" s="142">
        <f>F154</f>
        <v>2.9608273178038873</v>
      </c>
      <c r="H154" s="142">
        <f>G154</f>
        <v>2.9608273178038873</v>
      </c>
      <c r="I154" s="142">
        <f>H154</f>
        <v>2.9608273178038873</v>
      </c>
    </row>
    <row r="155" spans="1:12">
      <c r="A155" s="426">
        <v>2028</v>
      </c>
      <c r="B155" s="141">
        <v>46.476087648481325</v>
      </c>
      <c r="C155" s="426"/>
      <c r="D155" s="426"/>
      <c r="E155" s="426"/>
      <c r="F155" s="154"/>
      <c r="G155" s="142">
        <f>B155/$B$150</f>
        <v>3.0984058432320882</v>
      </c>
      <c r="H155" s="142">
        <f>G155</f>
        <v>3.0984058432320882</v>
      </c>
      <c r="I155" s="142">
        <f>H155</f>
        <v>3.0984058432320882</v>
      </c>
    </row>
    <row r="156" spans="1:12">
      <c r="A156" s="426">
        <v>2029</v>
      </c>
      <c r="B156" s="141">
        <v>48.639152235202118</v>
      </c>
      <c r="C156" s="426"/>
      <c r="D156" s="426"/>
      <c r="E156" s="426"/>
      <c r="F156" s="154"/>
      <c r="G156" s="154"/>
      <c r="H156" s="142">
        <f>B156/$B$150</f>
        <v>3.2426101490134744</v>
      </c>
      <c r="I156" s="142">
        <f>H156</f>
        <v>3.2426101490134744</v>
      </c>
    </row>
    <row r="157" spans="1:12">
      <c r="A157" s="426">
        <v>2030</v>
      </c>
      <c r="B157" s="141">
        <v>50.906581159893676</v>
      </c>
      <c r="C157" s="426"/>
      <c r="D157" s="426"/>
      <c r="E157" s="426"/>
      <c r="F157" s="154"/>
      <c r="G157" s="154"/>
      <c r="H157" s="155"/>
      <c r="I157" s="142">
        <f>B157/$B$150</f>
        <v>3.3937720773262452</v>
      </c>
    </row>
    <row r="158" spans="1:12">
      <c r="A158" s="427" t="s">
        <v>161</v>
      </c>
      <c r="B158" s="426"/>
      <c r="C158" s="426"/>
      <c r="D158" s="427"/>
      <c r="E158" s="578">
        <f>SUM(E151:E157)</f>
        <v>65.693482038226279</v>
      </c>
      <c r="F158" s="578">
        <f>SUM(F151:F157)</f>
        <v>68.654309356030168</v>
      </c>
      <c r="G158" s="578">
        <f>SUM(G151:G157)</f>
        <v>71.752715199262255</v>
      </c>
      <c r="H158" s="578">
        <f>SUM(H151:H157)</f>
        <v>74.995325348275728</v>
      </c>
      <c r="I158" s="578">
        <f>SUM(I151:I157)</f>
        <v>78.389097425601975</v>
      </c>
      <c r="K158" s="725"/>
      <c r="L158" s="725"/>
    </row>
    <row r="159" spans="1:12">
      <c r="A159" s="427"/>
      <c r="B159" s="426"/>
      <c r="C159" s="426"/>
      <c r="D159" s="427"/>
      <c r="E159" s="427"/>
      <c r="F159" s="427"/>
      <c r="G159" s="427"/>
      <c r="H159" s="427"/>
      <c r="I159" s="427"/>
      <c r="K159" s="725"/>
      <c r="L159" s="725"/>
    </row>
    <row r="160" spans="1:12">
      <c r="A160" s="426" t="str">
        <f>'Assumption table'!I20</f>
        <v>Software</v>
      </c>
      <c r="B160" s="426"/>
      <c r="C160" s="426"/>
      <c r="D160" s="426"/>
      <c r="E160" s="426"/>
      <c r="F160" s="426"/>
      <c r="G160" s="426"/>
      <c r="H160" s="426"/>
      <c r="I160" s="426"/>
    </row>
    <row r="161" spans="1:9">
      <c r="A161" s="426" t="s">
        <v>51</v>
      </c>
      <c r="B161" s="111">
        <f>'Assumption table'!$J$20</f>
        <v>10</v>
      </c>
      <c r="C161" s="426"/>
      <c r="D161" s="426"/>
      <c r="E161" s="426"/>
      <c r="F161" s="426"/>
      <c r="G161" s="426"/>
      <c r="H161" s="426"/>
      <c r="I161" s="426"/>
    </row>
    <row r="162" spans="1:9" ht="16" customHeight="1">
      <c r="A162" s="426"/>
      <c r="B162" s="725" t="s">
        <v>162</v>
      </c>
      <c r="C162" s="725"/>
      <c r="D162" s="140">
        <f>D128</f>
        <v>138.9</v>
      </c>
      <c r="E162" s="140">
        <f>D162/$B$161</f>
        <v>13.89</v>
      </c>
      <c r="F162" s="143">
        <f>E162</f>
        <v>13.89</v>
      </c>
      <c r="G162" s="143">
        <f>F162</f>
        <v>13.89</v>
      </c>
      <c r="H162" s="143">
        <f>G162</f>
        <v>13.89</v>
      </c>
      <c r="I162" s="143">
        <f>H162</f>
        <v>13.89</v>
      </c>
    </row>
    <row r="163" spans="1:9" ht="16" customHeight="1">
      <c r="A163" s="426"/>
      <c r="B163" s="725" t="s">
        <v>163</v>
      </c>
      <c r="C163" s="725"/>
      <c r="D163" s="426"/>
      <c r="E163" s="426"/>
      <c r="F163" s="426"/>
      <c r="G163" s="426"/>
      <c r="H163" s="426"/>
      <c r="I163" s="426"/>
    </row>
    <row r="164" spans="1:9">
      <c r="A164" s="426">
        <v>2026</v>
      </c>
      <c r="B164" s="141" cm="1">
        <f t="array" ref="B164:B168">TRANSPOSE(E128:I128)</f>
        <v>-6.7819463241781364</v>
      </c>
      <c r="C164" s="426"/>
      <c r="D164" s="426"/>
      <c r="E164" s="141">
        <f>B164/$B$161</f>
        <v>-0.67819463241781364</v>
      </c>
      <c r="F164" s="141">
        <f>E164</f>
        <v>-0.67819463241781364</v>
      </c>
      <c r="G164" s="141">
        <f>F164</f>
        <v>-0.67819463241781364</v>
      </c>
      <c r="H164" s="141">
        <f>G164</f>
        <v>-0.67819463241781364</v>
      </c>
      <c r="I164" s="141">
        <f>H164</f>
        <v>-0.67819463241781364</v>
      </c>
    </row>
    <row r="165" spans="1:9">
      <c r="A165" s="426">
        <v>2027</v>
      </c>
      <c r="B165" s="141">
        <v>5.9546050896013014</v>
      </c>
      <c r="C165" s="426"/>
      <c r="D165" s="426"/>
      <c r="E165" s="426"/>
      <c r="F165" s="142">
        <f>B165/$B$161</f>
        <v>0.59546050896013014</v>
      </c>
      <c r="G165" s="142">
        <f>F165</f>
        <v>0.59546050896013014</v>
      </c>
      <c r="H165" s="142">
        <f>G165</f>
        <v>0.59546050896013014</v>
      </c>
      <c r="I165" s="142">
        <f>H165</f>
        <v>0.59546050896013014</v>
      </c>
    </row>
    <row r="166" spans="1:9">
      <c r="A166" s="426">
        <v>2028</v>
      </c>
      <c r="B166" s="141">
        <v>6.2312932243021635</v>
      </c>
      <c r="C166" s="426"/>
      <c r="D166" s="426"/>
      <c r="E166" s="426"/>
      <c r="F166" s="154"/>
      <c r="G166" s="142">
        <f>B166/$B$161</f>
        <v>0.62312932243021635</v>
      </c>
      <c r="H166" s="142">
        <f>G166</f>
        <v>0.62312932243021635</v>
      </c>
      <c r="I166" s="142">
        <f>H166</f>
        <v>0.62312932243021635</v>
      </c>
    </row>
    <row r="167" spans="1:9">
      <c r="A167" s="426">
        <v>2029</v>
      </c>
      <c r="B167" s="141">
        <v>6.5213066566915074</v>
      </c>
      <c r="C167" s="426"/>
      <c r="D167" s="426"/>
      <c r="E167" s="426"/>
      <c r="F167" s="154"/>
      <c r="G167" s="154"/>
      <c r="H167" s="142">
        <f>B167/$B$161</f>
        <v>0.65213066566915079</v>
      </c>
      <c r="I167" s="142">
        <f>H167</f>
        <v>0.65213066566915079</v>
      </c>
    </row>
    <row r="168" spans="1:9">
      <c r="A168" s="426">
        <v>2030</v>
      </c>
      <c r="B168" s="141">
        <v>6.8253127641306435</v>
      </c>
      <c r="C168" s="426"/>
      <c r="D168" s="426"/>
      <c r="E168" s="426"/>
      <c r="F168" s="154"/>
      <c r="G168" s="154"/>
      <c r="H168" s="155"/>
      <c r="I168" s="142">
        <f>B168/$B$161</f>
        <v>0.68253127641306433</v>
      </c>
    </row>
    <row r="169" spans="1:9">
      <c r="A169" s="427" t="s">
        <v>164</v>
      </c>
      <c r="B169" s="427"/>
      <c r="C169" s="427"/>
      <c r="D169" s="427"/>
      <c r="E169" s="578">
        <f>SUM(E162:E168)</f>
        <v>13.211805367582187</v>
      </c>
      <c r="F169" s="578">
        <f>SUM(F162:F168)</f>
        <v>13.807265876542317</v>
      </c>
      <c r="G169" s="578">
        <f>SUM(G162:G168)</f>
        <v>14.430395198972533</v>
      </c>
      <c r="H169" s="578">
        <f>SUM(H162:H168)</f>
        <v>15.082525864641685</v>
      </c>
      <c r="I169" s="578">
        <f>SUM(I162:I168)</f>
        <v>15.765057141054749</v>
      </c>
    </row>
    <row r="170" spans="1:9">
      <c r="A170" s="426"/>
      <c r="B170" s="426"/>
      <c r="C170" s="426"/>
      <c r="D170" s="426"/>
      <c r="E170" s="426"/>
      <c r="F170" s="426"/>
      <c r="G170" s="426"/>
      <c r="H170" s="426"/>
      <c r="I170" s="426"/>
    </row>
    <row r="171" spans="1:9">
      <c r="A171" s="426" t="str">
        <f>'Assumption table'!I21</f>
        <v>Office equipment and other assets</v>
      </c>
      <c r="B171" s="426"/>
      <c r="C171" s="426"/>
      <c r="D171" s="426"/>
      <c r="E171" s="426"/>
      <c r="F171" s="426"/>
      <c r="G171" s="426"/>
      <c r="H171" s="426"/>
      <c r="I171" s="426"/>
    </row>
    <row r="172" spans="1:9">
      <c r="A172" s="426" t="s">
        <v>51</v>
      </c>
      <c r="B172" s="111">
        <f>'Assumption table'!$J$21</f>
        <v>10</v>
      </c>
      <c r="C172" s="426"/>
      <c r="D172" s="426"/>
      <c r="E172" s="426"/>
      <c r="F172" s="426"/>
      <c r="G172" s="426"/>
      <c r="H172" s="426"/>
      <c r="I172" s="426"/>
    </row>
    <row r="173" spans="1:9" ht="16" customHeight="1">
      <c r="A173" s="426"/>
      <c r="B173" s="725" t="s">
        <v>165</v>
      </c>
      <c r="C173" s="725"/>
      <c r="D173" s="140">
        <f>D129</f>
        <v>131.6</v>
      </c>
      <c r="E173" s="140">
        <f>D173/B172</f>
        <v>13.16</v>
      </c>
      <c r="F173" s="143">
        <f>E173</f>
        <v>13.16</v>
      </c>
      <c r="G173" s="143">
        <f>F173</f>
        <v>13.16</v>
      </c>
      <c r="H173" s="143">
        <f>G173</f>
        <v>13.16</v>
      </c>
      <c r="I173" s="143">
        <f>H173</f>
        <v>13.16</v>
      </c>
    </row>
    <row r="174" spans="1:9" ht="16" customHeight="1">
      <c r="A174" s="426"/>
      <c r="B174" s="725" t="s">
        <v>166</v>
      </c>
      <c r="C174" s="725"/>
      <c r="D174" s="426"/>
      <c r="E174" s="426"/>
      <c r="F174" s="426"/>
      <c r="G174" s="426"/>
      <c r="H174" s="426"/>
      <c r="I174" s="426"/>
    </row>
    <row r="175" spans="1:9">
      <c r="A175" s="426">
        <v>2026</v>
      </c>
      <c r="B175" s="141" cm="1">
        <f t="array" ref="B175:B179">TRANSPOSE(E129:I129)</f>
        <v>-13.074920100161137</v>
      </c>
      <c r="C175" s="426"/>
      <c r="D175" s="426"/>
      <c r="E175" s="141">
        <f>B175/$B$172</f>
        <v>-1.3074920100161136</v>
      </c>
      <c r="F175" s="141">
        <f>E175</f>
        <v>-1.3074920100161136</v>
      </c>
      <c r="G175" s="141">
        <f>F175</f>
        <v>-1.3074920100161136</v>
      </c>
      <c r="H175" s="141">
        <f>G175</f>
        <v>-1.3074920100161136</v>
      </c>
      <c r="I175" s="141">
        <f>H175</f>
        <v>-1.3074920100161136</v>
      </c>
    </row>
    <row r="176" spans="1:9">
      <c r="A176" s="426">
        <v>2027</v>
      </c>
      <c r="B176" s="141">
        <v>5.3419651923478284</v>
      </c>
      <c r="C176" s="426"/>
      <c r="D176" s="426"/>
      <c r="E176" s="426"/>
      <c r="F176" s="142">
        <f>B176/$B$172</f>
        <v>0.53419651923478284</v>
      </c>
      <c r="G176" s="142">
        <f>F176</f>
        <v>0.53419651923478284</v>
      </c>
      <c r="H176" s="142">
        <f>G176</f>
        <v>0.53419651923478284</v>
      </c>
      <c r="I176" s="142">
        <f>H176</f>
        <v>0.53419651923478284</v>
      </c>
    </row>
    <row r="177" spans="1:9">
      <c r="A177" s="426">
        <v>2028</v>
      </c>
      <c r="B177" s="141">
        <v>5.5901862519255303</v>
      </c>
      <c r="C177" s="426"/>
      <c r="D177" s="426"/>
      <c r="E177" s="426"/>
      <c r="F177" s="154"/>
      <c r="G177" s="142">
        <f>B177/$B$172</f>
        <v>0.55901862519255308</v>
      </c>
      <c r="H177" s="142">
        <f>G177</f>
        <v>0.55901862519255308</v>
      </c>
      <c r="I177" s="142">
        <f>H177</f>
        <v>0.55901862519255308</v>
      </c>
    </row>
    <row r="178" spans="1:9">
      <c r="A178" s="426">
        <v>2029</v>
      </c>
      <c r="B178" s="141">
        <v>5.8503616351499375</v>
      </c>
      <c r="C178" s="426"/>
      <c r="D178" s="426"/>
      <c r="E178" s="426"/>
      <c r="F178" s="154"/>
      <c r="G178" s="154"/>
      <c r="H178" s="142">
        <f>B178/$B$172</f>
        <v>0.58503616351499377</v>
      </c>
      <c r="I178" s="142">
        <f>H178</f>
        <v>0.58503616351499377</v>
      </c>
    </row>
    <row r="179" spans="1:9">
      <c r="A179" s="426">
        <v>2030</v>
      </c>
      <c r="B179" s="141">
        <v>6.1230900562231341</v>
      </c>
      <c r="C179" s="426"/>
      <c r="D179" s="426"/>
      <c r="E179" s="426"/>
      <c r="F179" s="154"/>
      <c r="G179" s="154"/>
      <c r="H179" s="155"/>
      <c r="I179" s="142">
        <f>B179/$B$172</f>
        <v>0.61230900562231338</v>
      </c>
    </row>
    <row r="180" spans="1:9" ht="16" customHeight="1">
      <c r="A180" s="704" t="s">
        <v>167</v>
      </c>
      <c r="B180" s="704"/>
      <c r="C180" s="427"/>
      <c r="D180" s="427"/>
      <c r="E180" s="578">
        <f>SUM(E173:E179)</f>
        <v>11.852507989983886</v>
      </c>
      <c r="F180" s="578">
        <f>SUM(F173:F179)</f>
        <v>12.386704509218669</v>
      </c>
      <c r="G180" s="578">
        <f>SUM(G173:G179)</f>
        <v>12.945723134411223</v>
      </c>
      <c r="H180" s="578">
        <f>SUM(H173:H179)</f>
        <v>13.530759297926217</v>
      </c>
      <c r="I180" s="578">
        <f>SUM(I173:I179)</f>
        <v>14.14306830354853</v>
      </c>
    </row>
    <row r="181" spans="1:9" s="40" customFormat="1" ht="17" thickBot="1">
      <c r="A181" s="429" t="s">
        <v>168</v>
      </c>
      <c r="B181" s="427" t="s">
        <v>2</v>
      </c>
      <c r="C181" s="427" t="s">
        <v>2</v>
      </c>
      <c r="D181" s="427" t="s">
        <v>2</v>
      </c>
      <c r="E181" s="579">
        <f>E147+E158+E169+E180</f>
        <v>99.530447388600493</v>
      </c>
      <c r="F181" s="579">
        <f>F147+F158+F169+F180</f>
        <v>104.01631810877228</v>
      </c>
      <c r="G181" s="579">
        <f>G147+G158+G169+G180</f>
        <v>108.71063039364854</v>
      </c>
      <c r="H181" s="579">
        <f>H147+H158+H169+H180</f>
        <v>113.62342278681669</v>
      </c>
      <c r="I181" s="579">
        <f>I147+I158+I169+I180</f>
        <v>118.76523659712241</v>
      </c>
    </row>
    <row r="182" spans="1:9" ht="17" thickTop="1"/>
    <row r="183" spans="1:9">
      <c r="A183" s="562" t="s">
        <v>169</v>
      </c>
      <c r="B183" s="563">
        <f t="shared" ref="B183:I183" si="36">B$2</f>
        <v>2023</v>
      </c>
      <c r="C183" s="563">
        <f t="shared" si="36"/>
        <v>2024</v>
      </c>
      <c r="D183" s="563">
        <f t="shared" si="36"/>
        <v>2025</v>
      </c>
      <c r="E183" s="564">
        <f t="shared" si="36"/>
        <v>2026</v>
      </c>
      <c r="F183" s="564">
        <f t="shared" si="36"/>
        <v>2027</v>
      </c>
      <c r="G183" s="564">
        <f t="shared" si="36"/>
        <v>2028</v>
      </c>
      <c r="H183" s="564">
        <f t="shared" si="36"/>
        <v>2029</v>
      </c>
      <c r="I183" s="565">
        <f t="shared" si="36"/>
        <v>2030</v>
      </c>
    </row>
    <row r="184" spans="1:9">
      <c r="A184" s="426" t="s">
        <v>154</v>
      </c>
      <c r="B184" s="426"/>
      <c r="C184" s="426"/>
      <c r="D184" s="426"/>
      <c r="E184" s="426"/>
      <c r="F184" s="426"/>
      <c r="G184" s="426"/>
      <c r="H184" s="426"/>
      <c r="I184" s="426"/>
    </row>
    <row r="185" spans="1:9">
      <c r="A185" s="6" t="s">
        <v>58</v>
      </c>
      <c r="B185" s="602">
        <f>'Data Source'!E568</f>
        <v>1385.5</v>
      </c>
      <c r="C185" s="602">
        <f>'Data Source'!F568</f>
        <v>1383.4</v>
      </c>
      <c r="D185" s="602">
        <f>'Data Source'!G568</f>
        <v>2113.4</v>
      </c>
      <c r="E185" s="150">
        <f>D185-E200</f>
        <v>2007.73</v>
      </c>
      <c r="F185" s="150">
        <f>E185-F200</f>
        <v>1902.06</v>
      </c>
      <c r="G185" s="150">
        <f>F185-G200</f>
        <v>1796.3899999999999</v>
      </c>
      <c r="H185" s="150">
        <f>G185-H200</f>
        <v>1690.7199999999998</v>
      </c>
      <c r="I185" s="150">
        <f>H185-I200</f>
        <v>1585.0499999999997</v>
      </c>
    </row>
    <row r="186" spans="1:9">
      <c r="A186" s="6" t="s">
        <v>59</v>
      </c>
      <c r="B186" s="602">
        <f>'Data Source'!E569</f>
        <v>644.9</v>
      </c>
      <c r="C186" s="602">
        <f>'Data Source'!F569</f>
        <v>644.9</v>
      </c>
      <c r="D186" s="602">
        <f>'Data Source'!G569</f>
        <v>598.5</v>
      </c>
      <c r="E186" s="150">
        <f>D186-E205</f>
        <v>558.6</v>
      </c>
      <c r="F186" s="150">
        <f>E186-F205</f>
        <v>518.70000000000005</v>
      </c>
      <c r="G186" s="150">
        <f>F186-G205</f>
        <v>478.80000000000007</v>
      </c>
      <c r="H186" s="150">
        <f>G186-H205</f>
        <v>438.90000000000009</v>
      </c>
      <c r="I186" s="150">
        <f>H186-I205</f>
        <v>399.00000000000011</v>
      </c>
    </row>
    <row r="187" spans="1:9">
      <c r="A187" s="6" t="s">
        <v>60</v>
      </c>
      <c r="B187" s="602">
        <f>'Data Source'!E570</f>
        <v>208.3</v>
      </c>
      <c r="C187" s="602">
        <f>'Data Source'!F570</f>
        <v>205.5</v>
      </c>
      <c r="D187" s="602">
        <f>'Data Source'!G570</f>
        <v>205.6</v>
      </c>
      <c r="E187" s="150">
        <f>D187-E210</f>
        <v>185.04</v>
      </c>
      <c r="F187" s="150">
        <f>E187-F210</f>
        <v>164.48</v>
      </c>
      <c r="G187" s="150">
        <f>F187-G210</f>
        <v>143.91999999999999</v>
      </c>
      <c r="H187" s="150">
        <f>G187-H210</f>
        <v>123.35999999999999</v>
      </c>
      <c r="I187" s="150">
        <f>H187-I210</f>
        <v>102.79999999999998</v>
      </c>
    </row>
    <row r="190" spans="1:9">
      <c r="A190" s="562" t="s">
        <v>170</v>
      </c>
      <c r="B190" s="563">
        <f t="shared" ref="B190:I190" si="37">B$2</f>
        <v>2023</v>
      </c>
      <c r="C190" s="563">
        <f t="shared" si="37"/>
        <v>2024</v>
      </c>
      <c r="D190" s="563">
        <f t="shared" si="37"/>
        <v>2025</v>
      </c>
      <c r="E190" s="564">
        <f t="shared" si="37"/>
        <v>2026</v>
      </c>
      <c r="F190" s="564">
        <f t="shared" si="37"/>
        <v>2027</v>
      </c>
      <c r="G190" s="564">
        <f t="shared" si="37"/>
        <v>2028</v>
      </c>
      <c r="H190" s="564">
        <f t="shared" si="37"/>
        <v>2029</v>
      </c>
      <c r="I190" s="565">
        <f t="shared" si="37"/>
        <v>2030</v>
      </c>
    </row>
    <row r="191" spans="1:9">
      <c r="A191" s="426" t="s">
        <v>154</v>
      </c>
      <c r="B191" s="426"/>
      <c r="C191" s="426"/>
      <c r="D191" s="426"/>
      <c r="E191" s="426"/>
      <c r="F191" s="426"/>
      <c r="G191" s="426"/>
      <c r="H191" s="426"/>
      <c r="I191" s="426"/>
    </row>
    <row r="192" spans="1:9">
      <c r="A192" s="6" t="s">
        <v>58</v>
      </c>
      <c r="B192" s="426"/>
      <c r="C192" s="426"/>
      <c r="D192" s="602">
        <f>D185</f>
        <v>2113.4</v>
      </c>
      <c r="E192" s="150">
        <f>0</f>
        <v>0</v>
      </c>
      <c r="F192" s="150">
        <f>0</f>
        <v>0</v>
      </c>
      <c r="G192" s="150">
        <f>0</f>
        <v>0</v>
      </c>
      <c r="H192" s="150">
        <f>0</f>
        <v>0</v>
      </c>
      <c r="I192" s="150">
        <f>0</f>
        <v>0</v>
      </c>
    </row>
    <row r="193" spans="1:9">
      <c r="A193" s="6" t="s">
        <v>59</v>
      </c>
      <c r="B193" s="413"/>
      <c r="C193" s="413"/>
      <c r="D193" s="602">
        <f>D186</f>
        <v>598.5</v>
      </c>
      <c r="E193" s="150">
        <f>0</f>
        <v>0</v>
      </c>
      <c r="F193" s="150">
        <f>0</f>
        <v>0</v>
      </c>
      <c r="G193" s="150">
        <f>0</f>
        <v>0</v>
      </c>
      <c r="H193" s="150">
        <f>0</f>
        <v>0</v>
      </c>
      <c r="I193" s="150">
        <f>0</f>
        <v>0</v>
      </c>
    </row>
    <row r="194" spans="1:9">
      <c r="A194" s="6" t="s">
        <v>60</v>
      </c>
      <c r="B194" s="413"/>
      <c r="C194" s="426"/>
      <c r="D194" s="602">
        <f>D187</f>
        <v>205.6</v>
      </c>
      <c r="E194" s="150">
        <f>0</f>
        <v>0</v>
      </c>
      <c r="F194" s="150">
        <f>0</f>
        <v>0</v>
      </c>
      <c r="G194" s="150">
        <f>0</f>
        <v>0</v>
      </c>
      <c r="H194" s="150">
        <f>0</f>
        <v>0</v>
      </c>
      <c r="I194" s="150">
        <f>0</f>
        <v>0</v>
      </c>
    </row>
    <row r="196" spans="1:9">
      <c r="A196" s="562" t="s">
        <v>169</v>
      </c>
      <c r="B196" s="563">
        <f t="shared" ref="B196:I196" si="38">B$2</f>
        <v>2023</v>
      </c>
      <c r="C196" s="563">
        <f t="shared" si="38"/>
        <v>2024</v>
      </c>
      <c r="D196" s="563">
        <f t="shared" si="38"/>
        <v>2025</v>
      </c>
      <c r="E196" s="564">
        <f t="shared" si="38"/>
        <v>2026</v>
      </c>
      <c r="F196" s="564">
        <f t="shared" si="38"/>
        <v>2027</v>
      </c>
      <c r="G196" s="564">
        <f t="shared" si="38"/>
        <v>2028</v>
      </c>
      <c r="H196" s="564">
        <f t="shared" si="38"/>
        <v>2029</v>
      </c>
      <c r="I196" s="565">
        <f t="shared" si="38"/>
        <v>2030</v>
      </c>
    </row>
    <row r="197" spans="1:9">
      <c r="A197" s="157" t="s">
        <v>58</v>
      </c>
      <c r="B197" s="426"/>
      <c r="C197" s="426"/>
      <c r="D197" s="426"/>
      <c r="E197" s="426"/>
      <c r="F197" s="426"/>
      <c r="G197" s="426"/>
      <c r="H197" s="426"/>
      <c r="I197" s="426"/>
    </row>
    <row r="198" spans="1:9">
      <c r="A198" s="426" t="s">
        <v>51</v>
      </c>
      <c r="B198" s="111">
        <f>'Assumption table'!$J$25</f>
        <v>20</v>
      </c>
      <c r="C198" s="426"/>
      <c r="D198" s="426"/>
      <c r="E198" s="426"/>
      <c r="F198" s="426"/>
      <c r="G198" s="426"/>
      <c r="H198" s="426"/>
      <c r="I198" s="426"/>
    </row>
    <row r="199" spans="1:9">
      <c r="A199" s="426"/>
      <c r="B199" s="725" t="s">
        <v>171</v>
      </c>
      <c r="C199" s="725"/>
      <c r="D199" s="158">
        <f>D185</f>
        <v>2113.4</v>
      </c>
      <c r="E199" s="158">
        <f>D199/$B$198</f>
        <v>105.67</v>
      </c>
      <c r="F199" s="143">
        <f>E199</f>
        <v>105.67</v>
      </c>
      <c r="G199" s="143">
        <f>F199</f>
        <v>105.67</v>
      </c>
      <c r="H199" s="143">
        <f>G199</f>
        <v>105.67</v>
      </c>
      <c r="I199" s="143">
        <f>H199</f>
        <v>105.67</v>
      </c>
    </row>
    <row r="200" spans="1:9" ht="15.75" customHeight="1">
      <c r="A200" s="427" t="s">
        <v>172</v>
      </c>
      <c r="B200" s="427"/>
      <c r="C200" s="427"/>
      <c r="D200" s="427"/>
      <c r="E200" s="156">
        <f>SUM(E199:E199)</f>
        <v>105.67</v>
      </c>
      <c r="F200" s="156">
        <f>SUM(F199:F199)</f>
        <v>105.67</v>
      </c>
      <c r="G200" s="156">
        <f>SUM(G199:G199)</f>
        <v>105.67</v>
      </c>
      <c r="H200" s="156">
        <f>SUM(H199:H199)</f>
        <v>105.67</v>
      </c>
      <c r="I200" s="156">
        <f>SUM(I199:I199)</f>
        <v>105.67</v>
      </c>
    </row>
    <row r="201" spans="1:9">
      <c r="A201" s="426"/>
      <c r="B201" s="426"/>
      <c r="C201" s="426"/>
      <c r="D201" s="426"/>
      <c r="E201" s="426"/>
      <c r="F201" s="426"/>
      <c r="G201" s="426"/>
      <c r="H201" s="426"/>
      <c r="I201" s="426"/>
    </row>
    <row r="202" spans="1:9">
      <c r="A202" s="157" t="s">
        <v>59</v>
      </c>
      <c r="B202" s="426"/>
      <c r="C202" s="426"/>
      <c r="D202" s="426"/>
      <c r="E202" s="426"/>
      <c r="F202" s="426"/>
      <c r="G202" s="426"/>
      <c r="H202" s="426"/>
      <c r="I202" s="426"/>
    </row>
    <row r="203" spans="1:9">
      <c r="A203" s="426" t="s">
        <v>51</v>
      </c>
      <c r="B203" s="111">
        <f>'Assumption table'!$J$26</f>
        <v>15</v>
      </c>
      <c r="C203" s="426"/>
      <c r="D203" s="426"/>
      <c r="E203" s="426"/>
      <c r="F203" s="426"/>
      <c r="G203" s="426"/>
      <c r="H203" s="426"/>
      <c r="I203" s="426"/>
    </row>
    <row r="204" spans="1:9">
      <c r="A204" s="426"/>
      <c r="B204" s="725" t="s">
        <v>173</v>
      </c>
      <c r="C204" s="725"/>
      <c r="D204" s="158">
        <f>D186</f>
        <v>598.5</v>
      </c>
      <c r="E204" s="158">
        <f>D204/$B$203</f>
        <v>39.9</v>
      </c>
      <c r="F204" s="143">
        <f>E204</f>
        <v>39.9</v>
      </c>
      <c r="G204" s="143">
        <f>F204</f>
        <v>39.9</v>
      </c>
      <c r="H204" s="143">
        <f>G204</f>
        <v>39.9</v>
      </c>
      <c r="I204" s="143">
        <f>H204</f>
        <v>39.9</v>
      </c>
    </row>
    <row r="205" spans="1:9">
      <c r="A205" s="427" t="s">
        <v>174</v>
      </c>
      <c r="B205" s="426"/>
      <c r="C205" s="426"/>
      <c r="D205" s="427"/>
      <c r="E205" s="156">
        <f>SUM(E204:E204)</f>
        <v>39.9</v>
      </c>
      <c r="F205" s="156">
        <f>SUM(F204:F204)</f>
        <v>39.9</v>
      </c>
      <c r="G205" s="156">
        <f>SUM(G204:G204)</f>
        <v>39.9</v>
      </c>
      <c r="H205" s="156">
        <f>SUM(H204:H204)</f>
        <v>39.9</v>
      </c>
      <c r="I205" s="156">
        <f>SUM(I204:I204)</f>
        <v>39.9</v>
      </c>
    </row>
    <row r="206" spans="1:9">
      <c r="A206" s="427"/>
      <c r="B206" s="426"/>
      <c r="C206" s="426"/>
      <c r="D206" s="427"/>
      <c r="E206" s="427"/>
      <c r="F206" s="427"/>
      <c r="G206" s="427"/>
      <c r="H206" s="427"/>
      <c r="I206" s="427"/>
    </row>
    <row r="207" spans="1:9">
      <c r="A207" s="157" t="s">
        <v>60</v>
      </c>
      <c r="B207" s="426"/>
      <c r="C207" s="426"/>
      <c r="D207" s="426"/>
      <c r="E207" s="426"/>
      <c r="F207" s="426"/>
      <c r="G207" s="426"/>
      <c r="H207" s="426"/>
      <c r="I207" s="426"/>
    </row>
    <row r="208" spans="1:9">
      <c r="A208" s="426" t="s">
        <v>51</v>
      </c>
      <c r="B208" s="111">
        <f>'Assumption table'!$J$27</f>
        <v>10</v>
      </c>
      <c r="C208" s="426"/>
      <c r="D208" s="426"/>
      <c r="E208" s="426"/>
      <c r="F208" s="426"/>
      <c r="G208" s="426"/>
      <c r="H208" s="426"/>
      <c r="I208" s="426"/>
    </row>
    <row r="209" spans="1:9">
      <c r="A209" s="426"/>
      <c r="B209" s="725" t="s">
        <v>175</v>
      </c>
      <c r="C209" s="725"/>
      <c r="D209" s="158">
        <f>D187</f>
        <v>205.6</v>
      </c>
      <c r="E209" s="158">
        <f>D209/$B$208</f>
        <v>20.56</v>
      </c>
      <c r="F209" s="143">
        <f>E209</f>
        <v>20.56</v>
      </c>
      <c r="G209" s="143">
        <f>F209</f>
        <v>20.56</v>
      </c>
      <c r="H209" s="143">
        <f>G209</f>
        <v>20.56</v>
      </c>
      <c r="I209" s="143">
        <f>H209</f>
        <v>20.56</v>
      </c>
    </row>
    <row r="210" spans="1:9" ht="15.75" customHeight="1">
      <c r="A210" s="427" t="s">
        <v>172</v>
      </c>
      <c r="B210" s="427"/>
      <c r="C210" s="427"/>
      <c r="D210" s="427"/>
      <c r="E210" s="156">
        <f>SUM(E209:E209)</f>
        <v>20.56</v>
      </c>
      <c r="F210" s="156">
        <f>SUM(F209:F209)</f>
        <v>20.56</v>
      </c>
      <c r="G210" s="156">
        <f>SUM(G209:G209)</f>
        <v>20.56</v>
      </c>
      <c r="H210" s="156">
        <f>SUM(H209:H209)</f>
        <v>20.56</v>
      </c>
      <c r="I210" s="156">
        <f>SUM(I209:I209)</f>
        <v>20.56</v>
      </c>
    </row>
    <row r="211" spans="1:9" ht="15.75" customHeight="1">
      <c r="A211" s="427"/>
      <c r="B211" s="427"/>
      <c r="C211" s="427"/>
      <c r="D211" s="427"/>
      <c r="E211" s="156"/>
      <c r="F211" s="156"/>
      <c r="G211" s="156"/>
      <c r="H211" s="156"/>
      <c r="I211" s="156"/>
    </row>
    <row r="212" spans="1:9" ht="15.75" customHeight="1" thickBot="1">
      <c r="A212" s="429" t="s">
        <v>176</v>
      </c>
      <c r="B212" s="427" t="s">
        <v>2</v>
      </c>
      <c r="C212" s="427" t="s">
        <v>2</v>
      </c>
      <c r="D212" s="427" t="s">
        <v>2</v>
      </c>
      <c r="E212" s="579">
        <f>E200+E205+E210</f>
        <v>166.13</v>
      </c>
      <c r="F212" s="579">
        <f t="shared" ref="F212:I212" si="39">F200+F205+F210</f>
        <v>166.13</v>
      </c>
      <c r="G212" s="579">
        <f t="shared" si="39"/>
        <v>166.13</v>
      </c>
      <c r="H212" s="579">
        <f t="shared" si="39"/>
        <v>166.13</v>
      </c>
      <c r="I212" s="579">
        <f t="shared" si="39"/>
        <v>166.13</v>
      </c>
    </row>
    <row r="213" spans="1:9" ht="15.75" customHeight="1" thickTop="1"/>
    <row r="214" spans="1:9" ht="15.75" customHeight="1"/>
    <row r="215" spans="1:9">
      <c r="A215" s="562" t="s">
        <v>177</v>
      </c>
      <c r="B215" s="563">
        <f t="shared" ref="B215:I215" si="40">B$2</f>
        <v>2023</v>
      </c>
      <c r="C215" s="563">
        <f t="shared" si="40"/>
        <v>2024</v>
      </c>
      <c r="D215" s="563">
        <f t="shared" si="40"/>
        <v>2025</v>
      </c>
      <c r="E215" s="564">
        <f t="shared" si="40"/>
        <v>2026</v>
      </c>
      <c r="F215" s="564">
        <f t="shared" si="40"/>
        <v>2027</v>
      </c>
      <c r="G215" s="564">
        <f t="shared" si="40"/>
        <v>2028</v>
      </c>
      <c r="H215" s="564">
        <f t="shared" si="40"/>
        <v>2029</v>
      </c>
      <c r="I215" s="565">
        <f t="shared" si="40"/>
        <v>2030</v>
      </c>
    </row>
    <row r="216" spans="1:9">
      <c r="A216" s="426"/>
      <c r="B216" s="426"/>
      <c r="C216" s="426"/>
      <c r="D216" s="426"/>
      <c r="E216" s="426"/>
      <c r="F216" s="426"/>
      <c r="G216" s="426"/>
      <c r="H216" s="426"/>
      <c r="I216" s="426"/>
    </row>
    <row r="217" spans="1:9">
      <c r="A217" s="727" t="s">
        <v>178</v>
      </c>
      <c r="B217" s="727"/>
      <c r="C217" s="428"/>
      <c r="D217" s="426"/>
      <c r="E217" s="426"/>
      <c r="F217" s="426"/>
      <c r="G217" s="426"/>
      <c r="H217" s="426"/>
      <c r="I217" s="426"/>
    </row>
    <row r="218" spans="1:9">
      <c r="A218" s="428" t="s">
        <v>154</v>
      </c>
      <c r="B218" s="426"/>
      <c r="C218" s="428"/>
      <c r="D218" s="426"/>
      <c r="E218" s="426"/>
      <c r="F218" s="426"/>
      <c r="G218" s="426"/>
      <c r="H218" s="426"/>
      <c r="I218" s="426"/>
    </row>
    <row r="219" spans="1:9">
      <c r="A219" s="726" t="s">
        <v>179</v>
      </c>
      <c r="B219" s="726"/>
      <c r="C219" s="428"/>
      <c r="D219" s="426"/>
      <c r="E219" s="150">
        <f>'Assumption table'!J32</f>
        <v>2205.1</v>
      </c>
      <c r="F219" s="150">
        <f>E222</f>
        <v>2205.1</v>
      </c>
      <c r="G219" s="150">
        <f>F222</f>
        <v>2205.1</v>
      </c>
      <c r="H219" s="150">
        <f>G222</f>
        <v>2205.1</v>
      </c>
      <c r="I219" s="150">
        <f>H222</f>
        <v>2205.1</v>
      </c>
    </row>
    <row r="220" spans="1:9">
      <c r="A220" s="428" t="s">
        <v>180</v>
      </c>
      <c r="B220" s="426"/>
      <c r="C220" s="428"/>
      <c r="D220" s="426"/>
      <c r="E220" s="426">
        <f>'Assumption table'!J38</f>
        <v>32.4</v>
      </c>
      <c r="F220" s="426">
        <f>'Assumption table'!K38</f>
        <v>455.7</v>
      </c>
      <c r="G220" s="426">
        <f>'Assumption table'!L38</f>
        <v>26.6</v>
      </c>
      <c r="H220" s="426">
        <f>'Assumption table'!M38</f>
        <v>26</v>
      </c>
      <c r="I220" s="426">
        <f>'Assumption table'!N38</f>
        <v>25.9</v>
      </c>
    </row>
    <row r="221" spans="1:9">
      <c r="A221" s="428" t="s">
        <v>181</v>
      </c>
      <c r="B221" s="426"/>
      <c r="C221" s="428"/>
      <c r="D221" s="426"/>
      <c r="E221" s="426">
        <f>E220</f>
        <v>32.4</v>
      </c>
      <c r="F221" s="426">
        <f>F220</f>
        <v>455.7</v>
      </c>
      <c r="G221" s="426">
        <f>G220</f>
        <v>26.6</v>
      </c>
      <c r="H221" s="426">
        <f>H220</f>
        <v>26</v>
      </c>
      <c r="I221" s="426">
        <f>I220</f>
        <v>25.9</v>
      </c>
    </row>
    <row r="222" spans="1:9" ht="15.75" customHeight="1">
      <c r="A222" s="428" t="s">
        <v>182</v>
      </c>
      <c r="B222" s="426"/>
      <c r="C222" s="428"/>
      <c r="D222" s="426"/>
      <c r="E222" s="150">
        <f>E219-E220+E221</f>
        <v>2205.1</v>
      </c>
      <c r="F222" s="150">
        <f>F219-F220+F221</f>
        <v>2205.1</v>
      </c>
      <c r="G222" s="150">
        <f>G219-G220+G221</f>
        <v>2205.1</v>
      </c>
      <c r="H222" s="150">
        <f>H219-H220+H221</f>
        <v>2205.1</v>
      </c>
      <c r="I222" s="150">
        <f>I219-I220+I221</f>
        <v>2205.1</v>
      </c>
    </row>
    <row r="223" spans="1:9" ht="15.75" customHeight="1">
      <c r="A223" s="428" t="s">
        <v>183</v>
      </c>
      <c r="B223" s="426"/>
      <c r="C223" s="428"/>
      <c r="D223" s="426"/>
      <c r="E223" s="168">
        <f>'Assumption table'!J34</f>
        <v>4.1877805070985472E-2</v>
      </c>
      <c r="F223" s="426"/>
      <c r="G223" s="426"/>
      <c r="H223" s="426"/>
      <c r="I223" s="426"/>
    </row>
    <row r="224" spans="1:9" ht="17" thickBot="1">
      <c r="A224" s="429" t="s">
        <v>184</v>
      </c>
      <c r="B224" s="427"/>
      <c r="C224" s="427" t="s">
        <v>2</v>
      </c>
      <c r="D224" s="427" t="s">
        <v>2</v>
      </c>
      <c r="E224" s="579">
        <f>E219*$E$223</f>
        <v>92.344747962030056</v>
      </c>
      <c r="F224" s="579">
        <f>F219*$E$223</f>
        <v>92.344747962030056</v>
      </c>
      <c r="G224" s="579">
        <f>G219*$E$223</f>
        <v>92.344747962030056</v>
      </c>
      <c r="H224" s="579">
        <f>H219*$E$223</f>
        <v>92.344747962030056</v>
      </c>
      <c r="I224" s="579">
        <f>I219*$E$223</f>
        <v>92.344747962030056</v>
      </c>
    </row>
    <row r="225" spans="1:11" ht="17" thickTop="1"/>
    <row r="227" spans="1:11">
      <c r="A227" s="562" t="s">
        <v>185</v>
      </c>
      <c r="B227" s="563">
        <f t="shared" ref="B227:I227" si="41">B$2</f>
        <v>2023</v>
      </c>
      <c r="C227" s="563">
        <f t="shared" si="41"/>
        <v>2024</v>
      </c>
      <c r="D227" s="563">
        <f t="shared" si="41"/>
        <v>2025</v>
      </c>
      <c r="E227" s="564">
        <f t="shared" si="41"/>
        <v>2026</v>
      </c>
      <c r="F227" s="564">
        <f t="shared" si="41"/>
        <v>2027</v>
      </c>
      <c r="G227" s="564">
        <f t="shared" si="41"/>
        <v>2028</v>
      </c>
      <c r="H227" s="564">
        <f t="shared" si="41"/>
        <v>2029</v>
      </c>
      <c r="I227" s="565">
        <f t="shared" si="41"/>
        <v>2030</v>
      </c>
    </row>
    <row r="228" spans="1:11">
      <c r="A228" s="428" t="s">
        <v>154</v>
      </c>
      <c r="B228" s="426"/>
      <c r="C228" s="426"/>
      <c r="D228" s="426"/>
      <c r="E228" s="150"/>
      <c r="F228" s="426"/>
      <c r="G228" s="426"/>
      <c r="H228" s="426"/>
      <c r="I228" s="426"/>
    </row>
    <row r="229" spans="1:11">
      <c r="A229" s="426" t="s">
        <v>101</v>
      </c>
      <c r="B229" s="182">
        <f>'Data Source'!E433</f>
        <v>526.9</v>
      </c>
      <c r="C229" s="182">
        <f>'Data Source'!F433</f>
        <v>600.79999999999995</v>
      </c>
      <c r="D229" s="182">
        <f>'Data Source'!G433</f>
        <v>593.4</v>
      </c>
      <c r="E229" s="150">
        <f>E42*'Assumption table'!$F$91</f>
        <v>510.04487300798098</v>
      </c>
      <c r="F229" s="150">
        <f>F42*'Assumption table'!$F$91</f>
        <v>533.03276688197457</v>
      </c>
      <c r="G229" s="150">
        <f>G42*'Assumption table'!$F$91</f>
        <v>557.08882184826359</v>
      </c>
      <c r="H229" s="150">
        <f>H42*'Assumption table'!$F$91</f>
        <v>582.26448053393949</v>
      </c>
      <c r="I229" s="150">
        <f>I42*'Assumption table'!$F$91</f>
        <v>608.61376199219228</v>
      </c>
      <c r="K229" s="87"/>
    </row>
    <row r="230" spans="1:11">
      <c r="A230" s="426" t="s">
        <v>102</v>
      </c>
      <c r="B230" s="182">
        <f>'Data Source'!E434</f>
        <v>613.29999999999995</v>
      </c>
      <c r="C230" s="182">
        <f>'Data Source'!F434</f>
        <v>613.29999999999995</v>
      </c>
      <c r="D230" s="182">
        <f>'Data Source'!G434</f>
        <v>534.79999999999995</v>
      </c>
      <c r="E230" s="150">
        <f>E42*'Assumption table'!$F$92</f>
        <v>631.77850097892224</v>
      </c>
      <c r="F230" s="150">
        <f>F42*'Assumption table'!$F$92</f>
        <v>660.25297038535609</v>
      </c>
      <c r="G230" s="150">
        <f>G42*'Assumption table'!$F$92</f>
        <v>690.05054144305166</v>
      </c>
      <c r="H230" s="150">
        <f>H42*'Assumption table'!$F$92</f>
        <v>721.23493471376776</v>
      </c>
      <c r="I230" s="150">
        <f>I42*'Assumption table'!$F$92</f>
        <v>753.87306210713177</v>
      </c>
      <c r="K230" s="87"/>
    </row>
    <row r="231" spans="1:11">
      <c r="A231" s="426" t="s">
        <v>103</v>
      </c>
      <c r="B231" s="182">
        <f>'Data Source'!E435</f>
        <v>45</v>
      </c>
      <c r="C231" s="182">
        <f>'Data Source'!F435</f>
        <v>62.4</v>
      </c>
      <c r="D231" s="182">
        <f>'Data Source'!G435</f>
        <v>59.8</v>
      </c>
      <c r="E231" s="150">
        <f>E42*'Assumption table'!$F$93</f>
        <v>54.544980556477064</v>
      </c>
      <c r="F231" s="150">
        <f>F42*'Assumption table'!$F$93</f>
        <v>57.003341165018497</v>
      </c>
      <c r="G231" s="150">
        <f>G42*'Assumption table'!$F$93</f>
        <v>59.575932558131562</v>
      </c>
      <c r="H231" s="150">
        <f>H42*'Assumption table'!$F$93</f>
        <v>62.268256089212741</v>
      </c>
      <c r="I231" s="150">
        <f>I42*'Assumption table'!$F$93</f>
        <v>65.086088638614825</v>
      </c>
      <c r="K231" s="87"/>
    </row>
    <row r="232" spans="1:11">
      <c r="A232" s="426" t="s">
        <v>186</v>
      </c>
      <c r="B232" s="182">
        <f>SUM(B229:B231)</f>
        <v>1185.1999999999998</v>
      </c>
      <c r="C232" s="182">
        <f t="shared" ref="C232:D232" si="42">SUM(C229:C231)</f>
        <v>1276.5</v>
      </c>
      <c r="D232" s="182">
        <f t="shared" si="42"/>
        <v>1187.9999999999998</v>
      </c>
      <c r="E232" s="150">
        <f t="shared" ref="E232" si="43">SUM(E229:E231)</f>
        <v>1196.3683545433803</v>
      </c>
      <c r="F232" s="150">
        <f t="shared" ref="F232" si="44">SUM(F229:F231)</f>
        <v>1250.2890784323492</v>
      </c>
      <c r="G232" s="150">
        <f t="shared" ref="G232" si="45">SUM(G229:G231)</f>
        <v>1306.7152958494469</v>
      </c>
      <c r="H232" s="150">
        <f t="shared" ref="H232" si="46">SUM(H229:H231)</f>
        <v>1365.7676713369201</v>
      </c>
      <c r="I232" s="150">
        <f t="shared" ref="I232" si="47">SUM(I229:I231)</f>
        <v>1427.5729127379391</v>
      </c>
    </row>
    <row r="233" spans="1:11">
      <c r="A233" s="426" t="s">
        <v>104</v>
      </c>
      <c r="B233" s="182">
        <f>'Data Source'!E449</f>
        <v>630.6</v>
      </c>
      <c r="C233" s="182">
        <f>'Data Source'!F449</f>
        <v>705.1</v>
      </c>
      <c r="D233" s="182">
        <f>'Data Source'!G449</f>
        <v>732.4</v>
      </c>
      <c r="E233" s="150">
        <f>E42*'Assumption table'!$F$94</f>
        <v>582.29022745938448</v>
      </c>
      <c r="F233" s="150">
        <f>F42*'Assumption table'!$F$94</f>
        <v>608.53424374320355</v>
      </c>
      <c r="G233" s="150">
        <f>G42*'Assumption table'!$F$94</f>
        <v>635.99772089862768</v>
      </c>
      <c r="H233" s="150">
        <f>H42*'Assumption table'!$F$94</f>
        <v>664.73938814854569</v>
      </c>
      <c r="I233" s="150">
        <f>I42*'Assumption table'!$F$94</f>
        <v>694.82091608006408</v>
      </c>
      <c r="K233" s="87"/>
    </row>
    <row r="234" spans="1:11">
      <c r="A234" s="426" t="s">
        <v>105</v>
      </c>
      <c r="B234" s="182">
        <f>'Data Source'!E450</f>
        <v>580.4</v>
      </c>
      <c r="C234" s="182">
        <f>'Data Source'!F450</f>
        <v>605.5</v>
      </c>
      <c r="D234" s="182">
        <f>'Data Source'!G450</f>
        <v>583</v>
      </c>
      <c r="E234" s="150">
        <f>E42*'Assumption table'!$F$95</f>
        <v>737.42778236848642</v>
      </c>
      <c r="F234" s="150">
        <f>F42*'Assumption table'!$F$95</f>
        <v>770.66390040031297</v>
      </c>
      <c r="G234" s="150">
        <f>G42*'Assumption table'!$F$95</f>
        <v>805.44437601161735</v>
      </c>
      <c r="H234" s="150">
        <f>H42*'Assumption table'!$F$95</f>
        <v>841.84358544735937</v>
      </c>
      <c r="I234" s="150">
        <f>I42*'Assumption table'!$F$95</f>
        <v>879.93962997412859</v>
      </c>
      <c r="K234" s="87"/>
    </row>
    <row r="235" spans="1:11">
      <c r="A235" s="426" t="s">
        <v>187</v>
      </c>
      <c r="B235" s="182">
        <f>'Data Source'!E448</f>
        <v>199.9</v>
      </c>
      <c r="C235" s="182">
        <f>'Data Source'!F448</f>
        <v>0</v>
      </c>
      <c r="D235" s="182">
        <f>'Data Source'!G448</f>
        <v>0</v>
      </c>
      <c r="E235" s="150">
        <f>F220</f>
        <v>455.7</v>
      </c>
      <c r="F235" s="150">
        <f>G220</f>
        <v>26.6</v>
      </c>
      <c r="G235" s="150">
        <f>H220</f>
        <v>26</v>
      </c>
      <c r="H235" s="150">
        <f>I220</f>
        <v>25.9</v>
      </c>
      <c r="I235" s="150">
        <f>H235</f>
        <v>25.9</v>
      </c>
    </row>
    <row r="236" spans="1:11">
      <c r="A236" s="157" t="s">
        <v>107</v>
      </c>
      <c r="B236" s="182">
        <f>'Data Source'!E447</f>
        <v>3.9</v>
      </c>
      <c r="C236" s="182">
        <f>'Data Source'!F447</f>
        <v>0</v>
      </c>
      <c r="D236" s="182">
        <f>'Data Source'!G447</f>
        <v>0</v>
      </c>
      <c r="E236" s="150">
        <v>0</v>
      </c>
      <c r="F236" s="150">
        <v>0</v>
      </c>
      <c r="G236" s="150">
        <v>0</v>
      </c>
      <c r="H236" s="150">
        <v>0</v>
      </c>
      <c r="I236" s="150">
        <v>0</v>
      </c>
    </row>
    <row r="237" spans="1:11">
      <c r="A237" s="426" t="s">
        <v>188</v>
      </c>
      <c r="B237" s="182">
        <f>'Data Source'!E451</f>
        <v>0</v>
      </c>
      <c r="C237" s="182">
        <f>'Data Source'!F451</f>
        <v>0</v>
      </c>
      <c r="D237" s="182">
        <f>'Data Source'!G451</f>
        <v>178.9</v>
      </c>
      <c r="E237" s="150">
        <f>E42*'Assumption table'!$F$98</f>
        <v>0</v>
      </c>
      <c r="F237" s="150">
        <f>F42*'Assumption table'!$F$98</f>
        <v>0</v>
      </c>
      <c r="G237" s="150">
        <f>G42*'Assumption table'!$F$98</f>
        <v>0</v>
      </c>
      <c r="H237" s="150">
        <f>H42*'Assumption table'!$F$98</f>
        <v>0</v>
      </c>
      <c r="I237" s="150">
        <f>I42*'Assumption table'!$F$98</f>
        <v>0</v>
      </c>
      <c r="K237" s="87"/>
    </row>
    <row r="238" spans="1:11">
      <c r="A238" s="426" t="s">
        <v>189</v>
      </c>
      <c r="B238" s="182">
        <f>SUM(B233:B237)</f>
        <v>1414.8000000000002</v>
      </c>
      <c r="C238" s="182">
        <f>SUM(C233:C237)</f>
        <v>1310.5999999999999</v>
      </c>
      <c r="D238" s="182">
        <f>SUM(D233:D237)</f>
        <v>1494.3000000000002</v>
      </c>
      <c r="E238" s="87">
        <f>E233+E234+E237</f>
        <v>1319.7180098278709</v>
      </c>
      <c r="F238" s="87">
        <f>F233+F234+F237</f>
        <v>1379.1981441435164</v>
      </c>
      <c r="G238" s="87">
        <f>G233+G234+G237</f>
        <v>1441.442096910245</v>
      </c>
      <c r="H238" s="87">
        <f>H233+H234+H237</f>
        <v>1506.5829735959051</v>
      </c>
      <c r="I238" s="87">
        <f>I233+I234+I237</f>
        <v>1574.7605460541927</v>
      </c>
      <c r="K238" s="87"/>
    </row>
    <row r="239" spans="1:11">
      <c r="A239" s="427" t="s">
        <v>190</v>
      </c>
      <c r="B239" s="182">
        <f>B232-B238</f>
        <v>-229.60000000000036</v>
      </c>
      <c r="C239" s="182">
        <f t="shared" ref="C239:I239" si="48">C232-C238</f>
        <v>-34.099999999999909</v>
      </c>
      <c r="D239" s="182">
        <f t="shared" si="48"/>
        <v>-306.30000000000041</v>
      </c>
      <c r="E239" s="150">
        <f>E232-E238</f>
        <v>-123.34965528449061</v>
      </c>
      <c r="F239" s="150">
        <f t="shared" si="48"/>
        <v>-128.90906571116716</v>
      </c>
      <c r="G239" s="150">
        <f t="shared" si="48"/>
        <v>-134.72680106079815</v>
      </c>
      <c r="H239" s="150">
        <f t="shared" si="48"/>
        <v>-140.81530225898496</v>
      </c>
      <c r="I239" s="150">
        <f t="shared" si="48"/>
        <v>-147.1876333162536</v>
      </c>
    </row>
    <row r="240" spans="1:11" ht="17" thickBot="1">
      <c r="A240" s="426" t="s">
        <v>191</v>
      </c>
      <c r="B240" s="182"/>
      <c r="C240" s="182"/>
      <c r="D240" s="182"/>
      <c r="E240" s="574">
        <f>E239-D239</f>
        <v>182.9503447155098</v>
      </c>
      <c r="F240" s="574">
        <f t="shared" ref="F240:I240" si="49">F239-E239</f>
        <v>-5.5594104266765498</v>
      </c>
      <c r="G240" s="574">
        <f t="shared" si="49"/>
        <v>-5.8177353496309934</v>
      </c>
      <c r="H240" s="574">
        <f t="shared" si="49"/>
        <v>-6.0885011981868047</v>
      </c>
      <c r="I240" s="574">
        <f t="shared" si="49"/>
        <v>-6.3723310572686387</v>
      </c>
    </row>
    <row r="241" spans="1:11" ht="17" thickTop="1">
      <c r="B241" s="426"/>
      <c r="C241" s="426"/>
      <c r="D241" s="426"/>
      <c r="E241" s="426"/>
      <c r="F241" s="426"/>
      <c r="G241" s="426"/>
      <c r="H241" s="426"/>
      <c r="I241" s="426"/>
      <c r="J241" s="87"/>
      <c r="K241" s="87"/>
    </row>
    <row r="242" spans="1:11">
      <c r="B242" s="426"/>
      <c r="C242" s="426"/>
      <c r="D242" s="426"/>
      <c r="E242" s="426"/>
      <c r="F242" s="426"/>
      <c r="G242" s="426"/>
      <c r="H242" s="426"/>
      <c r="I242" s="426"/>
      <c r="J242" s="87"/>
      <c r="K242" s="87"/>
    </row>
    <row r="243" spans="1:11">
      <c r="B243" s="426"/>
      <c r="C243" s="426"/>
      <c r="D243" s="426"/>
      <c r="E243" s="426"/>
      <c r="F243" s="426"/>
      <c r="G243" s="426"/>
      <c r="H243" s="426"/>
      <c r="I243" s="426"/>
      <c r="J243" s="87"/>
      <c r="K243" s="87"/>
    </row>
    <row r="244" spans="1:11">
      <c r="B244" s="426"/>
      <c r="C244" s="426"/>
      <c r="D244" s="426"/>
      <c r="E244" s="426"/>
      <c r="F244" s="426"/>
      <c r="G244" s="426"/>
      <c r="H244" s="426"/>
      <c r="I244" s="426"/>
      <c r="J244" s="87"/>
      <c r="K244" s="87"/>
    </row>
    <row r="245" spans="1:11">
      <c r="B245" s="426"/>
      <c r="C245" s="426"/>
      <c r="D245" s="426"/>
      <c r="E245" s="426"/>
      <c r="F245" s="426"/>
      <c r="G245" s="426"/>
      <c r="H245" s="426"/>
      <c r="I245" s="426"/>
      <c r="J245" s="87"/>
      <c r="K245" s="87"/>
    </row>
    <row r="246" spans="1:11">
      <c r="B246" s="426"/>
      <c r="C246" s="426"/>
      <c r="D246" s="426"/>
      <c r="E246" s="426"/>
      <c r="F246" s="426"/>
      <c r="G246" s="426"/>
      <c r="H246" s="426"/>
      <c r="I246" s="426"/>
      <c r="J246" s="87"/>
      <c r="K246" s="87"/>
    </row>
    <row r="247" spans="1:11">
      <c r="B247" s="426"/>
      <c r="C247" s="426"/>
      <c r="D247" s="426"/>
      <c r="E247" s="426"/>
      <c r="F247" s="426"/>
      <c r="G247" s="426"/>
      <c r="H247" s="426"/>
      <c r="I247" s="426"/>
      <c r="J247" s="87"/>
      <c r="K247" s="87"/>
    </row>
    <row r="248" spans="1:11">
      <c r="A248" s="562" t="s">
        <v>862</v>
      </c>
      <c r="B248" s="563">
        <f t="shared" ref="B248:I248" si="50">B$2</f>
        <v>2023</v>
      </c>
      <c r="C248" s="563">
        <f t="shared" si="50"/>
        <v>2024</v>
      </c>
      <c r="D248" s="563">
        <f t="shared" si="50"/>
        <v>2025</v>
      </c>
      <c r="E248" s="564">
        <f t="shared" si="50"/>
        <v>2026</v>
      </c>
      <c r="F248" s="564">
        <f t="shared" si="50"/>
        <v>2027</v>
      </c>
      <c r="G248" s="564">
        <f t="shared" si="50"/>
        <v>2028</v>
      </c>
      <c r="H248" s="564">
        <f t="shared" si="50"/>
        <v>2029</v>
      </c>
      <c r="I248" s="565">
        <f t="shared" si="50"/>
        <v>2030</v>
      </c>
      <c r="J248" s="87"/>
    </row>
    <row r="249" spans="1:11">
      <c r="K249" s="87"/>
    </row>
    <row r="250" spans="1:11">
      <c r="A250" s="6" t="s">
        <v>139</v>
      </c>
      <c r="B250" s="182">
        <f>'Data Source'!E307</f>
        <v>5867.9</v>
      </c>
      <c r="C250" s="182">
        <f>'Data Source'!F307</f>
        <v>6107.1</v>
      </c>
      <c r="D250" s="182">
        <f>'Data Source'!G307</f>
        <v>6203.2000000000007</v>
      </c>
      <c r="E250" s="150">
        <f>E42</f>
        <v>6261.0063818181825</v>
      </c>
      <c r="F250" s="150">
        <f>F42</f>
        <v>6543.1920440341828</v>
      </c>
      <c r="G250" s="150">
        <f>G42</f>
        <v>6838.4898141638078</v>
      </c>
      <c r="H250" s="150">
        <f>H42</f>
        <v>7147.5311711877557</v>
      </c>
      <c r="I250" s="150">
        <f>I42</f>
        <v>7470.9792207554701</v>
      </c>
      <c r="J250" s="426"/>
    </row>
    <row r="251" spans="1:11">
      <c r="A251" s="1" t="s">
        <v>140</v>
      </c>
      <c r="B251" s="182">
        <f>'Data Source'!E308</f>
        <v>3206.6000000000004</v>
      </c>
      <c r="C251" s="182">
        <f>'Data Source'!F308</f>
        <v>3233.8</v>
      </c>
      <c r="D251" s="182">
        <f>'Data Source'!G308</f>
        <v>3338.7</v>
      </c>
      <c r="E251" s="188">
        <f>E51+E64+E77</f>
        <v>3323.4301016622321</v>
      </c>
      <c r="F251" s="188">
        <f>F51+F64+F77</f>
        <v>3473.8540418207058</v>
      </c>
      <c r="G251" s="188">
        <f>G51+G64+G77</f>
        <v>3631.3027113757262</v>
      </c>
      <c r="H251" s="188">
        <f>H51+H64+H77</f>
        <v>3796.1163087264904</v>
      </c>
      <c r="I251" s="188">
        <f>I51+I64+I77</f>
        <v>3968.6521688584703</v>
      </c>
      <c r="J251" s="426"/>
    </row>
    <row r="252" spans="1:11" s="40" customFormat="1">
      <c r="A252" s="371" t="s">
        <v>141</v>
      </c>
      <c r="B252" s="189">
        <f>'Data Source'!E309</f>
        <v>2661.2999999999997</v>
      </c>
      <c r="C252" s="189">
        <f>'Data Source'!F309</f>
        <v>2873.3</v>
      </c>
      <c r="D252" s="189">
        <f>'Data Source'!G309</f>
        <v>2864.5</v>
      </c>
      <c r="E252" s="190">
        <f>E250-E251</f>
        <v>2937.5762801559504</v>
      </c>
      <c r="F252" s="190">
        <f>F250-F251</f>
        <v>3069.338002213477</v>
      </c>
      <c r="G252" s="190">
        <f>G250-G251</f>
        <v>3207.1871027880816</v>
      </c>
      <c r="H252" s="190">
        <f>H250-H251</f>
        <v>3351.4148624612653</v>
      </c>
      <c r="I252" s="190">
        <f>I250-I251</f>
        <v>3502.3270518969998</v>
      </c>
      <c r="J252" s="427"/>
    </row>
    <row r="253" spans="1:11">
      <c r="A253" s="6" t="s">
        <v>89</v>
      </c>
      <c r="B253" s="182">
        <f>'Data Source'!E310</f>
        <v>641.30000000000007</v>
      </c>
      <c r="C253" s="182">
        <f>'Data Source'!F310</f>
        <v>698.1</v>
      </c>
      <c r="D253" s="182">
        <f>'Data Source'!G310</f>
        <v>708.90000000000009</v>
      </c>
      <c r="E253" s="188">
        <f t="shared" ref="E253:I257" si="51">E53+E66+E79</f>
        <v>693.3733517789002</v>
      </c>
      <c r="F253" s="188">
        <f t="shared" si="51"/>
        <v>725.31403961455453</v>
      </c>
      <c r="G253" s="188">
        <f t="shared" si="51"/>
        <v>758.77842436099127</v>
      </c>
      <c r="H253" s="188">
        <f t="shared" si="51"/>
        <v>793.84207577878192</v>
      </c>
      <c r="I253" s="188">
        <f t="shared" si="51"/>
        <v>830.58446503641164</v>
      </c>
      <c r="J253" s="426"/>
    </row>
    <row r="254" spans="1:11">
      <c r="A254" s="1" t="s">
        <v>90</v>
      </c>
      <c r="B254" s="182">
        <f>'Data Source'!E311</f>
        <v>122.39999999999999</v>
      </c>
      <c r="C254" s="182">
        <f>'Data Source'!F311</f>
        <v>139.70000000000002</v>
      </c>
      <c r="D254" s="182">
        <f>'Data Source'!G311</f>
        <v>145.6</v>
      </c>
      <c r="E254" s="188">
        <f t="shared" si="51"/>
        <v>136.37899608992632</v>
      </c>
      <c r="F254" s="188">
        <f t="shared" si="51"/>
        <v>142.2784271697229</v>
      </c>
      <c r="G254" s="188">
        <f t="shared" si="51"/>
        <v>148.43812619147127</v>
      </c>
      <c r="H254" s="188">
        <f t="shared" si="51"/>
        <v>154.86987326026619</v>
      </c>
      <c r="I254" s="188">
        <f t="shared" si="51"/>
        <v>161.58599880332562</v>
      </c>
      <c r="J254" s="426"/>
    </row>
    <row r="255" spans="1:11">
      <c r="A255" s="1" t="s">
        <v>91</v>
      </c>
      <c r="B255" s="182">
        <f>'Data Source'!E312</f>
        <v>615</v>
      </c>
      <c r="C255" s="182">
        <f>'Data Source'!F312</f>
        <v>632.20000000000016</v>
      </c>
      <c r="D255" s="182">
        <f>'Data Source'!G312</f>
        <v>685</v>
      </c>
      <c r="E255" s="188">
        <f t="shared" si="51"/>
        <v>673.49827182091792</v>
      </c>
      <c r="F255" s="188">
        <f t="shared" si="51"/>
        <v>704.75256751426105</v>
      </c>
      <c r="G255" s="188">
        <f t="shared" si="51"/>
        <v>737.50933473394298</v>
      </c>
      <c r="H255" s="188">
        <f t="shared" si="51"/>
        <v>771.84365651099358</v>
      </c>
      <c r="I255" s="188">
        <f t="shared" si="51"/>
        <v>807.83451913858482</v>
      </c>
      <c r="J255" s="426"/>
    </row>
    <row r="256" spans="1:11">
      <c r="A256" s="1" t="s">
        <v>142</v>
      </c>
      <c r="B256" s="182">
        <f>'Data Source'!E313</f>
        <v>72.800000000000011</v>
      </c>
      <c r="C256" s="182">
        <f>'Data Source'!F313</f>
        <v>83.200000000000017</v>
      </c>
      <c r="D256" s="182">
        <f>'Data Source'!G313</f>
        <v>89.7</v>
      </c>
      <c r="E256" s="188">
        <f t="shared" si="51"/>
        <v>99.530447388600493</v>
      </c>
      <c r="F256" s="188">
        <f t="shared" si="51"/>
        <v>104.0163181087723</v>
      </c>
      <c r="G256" s="188">
        <f t="shared" si="51"/>
        <v>108.71063039364856</v>
      </c>
      <c r="H256" s="188">
        <f t="shared" si="51"/>
        <v>113.62342278681669</v>
      </c>
      <c r="I256" s="188">
        <f t="shared" si="51"/>
        <v>118.76523659712241</v>
      </c>
      <c r="J256" s="426"/>
    </row>
    <row r="257" spans="1:10">
      <c r="A257" s="1" t="s">
        <v>143</v>
      </c>
      <c r="B257" s="182">
        <f>'Data Source'!E314</f>
        <v>152.4</v>
      </c>
      <c r="C257" s="182">
        <f>'Data Source'!F314</f>
        <v>155.9</v>
      </c>
      <c r="D257" s="182">
        <f>'Data Source'!G314</f>
        <v>157.69999999999999</v>
      </c>
      <c r="E257" s="188">
        <f t="shared" si="51"/>
        <v>166.13</v>
      </c>
      <c r="F257" s="188">
        <f t="shared" si="51"/>
        <v>166.13</v>
      </c>
      <c r="G257" s="188">
        <f t="shared" si="51"/>
        <v>166.13</v>
      </c>
      <c r="H257" s="188">
        <f t="shared" si="51"/>
        <v>166.13</v>
      </c>
      <c r="I257" s="188">
        <f t="shared" si="51"/>
        <v>166.13</v>
      </c>
      <c r="J257" s="426"/>
    </row>
    <row r="258" spans="1:10">
      <c r="A258" s="1" t="s">
        <v>144</v>
      </c>
      <c r="B258" s="182">
        <f>'Data Source'!E315</f>
        <v>0</v>
      </c>
      <c r="C258" s="182">
        <f>'Data Source'!F315</f>
        <v>357.09999999999997</v>
      </c>
      <c r="D258" s="182">
        <f>'Data Source'!G315</f>
        <v>0</v>
      </c>
      <c r="E258" s="188">
        <f>E58+E71</f>
        <v>0</v>
      </c>
      <c r="F258" s="188">
        <f>F58+F71</f>
        <v>0</v>
      </c>
      <c r="G258" s="188">
        <f>G58+G71</f>
        <v>0</v>
      </c>
      <c r="H258" s="188">
        <f>H58+H71</f>
        <v>0</v>
      </c>
      <c r="I258" s="188">
        <f>I58+I71</f>
        <v>0</v>
      </c>
      <c r="J258" s="426"/>
    </row>
    <row r="259" spans="1:10" s="40" customFormat="1">
      <c r="A259" s="106" t="s">
        <v>145</v>
      </c>
      <c r="B259" s="189">
        <f>'Data Source'!E316</f>
        <v>1057.3999999999994</v>
      </c>
      <c r="C259" s="189">
        <f>'Data Source'!F316</f>
        <v>807.10000000000014</v>
      </c>
      <c r="D259" s="189">
        <f>'Data Source'!G316</f>
        <v>1077.5999999999999</v>
      </c>
      <c r="E259" s="190">
        <f>E252-E253-E254-E255-E256-E257-E258</f>
        <v>1168.6652130776056</v>
      </c>
      <c r="F259" s="190">
        <f>F252-F253-F254-F255-F256-F257-F258</f>
        <v>1226.8466498061662</v>
      </c>
      <c r="G259" s="190">
        <f>G252-G253-G254-G255-G256-G257-G258</f>
        <v>1287.6205871080274</v>
      </c>
      <c r="H259" s="190">
        <f>H252-H253-H254-H255-H256-H257-H258</f>
        <v>1351.105834124407</v>
      </c>
      <c r="I259" s="190">
        <f>I252-I253-I254-I255-I256-I257-I258</f>
        <v>1417.4268323215556</v>
      </c>
      <c r="J259" s="427"/>
    </row>
    <row r="260" spans="1:10">
      <c r="A260" s="6" t="s">
        <v>192</v>
      </c>
      <c r="B260" s="182">
        <f>'Data Source'!E412</f>
        <v>8.6999999999999993</v>
      </c>
      <c r="C260" s="182">
        <f>'Data Source'!F412</f>
        <v>9.1</v>
      </c>
      <c r="D260" s="182">
        <f>'Data Source'!G412</f>
        <v>7.9</v>
      </c>
      <c r="E260" s="150">
        <f>D260*(1+'Assumption table'!$F$82)</f>
        <v>8.4260162318401139</v>
      </c>
      <c r="F260" s="150">
        <f>E260*(1+'Assumption table'!$F$82)</f>
        <v>8.9870569037003882</v>
      </c>
      <c r="G260" s="150">
        <f>F260*(1+'Assumption table'!$F$82)</f>
        <v>9.5854540945633193</v>
      </c>
      <c r="H260" s="150">
        <f>G260*(1+'Assumption table'!$F$82)</f>
        <v>10.223695163335291</v>
      </c>
      <c r="I260" s="150">
        <f>H260*(1+'Assumption table'!$F$82)</f>
        <v>10.904433088056763</v>
      </c>
      <c r="J260" s="426"/>
    </row>
    <row r="261" spans="1:10">
      <c r="A261" s="6" t="s">
        <v>193</v>
      </c>
      <c r="B261" s="182">
        <f>'Data Source'!E413</f>
        <v>13</v>
      </c>
      <c r="C261" s="182">
        <f>'Data Source'!F413</f>
        <v>26.3</v>
      </c>
      <c r="D261" s="182">
        <f>'Data Source'!G413</f>
        <v>23.5</v>
      </c>
      <c r="E261" s="150">
        <f>D261*(1+'Assumption table'!$F$83)</f>
        <v>24.498750000000001</v>
      </c>
      <c r="F261" s="150">
        <f>E261*(1+'Assumption table'!$F$83)</f>
        <v>25.539946875000002</v>
      </c>
      <c r="G261" s="150">
        <f>F261*(1+'Assumption table'!$F$83)</f>
        <v>26.625394617187503</v>
      </c>
      <c r="H261" s="150">
        <f>G261*(1+'Assumption table'!$F$83)</f>
        <v>27.756973888417971</v>
      </c>
      <c r="I261" s="150">
        <f>H261*(1+'Assumption table'!$F$83)</f>
        <v>28.936645278675734</v>
      </c>
      <c r="J261" s="426"/>
    </row>
    <row r="262" spans="1:10">
      <c r="A262" s="6" t="s">
        <v>194</v>
      </c>
      <c r="B262" s="182">
        <f>'Data Source'!E414</f>
        <v>-110.9</v>
      </c>
      <c r="C262" s="182">
        <f>'Data Source'!F414</f>
        <v>-95</v>
      </c>
      <c r="D262" s="182">
        <f>'Data Source'!G414</f>
        <v>-95.2</v>
      </c>
      <c r="E262" s="27">
        <f>-E224</f>
        <v>-92.344747962030056</v>
      </c>
      <c r="F262" s="27">
        <f>-F224</f>
        <v>-92.344747962030056</v>
      </c>
      <c r="G262" s="27">
        <f>-G224</f>
        <v>-92.344747962030056</v>
      </c>
      <c r="H262" s="27">
        <f>-H224</f>
        <v>-92.344747962030056</v>
      </c>
      <c r="I262" s="27">
        <f>-I224</f>
        <v>-92.344747962030056</v>
      </c>
      <c r="J262" s="426"/>
    </row>
    <row r="263" spans="1:10">
      <c r="A263" s="6" t="s">
        <v>96</v>
      </c>
      <c r="B263" s="182">
        <f>'Data Source'!E415</f>
        <v>-0.8</v>
      </c>
      <c r="C263" s="182">
        <f>'Data Source'!F415</f>
        <v>8.8000000000000007</v>
      </c>
      <c r="D263" s="182">
        <f>'Data Source'!G415</f>
        <v>-56.9</v>
      </c>
      <c r="E263" s="150">
        <f>+'Assumption table'!$F$84</f>
        <v>-20.880000000000003</v>
      </c>
      <c r="F263" s="150">
        <f>+'Assumption table'!$F$84</f>
        <v>-20.880000000000003</v>
      </c>
      <c r="G263" s="150">
        <f>+'Assumption table'!$F$84</f>
        <v>-20.880000000000003</v>
      </c>
      <c r="H263" s="150">
        <f>+'Assumption table'!$F$84</f>
        <v>-20.880000000000003</v>
      </c>
      <c r="I263" s="150">
        <f>+'Assumption table'!$F$84</f>
        <v>-20.880000000000003</v>
      </c>
      <c r="J263" s="426"/>
    </row>
    <row r="264" spans="1:10" s="40" customFormat="1">
      <c r="A264" s="371" t="s">
        <v>97</v>
      </c>
      <c r="B264" s="189">
        <f>'Data Source'!E416</f>
        <v>967.4</v>
      </c>
      <c r="C264" s="189">
        <f>'Data Source'!F416</f>
        <v>756.3</v>
      </c>
      <c r="D264" s="189">
        <f>'Data Source'!G416</f>
        <v>956.9</v>
      </c>
      <c r="E264" s="190">
        <f>SUM(E259:E263)</f>
        <v>1088.3652313474154</v>
      </c>
      <c r="F264" s="190">
        <f>SUM(F259:F263)</f>
        <v>1148.1489056228365</v>
      </c>
      <c r="G264" s="190">
        <f>SUM(G259:G263)</f>
        <v>1210.6066878577481</v>
      </c>
      <c r="H264" s="190">
        <f>SUM(H259:H263)</f>
        <v>1275.86175521413</v>
      </c>
      <c r="I264" s="190">
        <f>SUM(I259:I263)</f>
        <v>1344.0431627262578</v>
      </c>
      <c r="J264" s="427"/>
    </row>
    <row r="265" spans="1:10">
      <c r="A265" s="6" t="s">
        <v>195</v>
      </c>
      <c r="B265" s="182">
        <f>'Data Source'!E417</f>
        <v>211.8</v>
      </c>
      <c r="C265" s="182">
        <f>'Data Source'!F417</f>
        <v>171</v>
      </c>
      <c r="D265" s="182">
        <f>'Data Source'!G417</f>
        <v>220.1</v>
      </c>
      <c r="E265" s="327">
        <f>E264*'Assumption table'!$K$48</f>
        <v>250.32400320990556</v>
      </c>
      <c r="F265" s="327">
        <f>F264*'Assumption table'!$K$48</f>
        <v>264.07424829325242</v>
      </c>
      <c r="G265" s="327">
        <f>G264*'Assumption table'!$K$48</f>
        <v>278.43953820728206</v>
      </c>
      <c r="H265" s="327">
        <f>H264*'Assumption table'!$K$48</f>
        <v>293.44820369924992</v>
      </c>
      <c r="I265" s="327">
        <f>I264*'Assumption table'!$K$48</f>
        <v>309.12992742703932</v>
      </c>
      <c r="J265" s="426"/>
    </row>
    <row r="266" spans="1:10" s="40" customFormat="1">
      <c r="A266" s="371" t="s">
        <v>196</v>
      </c>
      <c r="B266" s="191">
        <f>'Data Source'!E418</f>
        <v>755.6</v>
      </c>
      <c r="C266" s="191">
        <f>'Data Source'!F418</f>
        <v>585.29999999999995</v>
      </c>
      <c r="D266" s="191">
        <f>'Data Source'!G418</f>
        <v>736.8</v>
      </c>
      <c r="E266" s="192">
        <f>E264-E265</f>
        <v>838.04122813750985</v>
      </c>
      <c r="F266" s="192">
        <f>F264-F265</f>
        <v>884.07465732958417</v>
      </c>
      <c r="G266" s="192">
        <f>G264-G265</f>
        <v>932.16714965046594</v>
      </c>
      <c r="H266" s="192">
        <f>H264-H265</f>
        <v>982.41355151488006</v>
      </c>
      <c r="I266" s="192">
        <f>I264-I265</f>
        <v>1034.9132352992185</v>
      </c>
      <c r="J266" s="427"/>
    </row>
    <row r="267" spans="1:10" ht="17" thickTop="1">
      <c r="A267" s="427"/>
      <c r="B267" s="133"/>
      <c r="C267" s="133"/>
      <c r="D267" s="133"/>
      <c r="E267" s="426"/>
      <c r="F267" s="426"/>
      <c r="G267" s="426"/>
      <c r="H267" s="426"/>
      <c r="I267" s="426"/>
      <c r="J267" s="426"/>
    </row>
    <row r="268" spans="1:10">
      <c r="A268" s="427"/>
      <c r="B268" s="133"/>
      <c r="C268" s="133"/>
      <c r="D268" s="133"/>
      <c r="E268" s="426"/>
      <c r="F268" s="426"/>
      <c r="G268" s="426"/>
      <c r="H268" s="426"/>
      <c r="I268" s="426"/>
      <c r="J268" s="426"/>
    </row>
    <row r="269" spans="1:10">
      <c r="A269" s="427"/>
      <c r="B269" s="133"/>
      <c r="C269" s="133"/>
      <c r="D269" s="133"/>
      <c r="E269" s="426"/>
      <c r="F269" s="426"/>
      <c r="G269" s="426"/>
      <c r="H269" s="426"/>
      <c r="I269" s="426"/>
      <c r="J269" s="426"/>
    </row>
    <row r="270" spans="1:10">
      <c r="A270" s="427"/>
      <c r="B270" s="133"/>
      <c r="C270" s="133"/>
      <c r="D270" s="133"/>
      <c r="E270" s="426"/>
      <c r="F270" s="426"/>
      <c r="G270" s="426"/>
      <c r="H270" s="426"/>
      <c r="I270" s="426"/>
      <c r="J270" s="426"/>
    </row>
    <row r="271" spans="1:10">
      <c r="A271" s="427"/>
      <c r="B271" s="133"/>
      <c r="C271" s="133"/>
      <c r="D271" s="133"/>
      <c r="E271" s="426"/>
      <c r="F271" s="426"/>
      <c r="G271" s="426"/>
      <c r="H271" s="426"/>
      <c r="I271" s="426"/>
      <c r="J271" s="426"/>
    </row>
    <row r="272" spans="1:10">
      <c r="A272" s="562" t="s">
        <v>863</v>
      </c>
      <c r="B272" s="563">
        <f t="shared" ref="B272:I272" si="52">B$2</f>
        <v>2023</v>
      </c>
      <c r="C272" s="563">
        <f t="shared" si="52"/>
        <v>2024</v>
      </c>
      <c r="D272" s="563">
        <f t="shared" si="52"/>
        <v>2025</v>
      </c>
      <c r="E272" s="564">
        <f t="shared" si="52"/>
        <v>2026</v>
      </c>
      <c r="F272" s="564">
        <f t="shared" si="52"/>
        <v>2027</v>
      </c>
      <c r="G272" s="564">
        <f t="shared" si="52"/>
        <v>2028</v>
      </c>
      <c r="H272" s="564">
        <f t="shared" si="52"/>
        <v>2029</v>
      </c>
      <c r="I272" s="565">
        <f t="shared" si="52"/>
        <v>2030</v>
      </c>
    </row>
    <row r="273" spans="1:10" s="40" customFormat="1">
      <c r="A273" s="371" t="s">
        <v>196</v>
      </c>
      <c r="B273" s="612">
        <f>'Data Source'!E479</f>
        <v>755.6</v>
      </c>
      <c r="C273" s="612">
        <f>'Data Source'!F479</f>
        <v>585.29999999999995</v>
      </c>
      <c r="D273" s="612">
        <f>'Data Source'!G479</f>
        <v>736.8</v>
      </c>
      <c r="E273" s="613">
        <f>E266</f>
        <v>838.04122813750985</v>
      </c>
      <c r="F273" s="613">
        <f>F266</f>
        <v>884.07465732958417</v>
      </c>
      <c r="G273" s="613">
        <f>G266</f>
        <v>932.16714965046594</v>
      </c>
      <c r="H273" s="613">
        <f>H266</f>
        <v>982.41355151488006</v>
      </c>
      <c r="I273" s="613">
        <f>I266</f>
        <v>1034.9132352992185</v>
      </c>
    </row>
    <row r="274" spans="1:10">
      <c r="A274" s="6" t="s">
        <v>197</v>
      </c>
      <c r="B274" s="606">
        <f>'Data Source'!E480</f>
        <v>0</v>
      </c>
      <c r="C274" s="606">
        <f>'Data Source'!F480</f>
        <v>0</v>
      </c>
      <c r="D274" s="606">
        <f>'Data Source'!G480</f>
        <v>0</v>
      </c>
      <c r="E274" s="27"/>
      <c r="F274" s="27"/>
      <c r="G274" s="27"/>
      <c r="H274" s="27"/>
      <c r="I274" s="27"/>
      <c r="J274" s="27"/>
    </row>
    <row r="275" spans="1:10">
      <c r="A275" s="6" t="s">
        <v>198</v>
      </c>
      <c r="B275" s="606">
        <f>'Data Source'!E481</f>
        <v>0</v>
      </c>
      <c r="C275" s="606">
        <f>'Data Source'!F481</f>
        <v>0</v>
      </c>
      <c r="D275" s="606">
        <f>'Data Source'!G481</f>
        <v>0</v>
      </c>
      <c r="E275" s="27"/>
      <c r="F275" s="27"/>
      <c r="G275" s="27"/>
      <c r="H275" s="27"/>
      <c r="I275" s="27"/>
      <c r="J275" s="27"/>
    </row>
    <row r="276" spans="1:10">
      <c r="A276" s="6" t="s">
        <v>199</v>
      </c>
      <c r="B276" s="606">
        <f>'Data Source'!E482</f>
        <v>72.8</v>
      </c>
      <c r="C276" s="606">
        <f>'Data Source'!F482</f>
        <v>83.2</v>
      </c>
      <c r="D276" s="606">
        <f>'Data Source'!G482</f>
        <v>89.7</v>
      </c>
      <c r="E276" s="27">
        <f>E181</f>
        <v>99.530447388600493</v>
      </c>
      <c r="F276" s="27">
        <f>F181</f>
        <v>104.01631810877228</v>
      </c>
      <c r="G276" s="27">
        <f>G181</f>
        <v>108.71063039364854</v>
      </c>
      <c r="H276" s="27">
        <f>H181</f>
        <v>113.62342278681669</v>
      </c>
      <c r="I276" s="27">
        <f>I181</f>
        <v>118.76523659712241</v>
      </c>
      <c r="J276" s="27"/>
    </row>
    <row r="277" spans="1:10">
      <c r="A277" s="6" t="s">
        <v>200</v>
      </c>
      <c r="B277" s="606">
        <f>'Data Source'!E483</f>
        <v>152.4</v>
      </c>
      <c r="C277" s="606">
        <f>'Data Source'!F483</f>
        <v>155.9</v>
      </c>
      <c r="D277" s="606">
        <f>'Data Source'!G483</f>
        <v>157.69999999999999</v>
      </c>
      <c r="E277" s="27">
        <f>E212</f>
        <v>166.13</v>
      </c>
      <c r="F277" s="27">
        <f>F212</f>
        <v>166.13</v>
      </c>
      <c r="G277" s="27">
        <f>G212</f>
        <v>166.13</v>
      </c>
      <c r="H277" s="27">
        <f>H212</f>
        <v>166.13</v>
      </c>
      <c r="I277" s="27">
        <f>I212</f>
        <v>166.13</v>
      </c>
      <c r="J277" s="27"/>
    </row>
    <row r="278" spans="1:10">
      <c r="A278" s="6" t="s">
        <v>201</v>
      </c>
      <c r="B278" s="606">
        <f>'Data Source'!E484</f>
        <v>0</v>
      </c>
      <c r="C278" s="606">
        <f>'Data Source'!F484</f>
        <v>0</v>
      </c>
      <c r="D278" s="607">
        <f>'Data Source'!G485</f>
        <v>19</v>
      </c>
      <c r="E278" s="27">
        <f>C278</f>
        <v>0</v>
      </c>
      <c r="F278" s="27">
        <f t="shared" ref="F278:I282" si="53">E278</f>
        <v>0</v>
      </c>
      <c r="G278" s="27">
        <f t="shared" si="53"/>
        <v>0</v>
      </c>
      <c r="H278" s="27">
        <f t="shared" si="53"/>
        <v>0</v>
      </c>
      <c r="I278" s="27">
        <f t="shared" si="53"/>
        <v>0</v>
      </c>
      <c r="J278" s="27"/>
    </row>
    <row r="279" spans="1:10">
      <c r="A279" s="6" t="s">
        <v>202</v>
      </c>
      <c r="B279" s="606">
        <f>'Data Source'!E486</f>
        <v>-13.8</v>
      </c>
      <c r="C279" s="606">
        <f>'Data Source'!F486</f>
        <v>-82</v>
      </c>
      <c r="D279" s="606">
        <f>'Data Source'!G486</f>
        <v>36</v>
      </c>
      <c r="E279" s="27">
        <f>D279</f>
        <v>36</v>
      </c>
      <c r="F279" s="27">
        <f t="shared" si="53"/>
        <v>36</v>
      </c>
      <c r="G279" s="27">
        <f t="shared" si="53"/>
        <v>36</v>
      </c>
      <c r="H279" s="27">
        <f t="shared" si="53"/>
        <v>36</v>
      </c>
      <c r="I279" s="27">
        <f t="shared" si="53"/>
        <v>36</v>
      </c>
      <c r="J279" s="27"/>
    </row>
    <row r="280" spans="1:10">
      <c r="A280" s="6" t="s">
        <v>203</v>
      </c>
      <c r="B280" s="606">
        <f>'Data Source'!E487</f>
        <v>0</v>
      </c>
      <c r="C280" s="606">
        <f>'Data Source'!F487</f>
        <v>0</v>
      </c>
      <c r="D280" s="606">
        <f>'Data Source'!G487</f>
        <v>45.6</v>
      </c>
      <c r="E280" s="27">
        <f>C280</f>
        <v>0</v>
      </c>
      <c r="F280" s="27">
        <f t="shared" si="53"/>
        <v>0</v>
      </c>
      <c r="G280" s="27">
        <f t="shared" si="53"/>
        <v>0</v>
      </c>
      <c r="H280" s="27">
        <f t="shared" si="53"/>
        <v>0</v>
      </c>
      <c r="I280" s="27">
        <f t="shared" si="53"/>
        <v>0</v>
      </c>
      <c r="J280" s="27"/>
    </row>
    <row r="281" spans="1:10">
      <c r="A281" s="6" t="s">
        <v>144</v>
      </c>
      <c r="B281" s="606">
        <f>'Data Source'!E488</f>
        <v>0</v>
      </c>
      <c r="C281" s="606">
        <f>'Data Source'!F488</f>
        <v>357.1</v>
      </c>
      <c r="D281" s="606">
        <f>'Data Source'!G488</f>
        <v>0</v>
      </c>
      <c r="E281" s="27">
        <f>D281</f>
        <v>0</v>
      </c>
      <c r="F281" s="27">
        <f t="shared" si="53"/>
        <v>0</v>
      </c>
      <c r="G281" s="27">
        <f t="shared" si="53"/>
        <v>0</v>
      </c>
      <c r="H281" s="27">
        <f t="shared" si="53"/>
        <v>0</v>
      </c>
      <c r="I281" s="27">
        <f t="shared" si="53"/>
        <v>0</v>
      </c>
      <c r="J281" s="27"/>
    </row>
    <row r="282" spans="1:10">
      <c r="A282" s="6" t="s">
        <v>204</v>
      </c>
      <c r="B282" s="606">
        <f>'Data Source'!E489</f>
        <v>0</v>
      </c>
      <c r="C282" s="606">
        <f>'Data Source'!F489</f>
        <v>0</v>
      </c>
      <c r="D282" s="606">
        <f>'Data Source'!G489</f>
        <v>58.5</v>
      </c>
      <c r="E282" s="27">
        <f>C282</f>
        <v>0</v>
      </c>
      <c r="F282" s="27">
        <f t="shared" si="53"/>
        <v>0</v>
      </c>
      <c r="G282" s="27">
        <f t="shared" si="53"/>
        <v>0</v>
      </c>
      <c r="H282" s="27">
        <f t="shared" si="53"/>
        <v>0</v>
      </c>
      <c r="I282" s="27">
        <f t="shared" si="53"/>
        <v>0</v>
      </c>
      <c r="J282" s="27"/>
    </row>
    <row r="283" spans="1:10">
      <c r="A283" s="6" t="s">
        <v>205</v>
      </c>
      <c r="B283" s="606">
        <f>'Data Source'!E490</f>
        <v>-8.6999999999999993</v>
      </c>
      <c r="C283" s="606">
        <f>'Data Source'!F490</f>
        <v>-9.1</v>
      </c>
      <c r="D283" s="606">
        <f>'Data Source'!G490</f>
        <v>-7.9</v>
      </c>
      <c r="E283" s="27">
        <f>-E260</f>
        <v>-8.4260162318401139</v>
      </c>
      <c r="F283" s="27">
        <f>-F260</f>
        <v>-8.9870569037003882</v>
      </c>
      <c r="G283" s="27">
        <f>-G260</f>
        <v>-9.5854540945633193</v>
      </c>
      <c r="H283" s="27">
        <f>-H260</f>
        <v>-10.223695163335291</v>
      </c>
      <c r="I283" s="27">
        <f>-I260</f>
        <v>-10.904433088056763</v>
      </c>
      <c r="J283" s="27"/>
    </row>
    <row r="284" spans="1:10">
      <c r="A284" s="6" t="s">
        <v>206</v>
      </c>
      <c r="B284" s="606">
        <f>'Data Source'!E491</f>
        <v>9.5</v>
      </c>
      <c r="C284" s="606">
        <f>'Data Source'!F491</f>
        <v>8.9</v>
      </c>
      <c r="D284" s="606">
        <f>'Data Source'!G491</f>
        <v>8.8000000000000007</v>
      </c>
      <c r="E284" s="27">
        <f t="shared" ref="E284:I287" si="54">D284</f>
        <v>8.8000000000000007</v>
      </c>
      <c r="F284" s="27">
        <f t="shared" si="54"/>
        <v>8.8000000000000007</v>
      </c>
      <c r="G284" s="27">
        <f t="shared" si="54"/>
        <v>8.8000000000000007</v>
      </c>
      <c r="H284" s="27">
        <f t="shared" si="54"/>
        <v>8.8000000000000007</v>
      </c>
      <c r="I284" s="27">
        <f t="shared" si="54"/>
        <v>8.8000000000000007</v>
      </c>
      <c r="J284" s="27"/>
    </row>
    <row r="285" spans="1:10">
      <c r="A285" s="6" t="s">
        <v>207</v>
      </c>
      <c r="B285" s="606">
        <f>'Data Source'!E492</f>
        <v>63.6</v>
      </c>
      <c r="C285" s="606">
        <f>'Data Source'!F492</f>
        <v>59.2</v>
      </c>
      <c r="D285" s="606">
        <f>'Data Source'!G492</f>
        <v>58</v>
      </c>
      <c r="E285" s="27">
        <f t="shared" si="54"/>
        <v>58</v>
      </c>
      <c r="F285" s="27">
        <f t="shared" si="54"/>
        <v>58</v>
      </c>
      <c r="G285" s="27">
        <f t="shared" si="54"/>
        <v>58</v>
      </c>
      <c r="H285" s="27">
        <f t="shared" si="54"/>
        <v>58</v>
      </c>
      <c r="I285" s="27">
        <f t="shared" si="54"/>
        <v>58</v>
      </c>
      <c r="J285" s="27"/>
    </row>
    <row r="286" spans="1:10">
      <c r="A286" s="6" t="s">
        <v>208</v>
      </c>
      <c r="B286" s="606">
        <f>'Data Source'!E493</f>
        <v>8.9</v>
      </c>
      <c r="C286" s="606">
        <f>'Data Source'!F493</f>
        <v>12.1</v>
      </c>
      <c r="D286" s="606">
        <f>'Data Source'!G493</f>
        <v>10.1</v>
      </c>
      <c r="E286" s="27">
        <f t="shared" si="54"/>
        <v>10.1</v>
      </c>
      <c r="F286" s="27">
        <f t="shared" si="54"/>
        <v>10.1</v>
      </c>
      <c r="G286" s="27">
        <f t="shared" si="54"/>
        <v>10.1</v>
      </c>
      <c r="H286" s="27">
        <f t="shared" si="54"/>
        <v>10.1</v>
      </c>
      <c r="I286" s="27">
        <f t="shared" si="54"/>
        <v>10.1</v>
      </c>
      <c r="J286" s="27"/>
    </row>
    <row r="287" spans="1:10">
      <c r="A287" s="6" t="s">
        <v>209</v>
      </c>
      <c r="B287" s="606">
        <f>'Data Source'!E494</f>
        <v>0</v>
      </c>
      <c r="C287" s="606">
        <f>'Data Source'!F494</f>
        <v>0</v>
      </c>
      <c r="D287" s="606">
        <f>'Data Source'!G494</f>
        <v>0</v>
      </c>
      <c r="E287" s="27">
        <f t="shared" si="54"/>
        <v>0</v>
      </c>
      <c r="F287" s="27">
        <f t="shared" si="54"/>
        <v>0</v>
      </c>
      <c r="G287" s="27">
        <f t="shared" si="54"/>
        <v>0</v>
      </c>
      <c r="H287" s="27">
        <f t="shared" si="54"/>
        <v>0</v>
      </c>
      <c r="I287" s="27">
        <f t="shared" si="54"/>
        <v>0</v>
      </c>
      <c r="J287" s="27"/>
    </row>
    <row r="288" spans="1:10">
      <c r="A288" s="6" t="s">
        <v>210</v>
      </c>
      <c r="B288" s="606">
        <f>'Data Source'!E495</f>
        <v>-0.4</v>
      </c>
      <c r="C288" s="606">
        <f>'Data Source'!F495</f>
        <v>-6.2</v>
      </c>
      <c r="D288" s="606">
        <f>'Data Source'!G495</f>
        <v>-6.7</v>
      </c>
      <c r="E288" s="27">
        <v>0</v>
      </c>
      <c r="F288" s="27">
        <v>0</v>
      </c>
      <c r="G288" s="27">
        <v>0</v>
      </c>
      <c r="H288" s="27">
        <v>0</v>
      </c>
      <c r="I288" s="27">
        <v>0</v>
      </c>
      <c r="J288" s="27"/>
    </row>
    <row r="289" spans="1:10">
      <c r="A289" s="6" t="s">
        <v>211</v>
      </c>
      <c r="B289" s="610">
        <f>'Data Source'!E496</f>
        <v>1039.9000000000001</v>
      </c>
      <c r="C289" s="610">
        <f>'Data Source'!F496</f>
        <v>1164.4000000000001</v>
      </c>
      <c r="D289" s="610">
        <f>'Data Source'!G496</f>
        <v>1205.5999999999999</v>
      </c>
      <c r="E289" s="611">
        <f>SUM(E273:E288)</f>
        <v>1208.17565929427</v>
      </c>
      <c r="F289" s="611">
        <f t="shared" ref="F289:I289" si="55">SUM(F273:F288)</f>
        <v>1258.133918534656</v>
      </c>
      <c r="G289" s="611">
        <f t="shared" si="55"/>
        <v>1310.322325949551</v>
      </c>
      <c r="H289" s="611">
        <f t="shared" si="55"/>
        <v>1364.8432791383614</v>
      </c>
      <c r="I289" s="611">
        <f t="shared" si="55"/>
        <v>1421.8040388082841</v>
      </c>
      <c r="J289" s="27"/>
    </row>
    <row r="290" spans="1:10" s="40" customFormat="1">
      <c r="A290" s="371" t="s">
        <v>212</v>
      </c>
      <c r="B290" s="612">
        <f>'Data Source'!E497</f>
        <v>0</v>
      </c>
      <c r="C290" s="612">
        <f>'Data Source'!F497</f>
        <v>0</v>
      </c>
      <c r="D290" s="612">
        <f>'Data Source'!G497</f>
        <v>0</v>
      </c>
      <c r="E290" s="613"/>
      <c r="F290" s="613"/>
      <c r="G290" s="613"/>
      <c r="H290" s="613"/>
      <c r="I290" s="613"/>
      <c r="J290" s="613"/>
    </row>
    <row r="291" spans="1:10">
      <c r="A291" s="6" t="s">
        <v>213</v>
      </c>
      <c r="B291" s="606">
        <f>'Data Source'!E498</f>
        <v>-97.4</v>
      </c>
      <c r="C291" s="606">
        <f>'Data Source'!F498</f>
        <v>-81.5</v>
      </c>
      <c r="D291" s="606">
        <f>'Data Source'!G498</f>
        <v>39.4</v>
      </c>
      <c r="E291" s="27">
        <f t="shared" ref="E291:I293" si="56">D229-E229</f>
        <v>83.355126992018995</v>
      </c>
      <c r="F291" s="27">
        <f t="shared" si="56"/>
        <v>-22.987893873993585</v>
      </c>
      <c r="G291" s="27">
        <f t="shared" si="56"/>
        <v>-24.056054966289025</v>
      </c>
      <c r="H291" s="27">
        <f t="shared" si="56"/>
        <v>-25.175658685675899</v>
      </c>
      <c r="I291" s="27">
        <f t="shared" si="56"/>
        <v>-26.34928145825279</v>
      </c>
      <c r="J291" s="27"/>
    </row>
    <row r="292" spans="1:10">
      <c r="A292" s="6" t="s">
        <v>102</v>
      </c>
      <c r="B292" s="606">
        <f>'Data Source'!E499</f>
        <v>38.5</v>
      </c>
      <c r="C292" s="606">
        <f>'Data Source'!F499</f>
        <v>2</v>
      </c>
      <c r="D292" s="606">
        <f>'Data Source'!G499</f>
        <v>56.1</v>
      </c>
      <c r="E292" s="27">
        <f t="shared" si="56"/>
        <v>-96.978500978922284</v>
      </c>
      <c r="F292" s="27">
        <f t="shared" si="56"/>
        <v>-28.474469406433855</v>
      </c>
      <c r="G292" s="27">
        <f t="shared" si="56"/>
        <v>-29.797571057695563</v>
      </c>
      <c r="H292" s="27">
        <f t="shared" si="56"/>
        <v>-31.1843932707161</v>
      </c>
      <c r="I292" s="27">
        <f t="shared" si="56"/>
        <v>-32.638127393364016</v>
      </c>
      <c r="J292" s="27"/>
    </row>
    <row r="293" spans="1:10">
      <c r="A293" s="6" t="s">
        <v>214</v>
      </c>
      <c r="B293" s="606">
        <f>'Data Source'!E500</f>
        <v>10.4</v>
      </c>
      <c r="C293" s="606">
        <f>'Data Source'!F500</f>
        <v>-0.5</v>
      </c>
      <c r="D293" s="606">
        <f>'Data Source'!G500</f>
        <v>1.2</v>
      </c>
      <c r="E293" s="27">
        <f t="shared" si="56"/>
        <v>5.2550194435229329</v>
      </c>
      <c r="F293" s="27">
        <f t="shared" si="56"/>
        <v>-2.4583606085414331</v>
      </c>
      <c r="G293" s="27">
        <f t="shared" si="56"/>
        <v>-2.5725913931130648</v>
      </c>
      <c r="H293" s="27">
        <f t="shared" si="56"/>
        <v>-2.6923235310811791</v>
      </c>
      <c r="I293" s="27">
        <f t="shared" si="56"/>
        <v>-2.8178325494020839</v>
      </c>
      <c r="J293" s="27"/>
    </row>
    <row r="294" spans="1:10">
      <c r="A294" s="6" t="s">
        <v>104</v>
      </c>
      <c r="B294" s="606">
        <f>'Data Source'!E501</f>
        <v>-58.1</v>
      </c>
      <c r="C294" s="606">
        <f>'Data Source'!F501</f>
        <v>98.6</v>
      </c>
      <c r="D294" s="606">
        <f>'Data Source'!G501</f>
        <v>2.4</v>
      </c>
      <c r="E294" s="27">
        <f t="shared" ref="E294:I295" si="57">E233-D233</f>
        <v>-150.1097725406155</v>
      </c>
      <c r="F294" s="27">
        <f t="shared" si="57"/>
        <v>26.244016283819064</v>
      </c>
      <c r="G294" s="27">
        <f t="shared" si="57"/>
        <v>27.46347715542413</v>
      </c>
      <c r="H294" s="27">
        <f t="shared" si="57"/>
        <v>28.741667249918009</v>
      </c>
      <c r="I294" s="27">
        <f t="shared" si="57"/>
        <v>30.081527931518394</v>
      </c>
      <c r="J294" s="27"/>
    </row>
    <row r="295" spans="1:10">
      <c r="A295" s="6" t="s">
        <v>215</v>
      </c>
      <c r="B295" s="606">
        <f>'Data Source'!E502</f>
        <v>113.3</v>
      </c>
      <c r="C295" s="606">
        <f>'Data Source'!F502</f>
        <v>-1.1000000000000001</v>
      </c>
      <c r="D295" s="606">
        <f>'Data Source'!G502</f>
        <v>-60.9</v>
      </c>
      <c r="E295" s="27">
        <f t="shared" si="57"/>
        <v>154.42778236848642</v>
      </c>
      <c r="F295" s="27">
        <f t="shared" si="57"/>
        <v>33.23611803182655</v>
      </c>
      <c r="G295" s="27">
        <f t="shared" si="57"/>
        <v>34.780475611304382</v>
      </c>
      <c r="H295" s="27">
        <f t="shared" si="57"/>
        <v>36.399209435742023</v>
      </c>
      <c r="I295" s="27">
        <f t="shared" si="57"/>
        <v>38.096044526769219</v>
      </c>
      <c r="J295" s="27"/>
    </row>
    <row r="296" spans="1:10">
      <c r="A296" s="6" t="s">
        <v>216</v>
      </c>
      <c r="B296" s="606">
        <f>'Data Source'!E503</f>
        <v>-1.8</v>
      </c>
      <c r="C296" s="606">
        <f>'Data Source'!F503</f>
        <v>-7.1</v>
      </c>
      <c r="D296" s="606">
        <f>'Data Source'!G503</f>
        <v>-5.0999999999999996</v>
      </c>
      <c r="E296" s="27">
        <v>0</v>
      </c>
      <c r="F296" s="27">
        <v>0</v>
      </c>
      <c r="G296" s="27">
        <v>0</v>
      </c>
      <c r="H296" s="27">
        <v>0</v>
      </c>
      <c r="I296" s="27">
        <v>0</v>
      </c>
      <c r="J296" s="27"/>
    </row>
    <row r="297" spans="1:10">
      <c r="A297" s="6" t="s">
        <v>217</v>
      </c>
      <c r="B297" s="606">
        <f>'Data Source'!E504</f>
        <v>-14.2</v>
      </c>
      <c r="C297" s="606">
        <f>'Data Source'!F504</f>
        <v>-18.600000000000001</v>
      </c>
      <c r="D297" s="606">
        <f>'Data Source'!G504</f>
        <v>-23.3</v>
      </c>
      <c r="E297" s="27">
        <f>E237-D237</f>
        <v>-178.9</v>
      </c>
      <c r="F297" s="27">
        <f>F237-E237</f>
        <v>0</v>
      </c>
      <c r="G297" s="27">
        <f>G237-F237</f>
        <v>0</v>
      </c>
      <c r="H297" s="27">
        <f>H237-G237</f>
        <v>0</v>
      </c>
      <c r="I297" s="27">
        <f>I237-H237</f>
        <v>0</v>
      </c>
      <c r="J297" s="27"/>
    </row>
    <row r="298" spans="1:10" s="40" customFormat="1">
      <c r="A298" s="371" t="s">
        <v>218</v>
      </c>
      <c r="B298" s="612">
        <f>'Data Source'!E505</f>
        <v>-9.3000000000000007</v>
      </c>
      <c r="C298" s="612">
        <f>'Data Source'!F505</f>
        <v>-8.1999999999999993</v>
      </c>
      <c r="D298" s="612">
        <f>'Data Source'!G505</f>
        <v>9.8000000000000007</v>
      </c>
      <c r="E298" s="613">
        <f>SUM(E291:E297)</f>
        <v>-182.95034471550943</v>
      </c>
      <c r="F298" s="613">
        <f t="shared" ref="F298:I298" si="58">SUM(F291:F297)</f>
        <v>5.5594104266767417</v>
      </c>
      <c r="G298" s="613">
        <f t="shared" si="58"/>
        <v>5.8177353496308584</v>
      </c>
      <c r="H298" s="613">
        <f t="shared" si="58"/>
        <v>6.0885011981868544</v>
      </c>
      <c r="I298" s="613">
        <f t="shared" si="58"/>
        <v>6.372331057268724</v>
      </c>
      <c r="J298" s="613"/>
    </row>
    <row r="299" spans="1:10" s="40" customFormat="1">
      <c r="A299" s="371" t="s">
        <v>219</v>
      </c>
      <c r="B299" s="614">
        <f>'Data Source'!E506</f>
        <v>1030.5999999999999</v>
      </c>
      <c r="C299" s="614">
        <f>'Data Source'!F506</f>
        <v>1156.2</v>
      </c>
      <c r="D299" s="614">
        <f>'Data Source'!G506</f>
        <v>1215.4000000000001</v>
      </c>
      <c r="E299" s="615">
        <f>E289+E298</f>
        <v>1025.2253145787606</v>
      </c>
      <c r="F299" s="615">
        <f t="shared" ref="F299:I299" si="59">F289+F298</f>
        <v>1263.6933289613328</v>
      </c>
      <c r="G299" s="615">
        <f t="shared" si="59"/>
        <v>1316.1400612991818</v>
      </c>
      <c r="H299" s="615">
        <f t="shared" si="59"/>
        <v>1370.9317803365482</v>
      </c>
      <c r="I299" s="615">
        <f t="shared" si="59"/>
        <v>1428.1763698655527</v>
      </c>
      <c r="J299" s="613"/>
    </row>
    <row r="300" spans="1:10">
      <c r="A300" s="6" t="s">
        <v>220</v>
      </c>
      <c r="B300" s="606">
        <f>'Data Source'!E507</f>
        <v>0</v>
      </c>
      <c r="C300" s="606">
        <f>'Data Source'!F507</f>
        <v>0</v>
      </c>
      <c r="D300" s="606">
        <f>'Data Source'!G507</f>
        <v>0</v>
      </c>
      <c r="E300" s="27"/>
      <c r="F300" s="27"/>
      <c r="G300" s="27"/>
      <c r="H300" s="27"/>
      <c r="I300" s="27"/>
      <c r="J300" s="27"/>
    </row>
    <row r="301" spans="1:10">
      <c r="A301" s="6" t="s">
        <v>221</v>
      </c>
      <c r="B301" s="606">
        <f>'Data Source'!E508</f>
        <v>-223.5</v>
      </c>
      <c r="C301" s="606">
        <f>'Data Source'!F508</f>
        <v>-179.8</v>
      </c>
      <c r="D301" s="606">
        <f>'Data Source'!G508</f>
        <v>-122.4</v>
      </c>
      <c r="E301" s="27">
        <f>-(E107+E109+E111+E113+E115+E117)</f>
        <v>-121.26666299050112</v>
      </c>
      <c r="F301" s="27">
        <f>-(F107+F109+F111+F113+F115+F117)</f>
        <v>-81.949889696846327</v>
      </c>
      <c r="G301" s="27">
        <f>-(G107+G109+G111+G113+G115+G117)</f>
        <v>-85.757793290446514</v>
      </c>
      <c r="H301" s="27">
        <f>-(H107+H109+H111+H113+H115+H117)</f>
        <v>-89.749085481495541</v>
      </c>
      <c r="I301" s="27">
        <f>-(I107+I109+I111+I113+I115+I117)</f>
        <v>-93.932951010263523</v>
      </c>
      <c r="J301" s="27"/>
    </row>
    <row r="302" spans="1:10">
      <c r="A302" s="6" t="s">
        <v>222</v>
      </c>
      <c r="B302" s="606">
        <f>'Data Source'!E509</f>
        <v>0</v>
      </c>
      <c r="C302" s="606">
        <f>'Data Source'!F509</f>
        <v>0</v>
      </c>
      <c r="D302" s="606">
        <f>'Data Source'!G509</f>
        <v>0</v>
      </c>
      <c r="E302" s="27">
        <v>0</v>
      </c>
      <c r="F302" s="27">
        <v>0</v>
      </c>
      <c r="G302" s="27">
        <v>0</v>
      </c>
      <c r="H302" s="27">
        <v>0</v>
      </c>
      <c r="I302" s="27">
        <v>0</v>
      </c>
      <c r="J302" s="27"/>
    </row>
    <row r="303" spans="1:10">
      <c r="A303" s="6" t="s">
        <v>57</v>
      </c>
      <c r="B303" s="606">
        <f>'Data Source'!E510</f>
        <v>0</v>
      </c>
      <c r="C303" s="606">
        <f>'Data Source'!F510</f>
        <v>-19.899999999999999</v>
      </c>
      <c r="D303" s="606">
        <f>'Data Source'!G510</f>
        <v>-656</v>
      </c>
      <c r="E303" s="27">
        <v>0</v>
      </c>
      <c r="F303" s="27">
        <v>0</v>
      </c>
      <c r="G303" s="27">
        <v>0</v>
      </c>
      <c r="H303" s="27">
        <v>0</v>
      </c>
      <c r="I303" s="27">
        <v>0</v>
      </c>
      <c r="J303" s="27"/>
    </row>
    <row r="304" spans="1:10">
      <c r="A304" s="6" t="s">
        <v>223</v>
      </c>
      <c r="B304" s="606">
        <f>'Data Source'!E511</f>
        <v>0</v>
      </c>
      <c r="C304" s="606">
        <f>'Data Source'!F511</f>
        <v>6.6</v>
      </c>
      <c r="D304" s="606">
        <f>'Data Source'!G511</f>
        <v>0</v>
      </c>
      <c r="E304" s="27">
        <v>0</v>
      </c>
      <c r="F304" s="27">
        <v>0</v>
      </c>
      <c r="G304" s="27">
        <v>0</v>
      </c>
      <c r="H304" s="27">
        <v>0</v>
      </c>
      <c r="I304" s="27">
        <v>0</v>
      </c>
      <c r="J304" s="27"/>
    </row>
    <row r="305" spans="1:10">
      <c r="A305" s="6" t="s">
        <v>224</v>
      </c>
      <c r="B305" s="606">
        <f>'Data Source'!E512</f>
        <v>0</v>
      </c>
      <c r="C305" s="606">
        <f>'Data Source'!F512</f>
        <v>0</v>
      </c>
      <c r="D305" s="606">
        <f>'Data Source'!G512</f>
        <v>160.30000000000001</v>
      </c>
      <c r="E305" s="27">
        <v>0</v>
      </c>
      <c r="F305" s="27">
        <v>0</v>
      </c>
      <c r="G305" s="27">
        <v>0</v>
      </c>
      <c r="H305" s="27">
        <v>0</v>
      </c>
      <c r="I305" s="27">
        <v>0</v>
      </c>
      <c r="J305" s="27"/>
    </row>
    <row r="306" spans="1:10">
      <c r="A306" s="6" t="s">
        <v>210</v>
      </c>
      <c r="B306" s="606">
        <f>'Data Source'!E513</f>
        <v>-10.8</v>
      </c>
      <c r="C306" s="606">
        <f>'Data Source'!F513</f>
        <v>9.8000000000000007</v>
      </c>
      <c r="D306" s="606">
        <f>'Data Source'!G513</f>
        <v>1.2</v>
      </c>
      <c r="E306" s="27">
        <v>0</v>
      </c>
      <c r="F306" s="27">
        <v>0</v>
      </c>
      <c r="G306" s="27">
        <v>0</v>
      </c>
      <c r="H306" s="27">
        <v>0</v>
      </c>
      <c r="I306" s="27">
        <v>0</v>
      </c>
      <c r="J306" s="27"/>
    </row>
    <row r="307" spans="1:10" s="40" customFormat="1">
      <c r="A307" s="371" t="s">
        <v>225</v>
      </c>
      <c r="B307" s="614">
        <f>'Data Source'!E514</f>
        <v>-234.3</v>
      </c>
      <c r="C307" s="614">
        <f>'Data Source'!F514</f>
        <v>-183.3</v>
      </c>
      <c r="D307" s="614">
        <f>'Data Source'!G514</f>
        <v>-616.9</v>
      </c>
      <c r="E307" s="615">
        <f>SUM(E301:E306)</f>
        <v>-121.26666299050112</v>
      </c>
      <c r="F307" s="615">
        <f>SUM(F301:F306)</f>
        <v>-81.949889696846327</v>
      </c>
      <c r="G307" s="615">
        <f>SUM(G301:G306)</f>
        <v>-85.757793290446514</v>
      </c>
      <c r="H307" s="615">
        <f>SUM(H301:H306)</f>
        <v>-89.749085481495541</v>
      </c>
      <c r="I307" s="615">
        <f>SUM(I301:I306)</f>
        <v>-93.932951010263523</v>
      </c>
      <c r="J307" s="613"/>
    </row>
    <row r="308" spans="1:10">
      <c r="A308" s="6" t="s">
        <v>226</v>
      </c>
      <c r="B308" s="606">
        <f>'Data Source'!E515</f>
        <v>0</v>
      </c>
      <c r="C308" s="606">
        <f>'Data Source'!F515</f>
        <v>0</v>
      </c>
      <c r="D308" s="606">
        <f>'Data Source'!G515</f>
        <v>0</v>
      </c>
      <c r="E308" s="27"/>
      <c r="F308" s="27"/>
      <c r="G308" s="27"/>
      <c r="H308" s="27"/>
      <c r="I308" s="27"/>
      <c r="J308" s="27"/>
    </row>
    <row r="309" spans="1:10">
      <c r="A309" s="6" t="s">
        <v>227</v>
      </c>
      <c r="B309" s="606">
        <f>'Data Source'!E516</f>
        <v>0</v>
      </c>
      <c r="C309" s="606">
        <f>'Data Source'!F516</f>
        <v>0</v>
      </c>
      <c r="D309" s="606">
        <f>'Data Source'!G516</f>
        <v>0</v>
      </c>
      <c r="E309" s="27">
        <f>E221</f>
        <v>32.4</v>
      </c>
      <c r="F309" s="27">
        <f>F221</f>
        <v>455.7</v>
      </c>
      <c r="G309" s="27">
        <f>G221</f>
        <v>26.6</v>
      </c>
      <c r="H309" s="27">
        <f>H221</f>
        <v>26</v>
      </c>
      <c r="I309" s="27">
        <f>I221</f>
        <v>25.9</v>
      </c>
      <c r="J309" s="27"/>
    </row>
    <row r="310" spans="1:10">
      <c r="A310" s="6" t="s">
        <v>228</v>
      </c>
      <c r="B310" s="606">
        <f>'Data Source'!E517</f>
        <v>-200</v>
      </c>
      <c r="C310" s="606">
        <f>'Data Source'!F517</f>
        <v>-204.6</v>
      </c>
      <c r="D310" s="606">
        <f>'Data Source'!G517</f>
        <v>0</v>
      </c>
      <c r="E310" s="27">
        <f>-E220</f>
        <v>-32.4</v>
      </c>
      <c r="F310" s="27">
        <f>-F220</f>
        <v>-455.7</v>
      </c>
      <c r="G310" s="27">
        <f>-G220</f>
        <v>-26.6</v>
      </c>
      <c r="H310" s="27">
        <f>-H220</f>
        <v>-26</v>
      </c>
      <c r="I310" s="27">
        <f>-I220</f>
        <v>-25.9</v>
      </c>
      <c r="J310" s="27"/>
    </row>
    <row r="311" spans="1:10">
      <c r="A311" s="6" t="s">
        <v>229</v>
      </c>
      <c r="B311" s="606">
        <f>'Data Source'!E518</f>
        <v>-70.599999999999994</v>
      </c>
      <c r="C311" s="606">
        <f>'Data Source'!F518</f>
        <v>-3.6</v>
      </c>
      <c r="D311" s="606">
        <f>'Data Source'!G518</f>
        <v>0</v>
      </c>
      <c r="E311" s="27">
        <f>E236-D236</f>
        <v>0</v>
      </c>
      <c r="F311" s="27">
        <f>F236-E236</f>
        <v>0</v>
      </c>
      <c r="G311" s="27">
        <f>G236-F236</f>
        <v>0</v>
      </c>
      <c r="H311" s="27">
        <f>H236-G236</f>
        <v>0</v>
      </c>
      <c r="I311" s="27">
        <f>I236-H236</f>
        <v>0</v>
      </c>
      <c r="J311" s="27"/>
    </row>
    <row r="312" spans="1:10">
      <c r="A312" s="6" t="s">
        <v>230</v>
      </c>
      <c r="B312" s="606">
        <f>'Data Source'!E519</f>
        <v>111.7</v>
      </c>
      <c r="C312" s="606">
        <f>'Data Source'!F519</f>
        <v>142.9</v>
      </c>
      <c r="D312" s="606">
        <f>'Data Source'!G519</f>
        <v>35.6</v>
      </c>
      <c r="E312" s="27">
        <f>AVERAGE(B312:D312)</f>
        <v>96.733333333333348</v>
      </c>
      <c r="F312" s="27">
        <f>E312</f>
        <v>96.733333333333348</v>
      </c>
      <c r="G312" s="27">
        <f>F312</f>
        <v>96.733333333333348</v>
      </c>
      <c r="H312" s="27">
        <f>G312</f>
        <v>96.733333333333348</v>
      </c>
      <c r="I312" s="27">
        <f>H312</f>
        <v>96.733333333333348</v>
      </c>
      <c r="J312" s="27"/>
    </row>
    <row r="313" spans="1:10">
      <c r="A313" s="6" t="s">
        <v>231</v>
      </c>
      <c r="B313" s="606">
        <f>'Data Source'!E520</f>
        <v>-266.5</v>
      </c>
      <c r="C313" s="606">
        <f>'Data Source'!F520</f>
        <v>-277</v>
      </c>
      <c r="D313" s="606">
        <f>'Data Source'!G520</f>
        <v>-287.2</v>
      </c>
      <c r="E313" s="27">
        <f>-E266*'Assumption table'!$K$49</f>
        <v>-295.82855353254098</v>
      </c>
      <c r="F313" s="27">
        <f>-F266*'Assumption table'!$K$49</f>
        <v>-312.07835403734322</v>
      </c>
      <c r="G313" s="27">
        <f>-G266*'Assumption table'!$K$49</f>
        <v>-329.05500382661444</v>
      </c>
      <c r="H313" s="27">
        <f>-H266*'Assumption table'!$K$49</f>
        <v>-346.79198368475267</v>
      </c>
      <c r="I313" s="27">
        <f>-I266*'Assumption table'!$K$49</f>
        <v>-365.32437206062411</v>
      </c>
      <c r="J313" s="27"/>
    </row>
    <row r="314" spans="1:10">
      <c r="A314" s="6" t="s">
        <v>232</v>
      </c>
      <c r="B314" s="606">
        <f>'Data Source'!E521</f>
        <v>-300.10000000000002</v>
      </c>
      <c r="C314" s="606">
        <f>'Data Source'!F521</f>
        <v>0</v>
      </c>
      <c r="D314" s="606">
        <f>'Data Source'!G521</f>
        <v>-900</v>
      </c>
      <c r="E314" s="27">
        <f>AVERAGE(B314:D314)</f>
        <v>-400.0333333333333</v>
      </c>
      <c r="F314" s="27">
        <f>E314</f>
        <v>-400.0333333333333</v>
      </c>
      <c r="G314" s="27">
        <f>F314</f>
        <v>-400.0333333333333</v>
      </c>
      <c r="H314" s="27">
        <f>G314</f>
        <v>-400.0333333333333</v>
      </c>
      <c r="I314" s="27">
        <f>H314</f>
        <v>-400.0333333333333</v>
      </c>
      <c r="J314" s="27"/>
    </row>
    <row r="315" spans="1:10">
      <c r="A315" s="6" t="s">
        <v>233</v>
      </c>
      <c r="B315" s="606">
        <f>'Data Source'!E522</f>
        <v>0</v>
      </c>
      <c r="C315" s="606">
        <f>'Data Source'!F522</f>
        <v>0</v>
      </c>
      <c r="D315" s="606">
        <f>'Data Source'!G522</f>
        <v>-5.9</v>
      </c>
      <c r="E315" s="27">
        <v>0</v>
      </c>
      <c r="F315" s="27">
        <v>0</v>
      </c>
      <c r="G315" s="27">
        <v>0</v>
      </c>
      <c r="H315" s="27">
        <v>0</v>
      </c>
      <c r="I315" s="27">
        <v>0</v>
      </c>
      <c r="J315" s="27"/>
    </row>
    <row r="316" spans="1:10">
      <c r="A316" s="6" t="s">
        <v>210</v>
      </c>
      <c r="B316" s="606">
        <f>'Data Source'!E523</f>
        <v>-0.1</v>
      </c>
      <c r="C316" s="606">
        <f>'Data Source'!F523</f>
        <v>-1.1000000000000001</v>
      </c>
      <c r="D316" s="606">
        <f>'Data Source'!G523</f>
        <v>-4.9000000000000004</v>
      </c>
      <c r="E316" s="27">
        <f>AVERAGE(B316:D316)</f>
        <v>-2.0333333333333337</v>
      </c>
      <c r="F316" s="27">
        <f>E316</f>
        <v>-2.0333333333333337</v>
      </c>
      <c r="G316" s="27">
        <f>F316</f>
        <v>-2.0333333333333337</v>
      </c>
      <c r="H316" s="27">
        <f>G316</f>
        <v>-2.0333333333333337</v>
      </c>
      <c r="I316" s="27">
        <f>H316</f>
        <v>-2.0333333333333337</v>
      </c>
      <c r="J316" s="27"/>
    </row>
    <row r="317" spans="1:10" s="227" customFormat="1">
      <c r="A317" s="616" t="s">
        <v>234</v>
      </c>
      <c r="B317" s="614">
        <f>'Data Source'!E524</f>
        <v>-725.6</v>
      </c>
      <c r="C317" s="614">
        <f>'Data Source'!F524</f>
        <v>-343.4</v>
      </c>
      <c r="D317" s="614">
        <f>'Data Source'!G524</f>
        <v>-1162.4000000000001</v>
      </c>
      <c r="E317" s="615">
        <f>SUM(E309:E316)</f>
        <v>-601.16188686587429</v>
      </c>
      <c r="F317" s="615">
        <f>SUM(F309:F316)</f>
        <v>-617.41168737067642</v>
      </c>
      <c r="G317" s="615">
        <f>SUM(G309:G316)</f>
        <v>-634.3883371599477</v>
      </c>
      <c r="H317" s="615">
        <f>SUM(H309:H316)</f>
        <v>-652.12531701808598</v>
      </c>
      <c r="I317" s="615">
        <f>SUM(I309:I316)</f>
        <v>-670.65770539395737</v>
      </c>
      <c r="J317" s="615"/>
    </row>
    <row r="318" spans="1:10">
      <c r="A318" s="6" t="s">
        <v>864</v>
      </c>
      <c r="B318" s="606">
        <f>'Data Source'!E526</f>
        <v>3.5</v>
      </c>
      <c r="C318" s="606">
        <f>'Data Source'!F526</f>
        <v>-9.9</v>
      </c>
      <c r="D318" s="606">
        <f>'Data Source'!G526</f>
        <v>8.8000000000000007</v>
      </c>
      <c r="E318" s="27">
        <v>0</v>
      </c>
      <c r="F318" s="27">
        <v>0</v>
      </c>
      <c r="G318" s="27">
        <v>0</v>
      </c>
      <c r="H318" s="27">
        <v>0</v>
      </c>
      <c r="I318" s="27">
        <v>0</v>
      </c>
      <c r="J318" s="27"/>
    </row>
    <row r="319" spans="1:10">
      <c r="A319" s="6" t="s">
        <v>237</v>
      </c>
      <c r="B319" s="606">
        <f>'Data Source'!E527</f>
        <v>74.2</v>
      </c>
      <c r="C319" s="606">
        <f>'Data Source'!F527</f>
        <v>619.6</v>
      </c>
      <c r="D319" s="606">
        <f>'Data Source'!G527</f>
        <v>-555.1</v>
      </c>
      <c r="E319" s="27">
        <f>E299+E307+E317+E318</f>
        <v>302.79676472238521</v>
      </c>
      <c r="F319" s="27">
        <f>F299+F307+F317+F318</f>
        <v>564.33175189380995</v>
      </c>
      <c r="G319" s="27">
        <f>G299+G307+G317+G318</f>
        <v>595.99393084878761</v>
      </c>
      <c r="H319" s="27">
        <f>H299+H307+H317+H318</f>
        <v>629.05737783696668</v>
      </c>
      <c r="I319" s="27">
        <f>I299+I307+I317+I318</f>
        <v>663.58571346133192</v>
      </c>
      <c r="J319" s="27"/>
    </row>
    <row r="320" spans="1:10">
      <c r="A320" s="6" t="s">
        <v>238</v>
      </c>
      <c r="B320" s="606">
        <f>'Data Source'!E528</f>
        <v>270.3</v>
      </c>
      <c r="C320" s="606">
        <f>'Data Source'!F528</f>
        <v>344.5</v>
      </c>
      <c r="D320" s="606">
        <f>'Data Source'!G528</f>
        <v>964.1</v>
      </c>
      <c r="E320" s="27">
        <f>D321</f>
        <v>409</v>
      </c>
      <c r="F320" s="27">
        <f>E321</f>
        <v>711.79676472238521</v>
      </c>
      <c r="G320" s="27">
        <f>F321</f>
        <v>1276.1285166161952</v>
      </c>
      <c r="H320" s="27">
        <f>G321</f>
        <v>1872.1224474649828</v>
      </c>
      <c r="I320" s="27">
        <f>H321</f>
        <v>2501.1798253019497</v>
      </c>
      <c r="J320" s="27"/>
    </row>
    <row r="321" spans="1:10" s="40" customFormat="1" ht="17" thickBot="1">
      <c r="A321" s="371" t="s">
        <v>239</v>
      </c>
      <c r="B321" s="618">
        <f>'Data Source'!E529</f>
        <v>344.5</v>
      </c>
      <c r="C321" s="618">
        <f>'Data Source'!F529</f>
        <v>964.1</v>
      </c>
      <c r="D321" s="618">
        <f>'Data Source'!G529</f>
        <v>409</v>
      </c>
      <c r="E321" s="619">
        <f>E320+E319</f>
        <v>711.79676472238521</v>
      </c>
      <c r="F321" s="619">
        <f>F320+F319</f>
        <v>1276.1285166161952</v>
      </c>
      <c r="G321" s="619">
        <f>G320+G319</f>
        <v>1872.1224474649828</v>
      </c>
      <c r="H321" s="619">
        <f>H320+H319</f>
        <v>2501.1798253019497</v>
      </c>
      <c r="I321" s="619">
        <f>I320+I319</f>
        <v>3164.7655387632817</v>
      </c>
      <c r="J321" s="613"/>
    </row>
    <row r="322" spans="1:10" ht="17" thickTop="1">
      <c r="A322" s="27"/>
      <c r="B322" s="27"/>
      <c r="C322" s="27"/>
      <c r="D322" s="27"/>
      <c r="E322" s="27"/>
      <c r="F322" s="27"/>
      <c r="G322" s="27"/>
      <c r="H322" s="27"/>
      <c r="I322" s="27"/>
      <c r="J322" s="27"/>
    </row>
    <row r="324" spans="1:10">
      <c r="A324" s="620" t="s">
        <v>865</v>
      </c>
      <c r="B324" s="621">
        <f t="shared" ref="B324:I324" si="60">B$2</f>
        <v>2023</v>
      </c>
      <c r="C324" s="621">
        <f t="shared" si="60"/>
        <v>2024</v>
      </c>
      <c r="D324" s="621">
        <f t="shared" si="60"/>
        <v>2025</v>
      </c>
      <c r="E324" s="622">
        <f t="shared" si="60"/>
        <v>2026</v>
      </c>
      <c r="F324" s="622">
        <f t="shared" si="60"/>
        <v>2027</v>
      </c>
      <c r="G324" s="622">
        <f t="shared" si="60"/>
        <v>2028</v>
      </c>
      <c r="H324" s="622">
        <f t="shared" si="60"/>
        <v>2029</v>
      </c>
      <c r="I324" s="622">
        <f t="shared" si="60"/>
        <v>2030</v>
      </c>
    </row>
    <row r="325" spans="1:10">
      <c r="A325" s="1" t="s">
        <v>240</v>
      </c>
      <c r="B325" s="18"/>
      <c r="C325" s="18"/>
      <c r="D325" s="18"/>
      <c r="E325" s="18"/>
      <c r="F325" s="18"/>
      <c r="G325" s="18"/>
    </row>
    <row r="326" spans="1:10">
      <c r="A326" s="1" t="s">
        <v>241</v>
      </c>
      <c r="B326" s="623"/>
      <c r="C326" s="623"/>
      <c r="D326" s="623"/>
      <c r="E326" s="18"/>
      <c r="F326" s="18"/>
      <c r="G326" s="18"/>
    </row>
    <row r="327" spans="1:10">
      <c r="A327" s="1" t="s">
        <v>242</v>
      </c>
      <c r="B327" s="586">
        <f>'Data Source'!E432</f>
        <v>344.5</v>
      </c>
      <c r="C327" s="586">
        <f>'Data Source'!F432</f>
        <v>964.1</v>
      </c>
      <c r="D327" s="586">
        <f>'Data Source'!G432</f>
        <v>409</v>
      </c>
      <c r="E327" s="8">
        <f>E321</f>
        <v>711.79676472238521</v>
      </c>
      <c r="F327" s="8">
        <f>F321</f>
        <v>1276.1285166161952</v>
      </c>
      <c r="G327" s="8">
        <f>G321</f>
        <v>1872.1224474649828</v>
      </c>
      <c r="H327" s="8">
        <f>H321</f>
        <v>2501.1798253019497</v>
      </c>
      <c r="I327" s="8">
        <f>I321</f>
        <v>3164.7655387632817</v>
      </c>
    </row>
    <row r="328" spans="1:10">
      <c r="A328" s="1" t="s">
        <v>243</v>
      </c>
      <c r="B328" s="586">
        <f>'Data Source'!E433</f>
        <v>526.9</v>
      </c>
      <c r="C328" s="586">
        <f>'Data Source'!F433</f>
        <v>600.79999999999995</v>
      </c>
      <c r="D328" s="586">
        <f>'Data Source'!G433</f>
        <v>593.4</v>
      </c>
      <c r="E328" s="8">
        <f t="shared" ref="E328:I330" si="61">E229</f>
        <v>510.04487300798098</v>
      </c>
      <c r="F328" s="8">
        <f t="shared" si="61"/>
        <v>533.03276688197457</v>
      </c>
      <c r="G328" s="8">
        <f t="shared" si="61"/>
        <v>557.08882184826359</v>
      </c>
      <c r="H328" s="8">
        <f t="shared" si="61"/>
        <v>582.26448053393949</v>
      </c>
      <c r="I328" s="8">
        <f t="shared" si="61"/>
        <v>608.61376199219228</v>
      </c>
    </row>
    <row r="329" spans="1:10">
      <c r="A329" s="1" t="s">
        <v>102</v>
      </c>
      <c r="B329" s="586">
        <f>'Data Source'!E434</f>
        <v>613.29999999999995</v>
      </c>
      <c r="C329" s="586">
        <f>'Data Source'!F434</f>
        <v>613.29999999999995</v>
      </c>
      <c r="D329" s="586">
        <f>'Data Source'!G434</f>
        <v>534.79999999999995</v>
      </c>
      <c r="E329" s="8">
        <f t="shared" si="61"/>
        <v>631.77850097892224</v>
      </c>
      <c r="F329" s="8">
        <f t="shared" si="61"/>
        <v>660.25297038535609</v>
      </c>
      <c r="G329" s="8">
        <f t="shared" si="61"/>
        <v>690.05054144305166</v>
      </c>
      <c r="H329" s="8">
        <f t="shared" si="61"/>
        <v>721.23493471376776</v>
      </c>
      <c r="I329" s="8">
        <f t="shared" si="61"/>
        <v>753.87306210713177</v>
      </c>
    </row>
    <row r="330" spans="1:10">
      <c r="A330" s="1" t="s">
        <v>214</v>
      </c>
      <c r="B330" s="586">
        <f>'Data Source'!E435</f>
        <v>45</v>
      </c>
      <c r="C330" s="586">
        <f>'Data Source'!F435</f>
        <v>62.4</v>
      </c>
      <c r="D330" s="586">
        <f>'Data Source'!G435</f>
        <v>59.8</v>
      </c>
      <c r="E330" s="8">
        <f t="shared" si="61"/>
        <v>54.544980556477064</v>
      </c>
      <c r="F330" s="8">
        <f t="shared" si="61"/>
        <v>57.003341165018497</v>
      </c>
      <c r="G330" s="8">
        <f t="shared" si="61"/>
        <v>59.575932558131562</v>
      </c>
      <c r="H330" s="8">
        <f t="shared" si="61"/>
        <v>62.268256089212741</v>
      </c>
      <c r="I330" s="8">
        <f t="shared" si="61"/>
        <v>65.086088638614825</v>
      </c>
    </row>
    <row r="331" spans="1:10">
      <c r="A331" s="1" t="s">
        <v>244</v>
      </c>
      <c r="B331" s="586">
        <f>'Data Source'!E436</f>
        <v>1529.7</v>
      </c>
      <c r="C331" s="586">
        <f>'Data Source'!F436</f>
        <v>2240.6</v>
      </c>
      <c r="D331" s="586">
        <f>'Data Source'!G436</f>
        <v>1597</v>
      </c>
      <c r="E331" s="8">
        <f>SUM(E327:E330)</f>
        <v>1908.1651192657653</v>
      </c>
      <c r="F331" s="8">
        <f>SUM(F327:F330)</f>
        <v>2526.4175950485442</v>
      </c>
      <c r="G331" s="8">
        <f t="shared" ref="G331:I331" si="62">SUM(G327:G330)</f>
        <v>3178.8377433144296</v>
      </c>
      <c r="H331" s="8">
        <f t="shared" si="62"/>
        <v>3866.9474966388698</v>
      </c>
      <c r="I331" s="8">
        <f t="shared" si="62"/>
        <v>4592.3384515012203</v>
      </c>
    </row>
    <row r="332" spans="1:10">
      <c r="A332" s="1" t="s">
        <v>245</v>
      </c>
      <c r="B332" s="586">
        <f>'Data Source'!E438</f>
        <v>927.7</v>
      </c>
      <c r="C332" s="586">
        <f>'Data Source'!F438</f>
        <v>931.7</v>
      </c>
      <c r="D332" s="586">
        <f>'Data Source'!G438</f>
        <v>822.8</v>
      </c>
      <c r="E332" s="8">
        <f>E120-E121</f>
        <v>844.53621560190038</v>
      </c>
      <c r="F332" s="8">
        <f>F120-F121</f>
        <v>822.46978718997502</v>
      </c>
      <c r="G332" s="8">
        <f>G120-G121</f>
        <v>799.51695008677302</v>
      </c>
      <c r="H332" s="8">
        <f>H120-H121</f>
        <v>775.64261278145182</v>
      </c>
      <c r="I332" s="8">
        <f>I120-I121</f>
        <v>750.8103271945929</v>
      </c>
    </row>
    <row r="333" spans="1:10">
      <c r="A333" s="1" t="s">
        <v>246</v>
      </c>
      <c r="B333" s="586">
        <f>'Data Source'!E439</f>
        <v>12</v>
      </c>
      <c r="C333" s="586">
        <f>'Data Source'!F439</f>
        <v>11.1</v>
      </c>
      <c r="D333" s="586">
        <f>'Data Source'!G439</f>
        <v>10.3</v>
      </c>
      <c r="E333" s="8">
        <f>D333+E260-E284</f>
        <v>9.9260162318401122</v>
      </c>
      <c r="F333" s="8">
        <f>E333+F260-F284</f>
        <v>10.1130731355405</v>
      </c>
      <c r="G333" s="8">
        <f>F333+G260-G284</f>
        <v>10.89852723010382</v>
      </c>
      <c r="H333" s="8">
        <f>G333+H260-H284</f>
        <v>12.322222393439109</v>
      </c>
      <c r="I333" s="8">
        <f>H333+I260-I284</f>
        <v>14.426655481495871</v>
      </c>
    </row>
    <row r="334" spans="1:10">
      <c r="A334" s="1" t="s">
        <v>247</v>
      </c>
      <c r="B334" s="586">
        <f>'Data Source'!E440</f>
        <v>3302.3</v>
      </c>
      <c r="C334" s="586">
        <f>'Data Source'!F440</f>
        <v>2888.5</v>
      </c>
      <c r="D334" s="586">
        <f>'Data Source'!G440</f>
        <v>3511.5</v>
      </c>
      <c r="E334" s="8">
        <f>D334-E212</f>
        <v>3345.37</v>
      </c>
      <c r="F334" s="8">
        <f>E334-F212</f>
        <v>3179.24</v>
      </c>
      <c r="G334" s="8">
        <f>F334-G212</f>
        <v>3013.1099999999997</v>
      </c>
      <c r="H334" s="8">
        <f>G334-H212</f>
        <v>2846.9799999999996</v>
      </c>
      <c r="I334" s="8">
        <f>H334-I212</f>
        <v>2680.8499999999995</v>
      </c>
    </row>
    <row r="335" spans="1:10">
      <c r="A335" s="1" t="s">
        <v>248</v>
      </c>
      <c r="B335" s="586">
        <f>'Data Source'!E441</f>
        <v>2431.5</v>
      </c>
      <c r="C335" s="586">
        <f>'Data Source'!F441</f>
        <v>2433.1999999999998</v>
      </c>
      <c r="D335" s="586">
        <f>'Data Source'!G441</f>
        <v>2627.5</v>
      </c>
      <c r="E335" s="8">
        <f>D335</f>
        <v>2627.5</v>
      </c>
      <c r="F335" s="8">
        <f>E335</f>
        <v>2627.5</v>
      </c>
      <c r="G335" s="8">
        <f t="shared" ref="G335:I335" si="63">F335</f>
        <v>2627.5</v>
      </c>
      <c r="H335" s="8">
        <f t="shared" si="63"/>
        <v>2627.5</v>
      </c>
      <c r="I335" s="8">
        <f t="shared" si="63"/>
        <v>2627.5</v>
      </c>
    </row>
    <row r="336" spans="1:10">
      <c r="A336" s="1" t="s">
        <v>249</v>
      </c>
      <c r="B336" s="586">
        <f>'Data Source'!E442</f>
        <v>366</v>
      </c>
      <c r="C336" s="586">
        <f>'Data Source'!F442</f>
        <v>378</v>
      </c>
      <c r="D336" s="586">
        <f>'Data Source'!G442</f>
        <v>343.3</v>
      </c>
      <c r="E336" s="8">
        <f>D336-E286</f>
        <v>333.2</v>
      </c>
      <c r="F336" s="8">
        <f>E336-F286</f>
        <v>323.09999999999997</v>
      </c>
      <c r="G336" s="8">
        <f>F336-G286</f>
        <v>312.99999999999994</v>
      </c>
      <c r="H336" s="8">
        <f>G336-H286</f>
        <v>302.89999999999992</v>
      </c>
      <c r="I336" s="8">
        <f>H336-I286</f>
        <v>292.7999999999999</v>
      </c>
    </row>
    <row r="337" spans="1:9" s="40" customFormat="1" ht="17" thickBot="1">
      <c r="A337" s="106" t="s">
        <v>250</v>
      </c>
      <c r="B337" s="618">
        <f>'Data Source'!E443</f>
        <v>8569.2000000000007</v>
      </c>
      <c r="C337" s="618">
        <f>'Data Source'!F443</f>
        <v>8883.1</v>
      </c>
      <c r="D337" s="618">
        <f>'Data Source'!G443</f>
        <v>8912.4</v>
      </c>
      <c r="E337" s="619">
        <f>SUM(E331,E332:E336)</f>
        <v>9068.6973510995067</v>
      </c>
      <c r="F337" s="619">
        <f>SUM(F331,F332:F336)</f>
        <v>9488.8404553740602</v>
      </c>
      <c r="G337" s="619">
        <f>SUM(G331,G332:G336)</f>
        <v>9942.8632206313068</v>
      </c>
      <c r="H337" s="619">
        <f>SUM(H331,H332:H336)</f>
        <v>10432.29233181376</v>
      </c>
      <c r="I337" s="619">
        <f>SUM(I331,I332:I336)</f>
        <v>10958.725434177308</v>
      </c>
    </row>
    <row r="338" spans="1:9" ht="17" thickTop="1">
      <c r="A338" s="3"/>
      <c r="B338" s="623"/>
      <c r="C338" s="623"/>
      <c r="D338" s="623"/>
      <c r="E338" s="18"/>
      <c r="F338" s="18"/>
      <c r="G338" s="18"/>
    </row>
    <row r="339" spans="1:9">
      <c r="A339" s="1" t="s">
        <v>251</v>
      </c>
      <c r="B339" s="623"/>
      <c r="C339" s="623"/>
      <c r="D339" s="623"/>
      <c r="E339" s="18"/>
      <c r="F339" s="18"/>
      <c r="G339" s="18"/>
    </row>
    <row r="340" spans="1:9">
      <c r="A340" s="1" t="s">
        <v>189</v>
      </c>
      <c r="B340" s="623"/>
      <c r="C340" s="623"/>
      <c r="D340" s="623"/>
      <c r="E340" s="18"/>
      <c r="F340" s="18"/>
      <c r="G340" s="18"/>
    </row>
    <row r="341" spans="1:9">
      <c r="A341" s="1" t="s">
        <v>107</v>
      </c>
      <c r="B341" s="586">
        <f>'Data Source'!E447</f>
        <v>3.9</v>
      </c>
      <c r="C341" s="586">
        <f>'Data Source'!F447</f>
        <v>0</v>
      </c>
      <c r="D341" s="586">
        <f>'Data Source'!G447</f>
        <v>0</v>
      </c>
      <c r="E341" s="18">
        <f>E236</f>
        <v>0</v>
      </c>
      <c r="F341" s="18">
        <f>F236</f>
        <v>0</v>
      </c>
      <c r="G341" s="18">
        <f>G236</f>
        <v>0</v>
      </c>
      <c r="H341" s="18">
        <f>H236</f>
        <v>0</v>
      </c>
      <c r="I341" s="18">
        <f>I236</f>
        <v>0</v>
      </c>
    </row>
    <row r="342" spans="1:9">
      <c r="A342" s="1" t="s">
        <v>252</v>
      </c>
      <c r="B342" s="586">
        <f>'Data Source'!E448</f>
        <v>199.9</v>
      </c>
      <c r="C342" s="586">
        <f>'Data Source'!F448</f>
        <v>0</v>
      </c>
      <c r="D342" s="586">
        <f>'Data Source'!G448</f>
        <v>0</v>
      </c>
      <c r="E342" s="18">
        <f>E235</f>
        <v>455.7</v>
      </c>
      <c r="F342" s="18">
        <f>F235</f>
        <v>26.6</v>
      </c>
      <c r="G342" s="18">
        <f>G235</f>
        <v>26</v>
      </c>
      <c r="H342" s="18">
        <f>H235</f>
        <v>25.9</v>
      </c>
      <c r="I342" s="18">
        <f>I235</f>
        <v>25.9</v>
      </c>
    </row>
    <row r="343" spans="1:9">
      <c r="A343" s="1" t="s">
        <v>104</v>
      </c>
      <c r="B343" s="586">
        <f>'Data Source'!E449</f>
        <v>630.6</v>
      </c>
      <c r="C343" s="586">
        <f>'Data Source'!F449</f>
        <v>705.1</v>
      </c>
      <c r="D343" s="586">
        <f>'Data Source'!G449</f>
        <v>732.4</v>
      </c>
      <c r="E343" s="8">
        <f t="shared" ref="E343:I344" si="64">E233</f>
        <v>582.29022745938448</v>
      </c>
      <c r="F343" s="8">
        <f t="shared" si="64"/>
        <v>608.53424374320355</v>
      </c>
      <c r="G343" s="8">
        <f t="shared" si="64"/>
        <v>635.99772089862768</v>
      </c>
      <c r="H343" s="8">
        <f t="shared" si="64"/>
        <v>664.73938814854569</v>
      </c>
      <c r="I343" s="8">
        <f t="shared" si="64"/>
        <v>694.82091608006408</v>
      </c>
    </row>
    <row r="344" spans="1:9">
      <c r="A344" s="1" t="s">
        <v>253</v>
      </c>
      <c r="B344" s="586">
        <f>'Data Source'!E450</f>
        <v>580.4</v>
      </c>
      <c r="C344" s="586">
        <f>'Data Source'!F450</f>
        <v>605.5</v>
      </c>
      <c r="D344" s="586">
        <f>'Data Source'!G450</f>
        <v>583</v>
      </c>
      <c r="E344" s="8">
        <f t="shared" si="64"/>
        <v>737.42778236848642</v>
      </c>
      <c r="F344" s="8">
        <f t="shared" si="64"/>
        <v>770.66390040031297</v>
      </c>
      <c r="G344" s="8">
        <f t="shared" si="64"/>
        <v>805.44437601161735</v>
      </c>
      <c r="H344" s="8">
        <f t="shared" si="64"/>
        <v>841.84358544735937</v>
      </c>
      <c r="I344" s="8">
        <f t="shared" si="64"/>
        <v>879.93962997412859</v>
      </c>
    </row>
    <row r="345" spans="1:9">
      <c r="A345" s="1" t="s">
        <v>254</v>
      </c>
      <c r="B345" s="586">
        <f>'Data Source'!E451</f>
        <v>0</v>
      </c>
      <c r="C345" s="586">
        <f>'Data Source'!F451</f>
        <v>0</v>
      </c>
      <c r="D345" s="586">
        <f>'Data Source'!G451</f>
        <v>178.9</v>
      </c>
      <c r="E345" s="8">
        <f>E237</f>
        <v>0</v>
      </c>
      <c r="F345" s="8">
        <f>F237</f>
        <v>0</v>
      </c>
      <c r="G345" s="8">
        <f>G237</f>
        <v>0</v>
      </c>
      <c r="H345" s="8">
        <f>H237</f>
        <v>0</v>
      </c>
      <c r="I345" s="8">
        <f>I237</f>
        <v>0</v>
      </c>
    </row>
    <row r="346" spans="1:9">
      <c r="A346" s="1" t="s">
        <v>216</v>
      </c>
      <c r="B346" s="586">
        <f>'Data Source'!E452</f>
        <v>7.2</v>
      </c>
      <c r="C346" s="586">
        <f>'Data Source'!F452</f>
        <v>5.3</v>
      </c>
      <c r="D346" s="586">
        <f>'Data Source'!G452</f>
        <v>3.4</v>
      </c>
      <c r="E346" s="8">
        <f>D346+E296</f>
        <v>3.4</v>
      </c>
      <c r="F346" s="8">
        <f>E346+F296</f>
        <v>3.4</v>
      </c>
      <c r="G346" s="8">
        <f>F346+G296</f>
        <v>3.4</v>
      </c>
      <c r="H346" s="8">
        <f>G346+H296</f>
        <v>3.4</v>
      </c>
      <c r="I346" s="8">
        <f>H346+I296</f>
        <v>3.4</v>
      </c>
    </row>
    <row r="347" spans="1:9">
      <c r="A347" s="1" t="s">
        <v>255</v>
      </c>
      <c r="B347" s="586">
        <f>'Data Source'!E453</f>
        <v>1422</v>
      </c>
      <c r="C347" s="586">
        <f>'Data Source'!F453</f>
        <v>1315.9</v>
      </c>
      <c r="D347" s="586">
        <f>'Data Source'!G453</f>
        <v>1497.7</v>
      </c>
      <c r="E347" s="8">
        <f>SUM(E341:E346)</f>
        <v>1778.8180098278708</v>
      </c>
      <c r="F347" s="8">
        <f>SUM(F341:F346)</f>
        <v>1409.1981441435166</v>
      </c>
      <c r="G347" s="8">
        <f t="shared" ref="G347:I347" si="65">SUM(G341:G346)</f>
        <v>1470.8420969102451</v>
      </c>
      <c r="H347" s="8">
        <f t="shared" si="65"/>
        <v>1535.8829735959052</v>
      </c>
      <c r="I347" s="8">
        <f t="shared" si="65"/>
        <v>1604.0605460541929</v>
      </c>
    </row>
    <row r="348" spans="1:9">
      <c r="A348" s="3" t="s">
        <v>256</v>
      </c>
      <c r="B348" s="586">
        <f>'Data Source'!E454</f>
        <v>0</v>
      </c>
      <c r="C348" s="586">
        <f>'Data Source'!F454</f>
        <v>0</v>
      </c>
      <c r="D348" s="586">
        <f>'Data Source'!G454</f>
        <v>0</v>
      </c>
      <c r="E348" s="18">
        <v>0</v>
      </c>
      <c r="F348" s="18">
        <v>0</v>
      </c>
      <c r="G348" s="18">
        <v>0</v>
      </c>
      <c r="H348" s="18">
        <v>0</v>
      </c>
      <c r="I348" s="18">
        <v>0</v>
      </c>
    </row>
    <row r="349" spans="1:9">
      <c r="A349" s="1" t="s">
        <v>257</v>
      </c>
      <c r="B349" s="586">
        <f>'Data Source'!E455</f>
        <v>2202.1999999999998</v>
      </c>
      <c r="C349" s="586">
        <f>'Data Source'!F455</f>
        <v>2204.6</v>
      </c>
      <c r="D349" s="586">
        <f>'Data Source'!G455</f>
        <v>2205.1</v>
      </c>
      <c r="E349" s="8">
        <f>E222-E235</f>
        <v>1749.3999999999999</v>
      </c>
      <c r="F349" s="8">
        <f>F222-F235</f>
        <v>2178.5</v>
      </c>
      <c r="G349" s="8">
        <f>G222-G235</f>
        <v>2179.1</v>
      </c>
      <c r="H349" s="8">
        <f>H222-H235</f>
        <v>2179.1999999999998</v>
      </c>
      <c r="I349" s="8">
        <f>I222-I235</f>
        <v>2179.1999999999998</v>
      </c>
    </row>
    <row r="350" spans="1:9">
      <c r="A350" s="1" t="s">
        <v>258</v>
      </c>
      <c r="B350" s="586">
        <f>'Data Source'!E456</f>
        <v>743.1</v>
      </c>
      <c r="C350" s="586">
        <f>'Data Source'!F456</f>
        <v>669.2</v>
      </c>
      <c r="D350" s="586">
        <f>'Data Source'!G456</f>
        <v>886.9</v>
      </c>
      <c r="E350" s="8">
        <f>D350+E279</f>
        <v>922.9</v>
      </c>
      <c r="F350" s="8">
        <f>E350+F279</f>
        <v>958.9</v>
      </c>
      <c r="G350" s="8">
        <f>F350+G279</f>
        <v>994.9</v>
      </c>
      <c r="H350" s="8">
        <f>G350+H279</f>
        <v>1030.9000000000001</v>
      </c>
      <c r="I350" s="8">
        <f>H350+I279</f>
        <v>1066.9000000000001</v>
      </c>
    </row>
    <row r="351" spans="1:9">
      <c r="A351" s="1" t="s">
        <v>259</v>
      </c>
      <c r="B351" s="586">
        <f>'Data Source'!E457</f>
        <v>346.5</v>
      </c>
      <c r="C351" s="586">
        <f>'Data Source'!F457</f>
        <v>332.6</v>
      </c>
      <c r="D351" s="586">
        <f>'Data Source'!G457</f>
        <v>320.5</v>
      </c>
      <c r="E351" s="8">
        <f>D351+E316</f>
        <v>318.46666666666664</v>
      </c>
      <c r="F351" s="8">
        <f>E351+F316</f>
        <v>316.43333333333328</v>
      </c>
      <c r="G351" s="8">
        <f>F351+G316</f>
        <v>314.39999999999992</v>
      </c>
      <c r="H351" s="8">
        <f>G351+H316</f>
        <v>312.36666666666656</v>
      </c>
      <c r="I351" s="8">
        <f>H351+I316</f>
        <v>310.3333333333332</v>
      </c>
    </row>
    <row r="352" spans="1:9">
      <c r="A352" s="1" t="s">
        <v>260</v>
      </c>
      <c r="B352" s="610">
        <f>'Data Source'!E458</f>
        <v>4713.8</v>
      </c>
      <c r="C352" s="610">
        <f>'Data Source'!F458</f>
        <v>4522.3</v>
      </c>
      <c r="D352" s="610">
        <f>'Data Source'!G458</f>
        <v>4910.2</v>
      </c>
      <c r="E352" s="611">
        <f>E347+E348+E349+E350+E351</f>
        <v>4769.5846764945363</v>
      </c>
      <c r="F352" s="611">
        <f>F347+F348+F349+F350+F351</f>
        <v>4863.0314774768494</v>
      </c>
      <c r="G352" s="611">
        <f>G347+G348+G349+G350+G351</f>
        <v>4959.2420969102441</v>
      </c>
      <c r="H352" s="611">
        <f>H347+H348+H349+H350+H351</f>
        <v>5058.3496402625715</v>
      </c>
      <c r="I352" s="611">
        <f>I347+I348+I349+I350+I351</f>
        <v>5160.4938793875253</v>
      </c>
    </row>
    <row r="353" spans="1:9">
      <c r="A353" s="3"/>
      <c r="B353" s="623"/>
      <c r="C353" s="623"/>
      <c r="D353" s="623"/>
      <c r="E353" s="18"/>
      <c r="F353" s="18"/>
      <c r="G353" s="18"/>
    </row>
    <row r="354" spans="1:9" ht="17" thickBot="1">
      <c r="A354" s="1" t="s">
        <v>866</v>
      </c>
      <c r="B354" s="586">
        <f>'Data Source'!E466</f>
        <v>293.7</v>
      </c>
      <c r="C354" s="586">
        <f>'Data Source'!F466</f>
        <v>293.7</v>
      </c>
      <c r="D354" s="586">
        <f>'Data Source'!G466</f>
        <v>293.7</v>
      </c>
      <c r="E354" s="8">
        <f>D354</f>
        <v>293.7</v>
      </c>
      <c r="F354" s="617">
        <f>E354</f>
        <v>293.7</v>
      </c>
      <c r="G354" s="8">
        <f t="shared" ref="G354:I354" si="66">F354</f>
        <v>293.7</v>
      </c>
      <c r="H354" s="8">
        <f t="shared" si="66"/>
        <v>293.7</v>
      </c>
      <c r="I354" s="8">
        <f t="shared" si="66"/>
        <v>293.7</v>
      </c>
    </row>
    <row r="355" spans="1:9" ht="17" thickTop="1">
      <c r="A355" s="1" t="s">
        <v>268</v>
      </c>
      <c r="B355" s="586">
        <f>'Data Source'!E467</f>
        <v>454.8</v>
      </c>
      <c r="C355" s="586">
        <f>'Data Source'!F467</f>
        <v>563.1</v>
      </c>
      <c r="D355" s="586">
        <f>'Data Source'!G467</f>
        <v>625.1</v>
      </c>
      <c r="E355" s="8">
        <f>D355+E312+E285</f>
        <v>779.83333333333337</v>
      </c>
      <c r="F355" s="8">
        <f>E355+F312+F285</f>
        <v>934.56666666666672</v>
      </c>
      <c r="G355" s="8">
        <f>F355+G312+G285</f>
        <v>1089.3000000000002</v>
      </c>
      <c r="H355" s="8">
        <f>G355+H312+H285</f>
        <v>1244.0333333333335</v>
      </c>
      <c r="I355" s="8">
        <f>H355+I312+I285</f>
        <v>1398.7666666666669</v>
      </c>
    </row>
    <row r="356" spans="1:9">
      <c r="A356" s="1" t="s">
        <v>269</v>
      </c>
      <c r="B356" s="586">
        <f>'Data Source'!E468</f>
        <v>6012.3</v>
      </c>
      <c r="C356" s="586">
        <f>'Data Source'!F468</f>
        <v>6319.7</v>
      </c>
      <c r="D356" s="586">
        <f>'Data Source'!G468</f>
        <v>6768.2</v>
      </c>
      <c r="E356" s="8">
        <f>D356+E266+E313</f>
        <v>7310.4126746049687</v>
      </c>
      <c r="F356" s="8">
        <f>E356+F266+F313</f>
        <v>7882.4089778972102</v>
      </c>
      <c r="G356" s="8">
        <f>F356+G266+G313</f>
        <v>8485.5211237210624</v>
      </c>
      <c r="H356" s="8">
        <f>G356+H266+H313</f>
        <v>9121.1426915511893</v>
      </c>
      <c r="I356" s="8">
        <f>H356+I266+I313</f>
        <v>9790.7315547897833</v>
      </c>
    </row>
    <row r="357" spans="1:9">
      <c r="A357" s="1" t="s">
        <v>270</v>
      </c>
      <c r="B357" s="586">
        <f>'Data Source'!E469</f>
        <v>-27.2</v>
      </c>
      <c r="C357" s="586">
        <f>'Data Source'!F469</f>
        <v>-30.9</v>
      </c>
      <c r="D357" s="586">
        <f>'Data Source'!G469</f>
        <v>-19.899999999999999</v>
      </c>
      <c r="E357" s="8">
        <f>D357</f>
        <v>-19.899999999999999</v>
      </c>
      <c r="F357" s="8">
        <f>E357</f>
        <v>-19.899999999999999</v>
      </c>
      <c r="G357" s="8">
        <f t="shared" ref="G357:I357" si="67">F357</f>
        <v>-19.899999999999999</v>
      </c>
      <c r="H357" s="8">
        <f t="shared" si="67"/>
        <v>-19.899999999999999</v>
      </c>
      <c r="I357" s="8">
        <f t="shared" si="67"/>
        <v>-19.899999999999999</v>
      </c>
    </row>
    <row r="358" spans="1:9">
      <c r="A358" s="1" t="s">
        <v>867</v>
      </c>
      <c r="B358" s="586">
        <f>'Data Source'!E471</f>
        <v>-2878.2</v>
      </c>
      <c r="C358" s="586">
        <f>'Data Source'!F471</f>
        <v>-2784.8</v>
      </c>
      <c r="D358" s="586">
        <f>'Data Source'!G471</f>
        <v>-3664.9</v>
      </c>
      <c r="E358" s="8">
        <f>D358+E314</f>
        <v>-4064.9333333333334</v>
      </c>
      <c r="F358" s="8">
        <f>E358+F314</f>
        <v>-4464.9666666666672</v>
      </c>
      <c r="G358" s="8">
        <f>F358+G314</f>
        <v>-4865</v>
      </c>
      <c r="H358" s="8">
        <f>G358+H314</f>
        <v>-5265.0333333333328</v>
      </c>
      <c r="I358" s="8">
        <f>H358+I314</f>
        <v>-5665.0666666666657</v>
      </c>
    </row>
    <row r="359" spans="1:9">
      <c r="A359" s="1" t="s">
        <v>273</v>
      </c>
      <c r="B359" s="610">
        <f>'Data Source'!E472</f>
        <v>3855.4</v>
      </c>
      <c r="C359" s="610">
        <f>'Data Source'!F472</f>
        <v>4360.8</v>
      </c>
      <c r="D359" s="610">
        <f>'Data Source'!G472</f>
        <v>4002.2</v>
      </c>
      <c r="E359" s="611">
        <f>SUM(E354:E358)</f>
        <v>4299.1126746049695</v>
      </c>
      <c r="F359" s="611">
        <f>SUM(F354:F358)</f>
        <v>4625.8089778972098</v>
      </c>
      <c r="G359" s="611">
        <f>SUM(G354:G358)</f>
        <v>4983.6211237210628</v>
      </c>
      <c r="H359" s="611">
        <f>SUM(H354:H358)</f>
        <v>5373.9426915511904</v>
      </c>
      <c r="I359" s="611">
        <f>SUM(I354:I358)</f>
        <v>5798.2315547897852</v>
      </c>
    </row>
    <row r="360" spans="1:9" s="40" customFormat="1" ht="17" thickBot="1">
      <c r="A360" s="106" t="s">
        <v>274</v>
      </c>
      <c r="B360" s="618">
        <f>'Data Source'!E473</f>
        <v>8569.2000000000007</v>
      </c>
      <c r="C360" s="618">
        <f>'Data Source'!F473</f>
        <v>8883.1</v>
      </c>
      <c r="D360" s="618">
        <f>'Data Source'!G473</f>
        <v>8912.4</v>
      </c>
      <c r="E360" s="619">
        <f>E352+E359</f>
        <v>9068.6973510995049</v>
      </c>
      <c r="F360" s="619">
        <f>F352+F359</f>
        <v>9488.8404553740584</v>
      </c>
      <c r="G360" s="619">
        <f>G352+G359</f>
        <v>9942.8632206313068</v>
      </c>
      <c r="H360" s="619">
        <f>H352+H359</f>
        <v>10432.292331813762</v>
      </c>
      <c r="I360" s="619">
        <f>I352+I359</f>
        <v>10958.725434177311</v>
      </c>
    </row>
    <row r="361" spans="1:9" ht="17" thickTop="1">
      <c r="A361" s="625" t="s">
        <v>131</v>
      </c>
      <c r="B361" s="603"/>
      <c r="C361" s="603"/>
      <c r="D361" s="603"/>
      <c r="E361" s="624">
        <f>E337-E360</f>
        <v>0</v>
      </c>
      <c r="F361" s="624">
        <f>F337-F360</f>
        <v>0</v>
      </c>
      <c r="G361" s="624">
        <f>G337-G360</f>
        <v>0</v>
      </c>
      <c r="H361" s="624">
        <f>H337-H360</f>
        <v>0</v>
      </c>
      <c r="I361" s="624">
        <f>I337-I360</f>
        <v>0</v>
      </c>
    </row>
    <row r="362" spans="1:9">
      <c r="A362" s="1"/>
      <c r="B362" s="603"/>
      <c r="C362" s="603"/>
      <c r="D362" s="603"/>
      <c r="E362" s="87"/>
    </row>
    <row r="363" spans="1:9">
      <c r="A363" s="6"/>
    </row>
    <row r="364" spans="1:9">
      <c r="A364" s="6"/>
    </row>
  </sheetData>
  <mergeCells count="22">
    <mergeCell ref="A126:C126"/>
    <mergeCell ref="A127:B127"/>
    <mergeCell ref="A129:C129"/>
    <mergeCell ref="K151:L151"/>
    <mergeCell ref="K152:L152"/>
    <mergeCell ref="B151:C151"/>
    <mergeCell ref="B152:C152"/>
    <mergeCell ref="B141:C141"/>
    <mergeCell ref="A130:B130"/>
    <mergeCell ref="B140:C140"/>
    <mergeCell ref="B209:C209"/>
    <mergeCell ref="B199:C199"/>
    <mergeCell ref="A219:B219"/>
    <mergeCell ref="B204:C204"/>
    <mergeCell ref="K158:L158"/>
    <mergeCell ref="K159:L159"/>
    <mergeCell ref="A217:B217"/>
    <mergeCell ref="B162:C162"/>
    <mergeCell ref="B163:C163"/>
    <mergeCell ref="B173:C173"/>
    <mergeCell ref="A180:B180"/>
    <mergeCell ref="B174:C174"/>
  </mergeCells>
  <pageMargins left="0.7" right="0.7" top="0.75" bottom="0.75" header="0.3" footer="0.3"/>
  <pageSetup orientation="portrait" horizontalDpi="0" verticalDpi="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FB6F0-B5B0-44F0-9F3D-52BFB36FE599}">
  <dimension ref="A1:L161"/>
  <sheetViews>
    <sheetView showGridLines="0" workbookViewId="0"/>
  </sheetViews>
  <sheetFormatPr baseColWidth="10" defaultColWidth="11" defaultRowHeight="16"/>
  <cols>
    <col min="1" max="1" width="8.6640625" customWidth="1"/>
    <col min="2" max="2" width="18.83203125" customWidth="1"/>
    <col min="3" max="3" width="25" customWidth="1"/>
    <col min="4" max="4" width="20" customWidth="1"/>
    <col min="5" max="5" width="11.6640625" customWidth="1"/>
    <col min="6" max="6" width="3.33203125" customWidth="1"/>
    <col min="7" max="11" width="12.5" customWidth="1"/>
    <col min="13" max="13" width="1.6640625" bestFit="1" customWidth="1"/>
  </cols>
  <sheetData>
    <row r="1" spans="1:11">
      <c r="B1" s="332" t="s">
        <v>0</v>
      </c>
      <c r="C1" s="90"/>
      <c r="D1" s="90"/>
      <c r="E1" s="90"/>
      <c r="F1" s="90"/>
      <c r="G1" s="90"/>
      <c r="H1" s="90"/>
      <c r="I1" s="90"/>
      <c r="J1" s="90"/>
      <c r="K1" s="90"/>
    </row>
    <row r="2" spans="1:11">
      <c r="B2" s="330" t="s">
        <v>275</v>
      </c>
      <c r="C2" s="90"/>
      <c r="D2" s="90"/>
      <c r="E2" s="90"/>
      <c r="F2" s="90"/>
      <c r="G2" s="90"/>
      <c r="H2" s="90"/>
      <c r="I2" s="90"/>
      <c r="J2" s="90"/>
      <c r="K2" s="90"/>
    </row>
    <row r="3" spans="1:11">
      <c r="A3" s="330" t="s">
        <v>276</v>
      </c>
      <c r="B3" s="333">
        <v>1</v>
      </c>
      <c r="C3" s="90"/>
      <c r="D3" s="90"/>
      <c r="E3" s="90"/>
      <c r="F3" s="90"/>
      <c r="G3" s="90"/>
      <c r="H3" s="90"/>
      <c r="I3" s="90"/>
      <c r="J3" s="90"/>
      <c r="K3" s="90"/>
    </row>
    <row r="4" spans="1:11">
      <c r="B4" s="90"/>
      <c r="C4" s="90"/>
      <c r="D4" s="90"/>
      <c r="E4" s="90"/>
      <c r="F4" s="90"/>
      <c r="G4" s="90"/>
      <c r="H4" s="90"/>
      <c r="I4" s="90"/>
      <c r="J4" s="90"/>
      <c r="K4" s="90"/>
    </row>
    <row r="5" spans="1:11">
      <c r="B5" s="90"/>
      <c r="C5" s="90"/>
      <c r="D5" s="90"/>
      <c r="E5" s="90"/>
      <c r="F5" s="90"/>
      <c r="G5" s="90"/>
      <c r="H5" s="90"/>
      <c r="I5" s="90"/>
      <c r="J5" s="90"/>
      <c r="K5" s="90"/>
    </row>
    <row r="6" spans="1:11">
      <c r="B6" s="90"/>
      <c r="C6" s="90"/>
      <c r="D6" s="90"/>
      <c r="E6" s="90"/>
      <c r="F6" s="90"/>
      <c r="G6" s="90"/>
      <c r="H6" s="90"/>
      <c r="I6" s="90"/>
      <c r="J6" s="90"/>
      <c r="K6" s="90"/>
    </row>
    <row r="7" spans="1:11">
      <c r="B7" s="90"/>
      <c r="C7" s="90"/>
      <c r="D7" s="90"/>
      <c r="E7" s="90"/>
      <c r="F7" s="90"/>
      <c r="G7" s="90"/>
      <c r="H7" s="90"/>
      <c r="I7" s="90"/>
      <c r="J7" s="90"/>
      <c r="K7" s="90"/>
    </row>
    <row r="8" spans="1:11">
      <c r="C8" s="90"/>
      <c r="D8" s="90"/>
      <c r="F8" s="90"/>
      <c r="G8" s="334">
        <v>2026</v>
      </c>
      <c r="H8" s="334">
        <v>2027</v>
      </c>
      <c r="I8" s="334">
        <v>2028</v>
      </c>
      <c r="J8" s="334">
        <v>2029</v>
      </c>
      <c r="K8" s="334">
        <v>2030</v>
      </c>
    </row>
    <row r="9" spans="1:11">
      <c r="B9" s="330" t="s">
        <v>45</v>
      </c>
      <c r="C9" s="90"/>
      <c r="D9" s="90"/>
      <c r="E9" s="90"/>
      <c r="F9" s="90"/>
      <c r="G9" s="90"/>
      <c r="H9" s="90"/>
      <c r="I9" s="90"/>
      <c r="J9" s="90"/>
      <c r="K9" s="90"/>
    </row>
    <row r="10" spans="1:11">
      <c r="B10" s="330" t="s">
        <v>277</v>
      </c>
      <c r="C10" s="90"/>
      <c r="D10" s="90"/>
      <c r="E10" s="90"/>
      <c r="F10" s="90"/>
      <c r="G10" s="90"/>
      <c r="H10" s="90"/>
      <c r="I10" s="90"/>
      <c r="J10" s="90"/>
      <c r="K10" s="90"/>
    </row>
    <row r="11" spans="1:11">
      <c r="B11" s="90"/>
      <c r="C11" s="90" t="s">
        <v>112</v>
      </c>
      <c r="D11" s="90"/>
      <c r="E11" s="90"/>
      <c r="F11" s="90"/>
      <c r="G11" s="90"/>
      <c r="H11" s="90"/>
      <c r="I11" s="90"/>
      <c r="J11" s="90"/>
      <c r="K11" s="90"/>
    </row>
    <row r="12" spans="1:11">
      <c r="B12" s="90"/>
      <c r="C12" s="90"/>
      <c r="D12" s="330" t="s">
        <v>278</v>
      </c>
      <c r="E12" s="90"/>
      <c r="F12" s="90"/>
      <c r="G12" s="335">
        <f>CHOOSE($B$3,G14,G15,G16)</f>
        <v>1.0500000000000001E-2</v>
      </c>
      <c r="H12" s="335">
        <f>CHOOSE($B$3,H14,H15,H16)</f>
        <v>0.01</v>
      </c>
      <c r="I12" s="335">
        <f>CHOOSE($B$3,I14,I15,I16)</f>
        <v>0.01</v>
      </c>
      <c r="J12" s="335">
        <f>CHOOSE($B$3,J14,J15,J16)</f>
        <v>0.01</v>
      </c>
      <c r="K12" s="335">
        <f>CHOOSE($B$3,K14,K15,K16)</f>
        <v>0.01</v>
      </c>
    </row>
    <row r="13" spans="1:11">
      <c r="B13" s="90"/>
      <c r="C13" s="90"/>
      <c r="D13" s="90"/>
      <c r="E13" s="90"/>
      <c r="F13" s="90"/>
      <c r="G13" s="331"/>
      <c r="H13" s="331"/>
      <c r="I13" s="331"/>
      <c r="J13" s="331"/>
      <c r="K13" s="331"/>
    </row>
    <row r="14" spans="1:11">
      <c r="B14" s="90"/>
      <c r="C14" s="90"/>
      <c r="D14" s="193" t="s">
        <v>13</v>
      </c>
      <c r="E14" s="90"/>
      <c r="F14" s="90"/>
      <c r="G14" s="336">
        <f>'Assumption table'!E14</f>
        <v>1.0500000000000001E-2</v>
      </c>
      <c r="H14" s="336">
        <f>'Assumption table'!F14</f>
        <v>0.01</v>
      </c>
      <c r="I14" s="336">
        <f>'Assumption table'!F14</f>
        <v>0.01</v>
      </c>
      <c r="J14" s="336">
        <f>'Assumption table'!F14</f>
        <v>0.01</v>
      </c>
      <c r="K14" s="336">
        <f>'Assumption table'!F14</f>
        <v>0.01</v>
      </c>
    </row>
    <row r="15" spans="1:11">
      <c r="B15" s="90"/>
      <c r="C15" s="90"/>
      <c r="D15" s="193" t="s">
        <v>15</v>
      </c>
      <c r="E15" s="90"/>
      <c r="F15" s="90"/>
      <c r="G15" s="337">
        <f>G14+'Assumption table'!$F107</f>
        <v>3.0499999999999999E-2</v>
      </c>
      <c r="H15" s="337">
        <f>H14+'Assumption table'!$F107</f>
        <v>0.03</v>
      </c>
      <c r="I15" s="337">
        <f>I14+'Assumption table'!$F107</f>
        <v>0.03</v>
      </c>
      <c r="J15" s="337">
        <f>J14+'Assumption table'!$F107</f>
        <v>0.03</v>
      </c>
      <c r="K15" s="337">
        <f>K14+'Assumption table'!$F107</f>
        <v>0.03</v>
      </c>
    </row>
    <row r="16" spans="1:11">
      <c r="B16" s="90"/>
      <c r="C16" s="90"/>
      <c r="D16" s="193" t="s">
        <v>17</v>
      </c>
      <c r="E16" s="90"/>
      <c r="F16" s="90"/>
      <c r="G16" s="337">
        <f>G14+'Assumption table'!$F108</f>
        <v>-9.4999999999999998E-3</v>
      </c>
      <c r="H16" s="337">
        <f>H14+'Assumption table'!$F108</f>
        <v>-0.01</v>
      </c>
      <c r="I16" s="337">
        <f>I14+'Assumption table'!$F108</f>
        <v>-0.01</v>
      </c>
      <c r="J16" s="337">
        <f>J14+'Assumption table'!$F108</f>
        <v>-0.01</v>
      </c>
      <c r="K16" s="337">
        <f>K14+'Assumption table'!$F108</f>
        <v>-0.01</v>
      </c>
    </row>
    <row r="17" spans="2:11">
      <c r="B17" s="90"/>
      <c r="C17" s="90"/>
      <c r="D17" s="90"/>
      <c r="E17" s="90"/>
      <c r="F17" s="90"/>
      <c r="G17" s="90"/>
      <c r="H17" s="90"/>
      <c r="I17" s="90"/>
      <c r="J17" s="90"/>
      <c r="K17" s="90"/>
    </row>
    <row r="18" spans="2:11">
      <c r="B18" s="90"/>
      <c r="C18" s="90" t="s">
        <v>115</v>
      </c>
      <c r="D18" s="90"/>
      <c r="E18" s="90"/>
      <c r="F18" s="90"/>
      <c r="G18" s="90"/>
      <c r="H18" s="90"/>
      <c r="I18" s="90"/>
      <c r="J18" s="90"/>
      <c r="K18" s="90"/>
    </row>
    <row r="19" spans="2:11">
      <c r="B19" s="90"/>
      <c r="C19" s="90"/>
      <c r="D19" s="330" t="s">
        <v>278</v>
      </c>
      <c r="E19" s="90"/>
      <c r="F19" s="90"/>
      <c r="G19" s="335">
        <f>CHOOSE($B$3,G21,G22,G23)</f>
        <v>3.1200000000000006E-2</v>
      </c>
      <c r="H19" s="335">
        <f>CHOOSE($B$3,H21,H22,H23)</f>
        <v>3.1200000000000006E-2</v>
      </c>
      <c r="I19" s="335">
        <f>CHOOSE($B$3,I21,I22,I23)</f>
        <v>3.1200000000000006E-2</v>
      </c>
      <c r="J19" s="335">
        <f>CHOOSE($B$3,J21,J22,J23)</f>
        <v>3.1200000000000006E-2</v>
      </c>
      <c r="K19" s="335">
        <f>CHOOSE($B$3,K21,K22,K23)</f>
        <v>3.1200000000000006E-2</v>
      </c>
    </row>
    <row r="20" spans="2:11">
      <c r="B20" s="90"/>
      <c r="C20" s="90"/>
      <c r="D20" s="90"/>
      <c r="E20" s="90"/>
      <c r="F20" s="90"/>
      <c r="G20" s="331"/>
      <c r="H20" s="331"/>
      <c r="I20" s="331"/>
      <c r="J20" s="331"/>
      <c r="K20" s="331"/>
    </row>
    <row r="21" spans="2:11">
      <c r="B21" s="90"/>
      <c r="C21" s="90"/>
      <c r="D21" s="193" t="s">
        <v>13</v>
      </c>
      <c r="E21" s="90"/>
      <c r="F21" s="90"/>
      <c r="G21" s="336">
        <f>'Assumption table'!E19</f>
        <v>3.1200000000000006E-2</v>
      </c>
      <c r="H21" s="336">
        <f>'Assumption table'!F19</f>
        <v>3.1200000000000006E-2</v>
      </c>
      <c r="I21" s="336">
        <f>'Assumption table'!F19</f>
        <v>3.1200000000000006E-2</v>
      </c>
      <c r="J21" s="336">
        <f>'Assumption table'!F19</f>
        <v>3.1200000000000006E-2</v>
      </c>
      <c r="K21" s="336">
        <f>'Assumption table'!F19</f>
        <v>3.1200000000000006E-2</v>
      </c>
    </row>
    <row r="22" spans="2:11">
      <c r="B22" s="90"/>
      <c r="C22" s="90"/>
      <c r="D22" s="193" t="s">
        <v>15</v>
      </c>
      <c r="E22" s="90"/>
      <c r="F22" s="90"/>
      <c r="G22" s="337">
        <f>G21+'Assumption table'!$F110</f>
        <v>4.1200000000000007E-2</v>
      </c>
      <c r="H22" s="337">
        <f>H21+'Assumption table'!$F110</f>
        <v>4.1200000000000007E-2</v>
      </c>
      <c r="I22" s="337">
        <f>I21+'Assumption table'!$F110</f>
        <v>4.1200000000000007E-2</v>
      </c>
      <c r="J22" s="337">
        <f>J21+'Assumption table'!$F110</f>
        <v>4.1200000000000007E-2</v>
      </c>
      <c r="K22" s="337">
        <f>K21+'Assumption table'!$F110</f>
        <v>4.1200000000000007E-2</v>
      </c>
    </row>
    <row r="23" spans="2:11">
      <c r="B23" s="90"/>
      <c r="C23" s="90"/>
      <c r="D23" s="193" t="s">
        <v>17</v>
      </c>
      <c r="E23" s="90"/>
      <c r="F23" s="90"/>
      <c r="G23" s="337">
        <f>G21+'Assumption table'!$F111</f>
        <v>2.6200000000000005E-2</v>
      </c>
      <c r="H23" s="337">
        <f>H21+'Assumption table'!$F111</f>
        <v>2.6200000000000005E-2</v>
      </c>
      <c r="I23" s="337">
        <f>I21+'Assumption table'!$F111</f>
        <v>2.6200000000000005E-2</v>
      </c>
      <c r="J23" s="337">
        <f>J21+'Assumption table'!$F111</f>
        <v>2.6200000000000005E-2</v>
      </c>
      <c r="K23" s="337">
        <f>K21+'Assumption table'!$F111</f>
        <v>2.6200000000000005E-2</v>
      </c>
    </row>
    <row r="24" spans="2:11">
      <c r="B24" s="90"/>
      <c r="C24" s="90"/>
      <c r="D24" s="90"/>
      <c r="E24" s="90"/>
      <c r="F24" s="90"/>
      <c r="G24" s="90"/>
      <c r="H24" s="90"/>
      <c r="I24" s="90"/>
      <c r="J24" s="90"/>
      <c r="K24" s="90"/>
    </row>
    <row r="25" spans="2:11">
      <c r="B25" s="90"/>
      <c r="C25" s="90" t="s">
        <v>57</v>
      </c>
      <c r="D25" s="90"/>
      <c r="E25" s="90"/>
      <c r="F25" s="90"/>
      <c r="G25" s="90"/>
      <c r="H25" s="90"/>
      <c r="I25" s="90"/>
      <c r="J25" s="90"/>
      <c r="K25" s="90"/>
    </row>
    <row r="26" spans="2:11">
      <c r="B26" s="90"/>
      <c r="C26" s="90"/>
      <c r="D26" s="330" t="s">
        <v>278</v>
      </c>
      <c r="E26" s="90"/>
      <c r="F26" s="90"/>
      <c r="G26" s="335">
        <f>CHOOSE($B$3,G28,G29,G30)</f>
        <v>2.5768576694311807E-2</v>
      </c>
      <c r="H26" s="335">
        <f>CHOOSE($B$3,H28,H29,H30)</f>
        <v>0</v>
      </c>
      <c r="I26" s="335">
        <f>CHOOSE($B$3,I28,I29,I30)</f>
        <v>0</v>
      </c>
      <c r="J26" s="335">
        <f>CHOOSE($B$3,J28,J29,J30)</f>
        <v>0</v>
      </c>
      <c r="K26" s="335">
        <f>CHOOSE($B$3,K28,K29,K30)</f>
        <v>0</v>
      </c>
    </row>
    <row r="27" spans="2:11">
      <c r="B27" s="90"/>
      <c r="C27" s="90"/>
      <c r="D27" s="90"/>
      <c r="E27" s="90"/>
      <c r="F27" s="90"/>
      <c r="G27" s="331"/>
      <c r="H27" s="331"/>
      <c r="I27" s="331"/>
      <c r="J27" s="331"/>
      <c r="K27" s="331"/>
    </row>
    <row r="28" spans="2:11">
      <c r="B28" s="90"/>
      <c r="C28" s="90"/>
      <c r="D28" s="193" t="s">
        <v>13</v>
      </c>
      <c r="E28" s="90"/>
      <c r="F28" s="90"/>
      <c r="G28" s="336">
        <f>'Assumption table'!E26</f>
        <v>2.5768576694311807E-2</v>
      </c>
      <c r="H28" s="336">
        <f>'Assumption table'!F26</f>
        <v>0</v>
      </c>
      <c r="I28" s="336">
        <f>'Assumption table'!F26</f>
        <v>0</v>
      </c>
      <c r="J28" s="336">
        <f>'Assumption table'!F26</f>
        <v>0</v>
      </c>
      <c r="K28" s="336">
        <f>'Assumption table'!F26</f>
        <v>0</v>
      </c>
    </row>
    <row r="29" spans="2:11">
      <c r="B29" s="90"/>
      <c r="C29" s="90"/>
      <c r="D29" s="193" t="s">
        <v>15</v>
      </c>
      <c r="E29" s="90"/>
      <c r="F29" s="90"/>
      <c r="G29" s="337">
        <f>G28+'Assumption table'!$F113</f>
        <v>4.5768576694311808E-2</v>
      </c>
      <c r="H29" s="337">
        <f>H28+'Assumption table'!$F113</f>
        <v>0.02</v>
      </c>
      <c r="I29" s="337">
        <f>I28+'Assumption table'!$F113</f>
        <v>0.02</v>
      </c>
      <c r="J29" s="337">
        <f>J28+'Assumption table'!$F113</f>
        <v>0.02</v>
      </c>
      <c r="K29" s="337">
        <f>K28+'Assumption table'!$F113</f>
        <v>0.02</v>
      </c>
    </row>
    <row r="30" spans="2:11">
      <c r="B30" s="90"/>
      <c r="C30" s="90"/>
      <c r="D30" s="193" t="s">
        <v>17</v>
      </c>
      <c r="E30" s="90"/>
      <c r="F30" s="90"/>
      <c r="G30" s="337">
        <f>G28+'Assumption table'!$F114</f>
        <v>2.5768576694311807E-2</v>
      </c>
      <c r="H30" s="337">
        <f>H28+'Assumption table'!$F114</f>
        <v>0</v>
      </c>
      <c r="I30" s="337">
        <f>I28+'Assumption table'!$F114</f>
        <v>0</v>
      </c>
      <c r="J30" s="337">
        <f>J28+'Assumption table'!$F114</f>
        <v>0</v>
      </c>
      <c r="K30" s="337">
        <f>K28+'Assumption table'!$F114</f>
        <v>0</v>
      </c>
    </row>
    <row r="31" spans="2:11">
      <c r="B31" s="90"/>
      <c r="C31" s="90"/>
      <c r="D31" s="90"/>
      <c r="E31" s="90"/>
      <c r="F31" s="90"/>
      <c r="G31" s="90"/>
      <c r="H31" s="90"/>
      <c r="I31" s="90"/>
      <c r="J31" s="90"/>
      <c r="K31" s="90"/>
    </row>
    <row r="32" spans="2:11">
      <c r="B32" s="90"/>
      <c r="C32" s="90" t="s">
        <v>61</v>
      </c>
      <c r="D32" s="90"/>
      <c r="E32" s="90"/>
      <c r="F32" s="90"/>
      <c r="G32" s="90"/>
      <c r="H32" s="90"/>
      <c r="I32" s="90"/>
      <c r="J32" s="90"/>
      <c r="K32" s="90"/>
    </row>
    <row r="33" spans="2:11">
      <c r="B33" s="90"/>
      <c r="C33" s="90"/>
      <c r="D33" s="330" t="s">
        <v>278</v>
      </c>
      <c r="E33" s="90"/>
      <c r="F33" s="90"/>
      <c r="G33" s="335">
        <f>CHOOSE($B$3,G35,G36,G37)</f>
        <v>-6.7000000000000004E-2</v>
      </c>
      <c r="H33" s="335">
        <f>CHOOSE($B$3,H35,H36,H37)</f>
        <v>0</v>
      </c>
      <c r="I33" s="335">
        <f>CHOOSE($B$3,I35,I36,I37)</f>
        <v>0</v>
      </c>
      <c r="J33" s="335">
        <f>CHOOSE($B$3,J35,J36,J37)</f>
        <v>0</v>
      </c>
      <c r="K33" s="335">
        <f>CHOOSE($B$3,K35,K36,K37)</f>
        <v>0</v>
      </c>
    </row>
    <row r="34" spans="2:11">
      <c r="B34" s="90"/>
      <c r="C34" s="90"/>
      <c r="D34" s="90"/>
      <c r="E34" s="90"/>
      <c r="F34" s="90"/>
      <c r="G34" s="331"/>
      <c r="H34" s="331"/>
      <c r="I34" s="331"/>
      <c r="J34" s="331"/>
      <c r="K34" s="331"/>
    </row>
    <row r="35" spans="2:11">
      <c r="B35" s="90"/>
      <c r="C35" s="90"/>
      <c r="D35" s="193" t="s">
        <v>13</v>
      </c>
      <c r="E35" s="90"/>
      <c r="F35" s="90"/>
      <c r="G35" s="336">
        <f>'Assumption table'!E31</f>
        <v>-6.7000000000000004E-2</v>
      </c>
      <c r="H35" s="336">
        <f>'Assumption table'!F31</f>
        <v>0</v>
      </c>
      <c r="I35" s="336">
        <f>'Assumption table'!F31</f>
        <v>0</v>
      </c>
      <c r="J35" s="336">
        <f>'Assumption table'!F31</f>
        <v>0</v>
      </c>
      <c r="K35" s="336">
        <f>'Assumption table'!F31</f>
        <v>0</v>
      </c>
    </row>
    <row r="36" spans="2:11">
      <c r="B36" s="90"/>
      <c r="C36" s="90"/>
      <c r="D36" s="193" t="s">
        <v>15</v>
      </c>
      <c r="E36" s="90"/>
      <c r="F36" s="90"/>
      <c r="G36" s="337">
        <f>G35+'Assumption table'!$F116</f>
        <v>-6.7000000000000004E-2</v>
      </c>
      <c r="H36" s="337">
        <f>H35+'Assumption table'!$F116</f>
        <v>0</v>
      </c>
      <c r="I36" s="337">
        <f>I35+'Assumption table'!$F116</f>
        <v>0</v>
      </c>
      <c r="J36" s="337">
        <f>J35+'Assumption table'!$F116</f>
        <v>0</v>
      </c>
      <c r="K36" s="337">
        <f>K35+'Assumption table'!$F116</f>
        <v>0</v>
      </c>
    </row>
    <row r="37" spans="2:11">
      <c r="B37" s="90"/>
      <c r="C37" s="90"/>
      <c r="D37" s="193" t="s">
        <v>17</v>
      </c>
      <c r="E37" s="90"/>
      <c r="F37" s="90"/>
      <c r="G37" s="337">
        <f>G35+'Assumption table'!$F117</f>
        <v>-6.7000000000000004E-2</v>
      </c>
      <c r="H37" s="337">
        <f>H35+'Assumption table'!$F117</f>
        <v>0</v>
      </c>
      <c r="I37" s="337">
        <f>I35+'Assumption table'!$F117</f>
        <v>0</v>
      </c>
      <c r="J37" s="337">
        <f>J35+'Assumption table'!$F117</f>
        <v>0</v>
      </c>
      <c r="K37" s="337">
        <f>K35+'Assumption table'!$F117</f>
        <v>0</v>
      </c>
    </row>
    <row r="38" spans="2:11">
      <c r="B38" s="90"/>
      <c r="C38" s="90"/>
      <c r="D38" s="90"/>
      <c r="E38" s="90"/>
      <c r="F38" s="90"/>
      <c r="G38" s="90"/>
      <c r="H38" s="90"/>
      <c r="I38" s="90"/>
      <c r="J38" s="90"/>
      <c r="K38" s="90"/>
    </row>
    <row r="39" spans="2:11">
      <c r="B39" s="330" t="s">
        <v>46</v>
      </c>
      <c r="C39" s="90"/>
      <c r="D39" s="90"/>
      <c r="E39" s="90"/>
      <c r="F39" s="90"/>
      <c r="G39" s="90"/>
      <c r="H39" s="90"/>
      <c r="I39" s="90"/>
      <c r="J39" s="90"/>
      <c r="K39" s="90"/>
    </row>
    <row r="40" spans="2:11">
      <c r="B40" s="330" t="s">
        <v>277</v>
      </c>
      <c r="C40" s="90"/>
      <c r="D40" s="90"/>
      <c r="E40" s="90"/>
      <c r="F40" s="90"/>
      <c r="G40" s="90"/>
      <c r="H40" s="90"/>
      <c r="I40" s="90"/>
      <c r="J40" s="90"/>
      <c r="K40" s="90"/>
    </row>
    <row r="41" spans="2:11">
      <c r="B41" s="330"/>
      <c r="C41" s="90" t="s">
        <v>112</v>
      </c>
      <c r="D41" s="90"/>
      <c r="E41" s="90"/>
      <c r="F41" s="90"/>
      <c r="G41" s="90"/>
      <c r="H41" s="90"/>
      <c r="I41" s="90"/>
      <c r="J41" s="90"/>
      <c r="K41" s="90"/>
    </row>
    <row r="42" spans="2:11">
      <c r="B42" s="330"/>
      <c r="C42" s="90"/>
      <c r="D42" s="330" t="s">
        <v>278</v>
      </c>
      <c r="E42" s="90"/>
      <c r="F42" s="90"/>
      <c r="G42" s="335">
        <f>CHOOSE($B$3,G44,G45,G46)</f>
        <v>3.5199999999999995E-2</v>
      </c>
      <c r="H42" s="335">
        <f>CHOOSE($B$3,H44,H45,H46)</f>
        <v>3.5199999999999995E-2</v>
      </c>
      <c r="I42" s="335">
        <f>CHOOSE($B$3,I44,I45,I46)</f>
        <v>3.5199999999999995E-2</v>
      </c>
      <c r="J42" s="335">
        <f>CHOOSE($B$3,J44,J45,J46)</f>
        <v>3.5199999999999995E-2</v>
      </c>
      <c r="K42" s="335">
        <f>CHOOSE($B$3,K44,K45,K46)</f>
        <v>3.5199999999999995E-2</v>
      </c>
    </row>
    <row r="43" spans="2:11">
      <c r="B43" s="90"/>
      <c r="C43" s="90"/>
      <c r="D43" s="90"/>
      <c r="E43" s="90"/>
      <c r="F43" s="90"/>
      <c r="G43" s="331"/>
      <c r="H43" s="331"/>
      <c r="I43" s="331"/>
      <c r="J43" s="331"/>
      <c r="K43" s="331"/>
    </row>
    <row r="44" spans="2:11">
      <c r="B44" s="90"/>
      <c r="C44" s="90"/>
      <c r="D44" s="193" t="s">
        <v>13</v>
      </c>
      <c r="E44" s="90"/>
      <c r="F44" s="90"/>
      <c r="G44" s="336">
        <f>'Assumption table'!E15</f>
        <v>3.5199999999999995E-2</v>
      </c>
      <c r="H44" s="336">
        <f>'Assumption table'!F15</f>
        <v>3.5199999999999995E-2</v>
      </c>
      <c r="I44" s="336">
        <f>'Assumption table'!F15</f>
        <v>3.5199999999999995E-2</v>
      </c>
      <c r="J44" s="336">
        <f>'Assumption table'!F15</f>
        <v>3.5199999999999995E-2</v>
      </c>
      <c r="K44" s="336">
        <f>'Assumption table'!F15</f>
        <v>3.5199999999999995E-2</v>
      </c>
    </row>
    <row r="45" spans="2:11">
      <c r="B45" s="90"/>
      <c r="C45" s="90"/>
      <c r="D45" s="193" t="s">
        <v>15</v>
      </c>
      <c r="E45" s="90"/>
      <c r="F45" s="90"/>
      <c r="G45" s="337">
        <f>G44+'Assumption table'!$F120</f>
        <v>6.5199999999999994E-2</v>
      </c>
      <c r="H45" s="337">
        <f>H44+'Assumption table'!$F120</f>
        <v>6.5199999999999994E-2</v>
      </c>
      <c r="I45" s="337">
        <f>I44+'Assumption table'!$F120</f>
        <v>6.5199999999999994E-2</v>
      </c>
      <c r="J45" s="337">
        <f>J44+'Assumption table'!$F120</f>
        <v>6.5199999999999994E-2</v>
      </c>
      <c r="K45" s="337">
        <f>K44+'Assumption table'!$F120</f>
        <v>6.5199999999999994E-2</v>
      </c>
    </row>
    <row r="46" spans="2:11">
      <c r="B46" s="90"/>
      <c r="C46" s="90"/>
      <c r="D46" s="193" t="s">
        <v>17</v>
      </c>
      <c r="E46" s="90"/>
      <c r="F46" s="90"/>
      <c r="G46" s="337">
        <f>G44+'Assumption table'!$F121</f>
        <v>2.5199999999999993E-2</v>
      </c>
      <c r="H46" s="337">
        <f>H44+'Assumption table'!$F121</f>
        <v>2.5199999999999993E-2</v>
      </c>
      <c r="I46" s="337">
        <f>I44+'Assumption table'!$F121</f>
        <v>2.5199999999999993E-2</v>
      </c>
      <c r="J46" s="337">
        <f>J44+'Assumption table'!$F121</f>
        <v>2.5199999999999993E-2</v>
      </c>
      <c r="K46" s="337">
        <f>K44+'Assumption table'!$F121</f>
        <v>2.5199999999999993E-2</v>
      </c>
    </row>
    <row r="47" spans="2:11">
      <c r="B47" s="90"/>
      <c r="C47" s="90"/>
      <c r="D47" s="90"/>
      <c r="E47" s="90"/>
      <c r="F47" s="90"/>
      <c r="G47" s="90"/>
      <c r="H47" s="90"/>
      <c r="I47" s="90"/>
      <c r="J47" s="90"/>
      <c r="K47" s="90"/>
    </row>
    <row r="48" spans="2:11">
      <c r="B48" s="90"/>
      <c r="C48" s="90" t="s">
        <v>115</v>
      </c>
      <c r="D48" s="90"/>
      <c r="E48" s="90"/>
      <c r="F48" s="90"/>
      <c r="G48" s="90"/>
      <c r="H48" s="90"/>
      <c r="I48" s="90"/>
      <c r="J48" s="90"/>
      <c r="K48" s="90"/>
    </row>
    <row r="49" spans="2:11">
      <c r="B49" s="90"/>
      <c r="C49" s="90"/>
      <c r="D49" s="330" t="s">
        <v>278</v>
      </c>
      <c r="E49" s="90"/>
      <c r="F49" s="90"/>
      <c r="G49" s="335">
        <f>CHOOSE($B$3,G51,G52,G53)</f>
        <v>2.64E-2</v>
      </c>
      <c r="H49" s="335">
        <f>CHOOSE($B$3,H51,H52,H53)</f>
        <v>2.64E-2</v>
      </c>
      <c r="I49" s="335">
        <f>CHOOSE($B$3,I51,I52,I53)</f>
        <v>2.64E-2</v>
      </c>
      <c r="J49" s="335">
        <f>CHOOSE($B$3,J51,J52,J53)</f>
        <v>2.64E-2</v>
      </c>
      <c r="K49" s="335">
        <f>CHOOSE($B$3,K51,K52,K53)</f>
        <v>2.64E-2</v>
      </c>
    </row>
    <row r="50" spans="2:11">
      <c r="B50" s="90"/>
      <c r="C50" s="90"/>
      <c r="D50" s="90"/>
      <c r="E50" s="90"/>
      <c r="F50" s="90"/>
      <c r="G50" s="331"/>
      <c r="H50" s="331"/>
      <c r="I50" s="331"/>
      <c r="J50" s="331"/>
      <c r="K50" s="331"/>
    </row>
    <row r="51" spans="2:11">
      <c r="B51" s="90"/>
      <c r="C51" s="90"/>
      <c r="D51" s="193" t="s">
        <v>13</v>
      </c>
      <c r="E51" s="90"/>
      <c r="F51" s="90"/>
      <c r="G51" s="336">
        <f>'Assumption table'!E20</f>
        <v>2.64E-2</v>
      </c>
      <c r="H51" s="336">
        <f>'Assumption table'!F20</f>
        <v>2.64E-2</v>
      </c>
      <c r="I51" s="336">
        <f>'Assumption table'!F20</f>
        <v>2.64E-2</v>
      </c>
      <c r="J51" s="336">
        <f>'Assumption table'!F20</f>
        <v>2.64E-2</v>
      </c>
      <c r="K51" s="336">
        <f>'Assumption table'!F20</f>
        <v>2.64E-2</v>
      </c>
    </row>
    <row r="52" spans="2:11">
      <c r="B52" s="90"/>
      <c r="C52" s="90"/>
      <c r="D52" s="193" t="s">
        <v>15</v>
      </c>
      <c r="E52" s="90"/>
      <c r="F52" s="90"/>
      <c r="G52" s="337">
        <f>G51+'Assumption table'!$F123</f>
        <v>3.1399999999999997E-2</v>
      </c>
      <c r="H52" s="337">
        <f>H51+'Assumption table'!$F123</f>
        <v>3.1399999999999997E-2</v>
      </c>
      <c r="I52" s="337">
        <f>I51+'Assumption table'!$F123</f>
        <v>3.1399999999999997E-2</v>
      </c>
      <c r="J52" s="337">
        <f>J51+'Assumption table'!$F123</f>
        <v>3.1399999999999997E-2</v>
      </c>
      <c r="K52" s="337">
        <f>K51+'Assumption table'!$F123</f>
        <v>3.1399999999999997E-2</v>
      </c>
    </row>
    <row r="53" spans="2:11">
      <c r="B53" s="90"/>
      <c r="C53" s="90"/>
      <c r="D53" s="193" t="s">
        <v>17</v>
      </c>
      <c r="E53" s="90"/>
      <c r="F53" s="90"/>
      <c r="G53" s="337">
        <f>G51+'Assumption table'!$F124</f>
        <v>2.5399999999999999E-2</v>
      </c>
      <c r="H53" s="337">
        <f>H51+'Assumption table'!$F124</f>
        <v>2.5399999999999999E-2</v>
      </c>
      <c r="I53" s="337">
        <f>I51+'Assumption table'!$F124</f>
        <v>2.5399999999999999E-2</v>
      </c>
      <c r="J53" s="337">
        <f>J51+'Assumption table'!$F124</f>
        <v>2.5399999999999999E-2</v>
      </c>
      <c r="K53" s="337">
        <f>K51+'Assumption table'!$F124</f>
        <v>2.5399999999999999E-2</v>
      </c>
    </row>
    <row r="54" spans="2:11">
      <c r="B54" s="90"/>
      <c r="C54" s="90"/>
      <c r="D54" s="90"/>
      <c r="E54" s="90"/>
      <c r="F54" s="90"/>
      <c r="G54" s="90"/>
      <c r="H54" s="90"/>
      <c r="I54" s="90"/>
      <c r="J54" s="90"/>
      <c r="K54" s="90"/>
    </row>
    <row r="55" spans="2:11">
      <c r="B55" s="90"/>
      <c r="C55" s="90" t="s">
        <v>57</v>
      </c>
      <c r="D55" s="90"/>
      <c r="E55" s="90"/>
      <c r="F55" s="90"/>
      <c r="G55" s="90"/>
      <c r="H55" s="90"/>
      <c r="I55" s="90"/>
      <c r="J55" s="90"/>
      <c r="K55" s="90"/>
    </row>
    <row r="56" spans="2:11">
      <c r="B56" s="90"/>
      <c r="C56" s="90"/>
      <c r="D56" s="330" t="s">
        <v>278</v>
      </c>
      <c r="E56" s="90"/>
      <c r="F56" s="90"/>
      <c r="G56" s="335">
        <f>CHOOSE($B$3,G58,G59,G60)</f>
        <v>1.1212309029734212E-2</v>
      </c>
      <c r="H56" s="335">
        <f>CHOOSE($B$3,H58,H59,H60)</f>
        <v>0</v>
      </c>
      <c r="I56" s="335">
        <f>CHOOSE($B$3,I58,I59,I60)</f>
        <v>0</v>
      </c>
      <c r="J56" s="335">
        <f>CHOOSE($B$3,J58,J59,J60)</f>
        <v>0</v>
      </c>
      <c r="K56" s="335">
        <f>CHOOSE($B$3,K58,K59,K60)</f>
        <v>0</v>
      </c>
    </row>
    <row r="57" spans="2:11">
      <c r="B57" s="90"/>
      <c r="C57" s="90"/>
      <c r="D57" s="90"/>
      <c r="E57" s="90"/>
      <c r="F57" s="90"/>
      <c r="G57" s="331"/>
      <c r="H57" s="331"/>
      <c r="I57" s="331"/>
      <c r="J57" s="331"/>
      <c r="K57" s="331"/>
    </row>
    <row r="58" spans="2:11">
      <c r="B58" s="90"/>
      <c r="C58" s="90"/>
      <c r="D58" s="193" t="s">
        <v>13</v>
      </c>
      <c r="E58" s="90"/>
      <c r="F58" s="90"/>
      <c r="G58" s="336">
        <f>'Assumption table'!E27</f>
        <v>1.1212309029734212E-2</v>
      </c>
      <c r="H58" s="336">
        <f>'Assumption table'!F27</f>
        <v>0</v>
      </c>
      <c r="I58" s="336">
        <f>'Assumption table'!F27</f>
        <v>0</v>
      </c>
      <c r="J58" s="336">
        <f>'Assumption table'!F27</f>
        <v>0</v>
      </c>
      <c r="K58" s="336">
        <f>'Assumption table'!F27</f>
        <v>0</v>
      </c>
    </row>
    <row r="59" spans="2:11">
      <c r="B59" s="90"/>
      <c r="C59" s="90"/>
      <c r="D59" s="193" t="s">
        <v>15</v>
      </c>
      <c r="E59" s="90"/>
      <c r="F59" s="90"/>
      <c r="G59" s="337">
        <f>G58+'Assumption table'!$F126</f>
        <v>2.6212309029734211E-2</v>
      </c>
      <c r="H59" s="337">
        <f>H58+'Assumption table'!$F126</f>
        <v>1.4999999999999999E-2</v>
      </c>
      <c r="I59" s="337">
        <f>I58+'Assumption table'!$F126</f>
        <v>1.4999999999999999E-2</v>
      </c>
      <c r="J59" s="337">
        <f>J58+'Assumption table'!$F126</f>
        <v>1.4999999999999999E-2</v>
      </c>
      <c r="K59" s="337">
        <f>K58+'Assumption table'!$F126</f>
        <v>1.4999999999999999E-2</v>
      </c>
    </row>
    <row r="60" spans="2:11">
      <c r="B60" s="90"/>
      <c r="C60" s="90"/>
      <c r="D60" s="193" t="s">
        <v>17</v>
      </c>
      <c r="E60" s="90"/>
      <c r="F60" s="90"/>
      <c r="G60" s="337">
        <f>G58+'Assumption table'!$F127</f>
        <v>1.1212309029734212E-2</v>
      </c>
      <c r="H60" s="337">
        <f>H58+'Assumption table'!$F127</f>
        <v>0</v>
      </c>
      <c r="I60" s="337">
        <f>I58+'Assumption table'!$F127</f>
        <v>0</v>
      </c>
      <c r="J60" s="337">
        <f>J58+'Assumption table'!$F127</f>
        <v>0</v>
      </c>
      <c r="K60" s="337">
        <f>K58+'Assumption table'!$F127</f>
        <v>0</v>
      </c>
    </row>
    <row r="61" spans="2:11">
      <c r="B61" s="90"/>
      <c r="C61" s="90"/>
      <c r="D61" s="90"/>
      <c r="E61" s="90"/>
      <c r="F61" s="90"/>
      <c r="G61" s="90"/>
      <c r="H61" s="90"/>
      <c r="I61" s="90"/>
      <c r="J61" s="90"/>
      <c r="K61" s="90"/>
    </row>
    <row r="62" spans="2:11">
      <c r="B62" s="90"/>
      <c r="C62" s="90" t="s">
        <v>61</v>
      </c>
      <c r="D62" s="90"/>
      <c r="E62" s="90"/>
      <c r="F62" s="90"/>
      <c r="G62" s="90"/>
      <c r="H62" s="90"/>
      <c r="I62" s="90"/>
      <c r="J62" s="90"/>
      <c r="K62" s="90"/>
    </row>
    <row r="63" spans="2:11">
      <c r="B63" s="90"/>
      <c r="C63" s="90"/>
      <c r="D63" s="330" t="s">
        <v>278</v>
      </c>
      <c r="E63" s="90"/>
      <c r="F63" s="90"/>
      <c r="G63" s="335">
        <f>CHOOSE($B$3,G65,G66,G67)</f>
        <v>-3.5999999999999997E-2</v>
      </c>
      <c r="H63" s="335">
        <f>CHOOSE($B$3,H65,H66,H67)</f>
        <v>0</v>
      </c>
      <c r="I63" s="335">
        <f>CHOOSE($B$3,I65,I66,I67)</f>
        <v>0</v>
      </c>
      <c r="J63" s="335">
        <f>CHOOSE($B$3,J65,J66,J67)</f>
        <v>0</v>
      </c>
      <c r="K63" s="335">
        <f>CHOOSE($B$3,K65,K66,K67)</f>
        <v>0</v>
      </c>
    </row>
    <row r="64" spans="2:11">
      <c r="B64" s="90"/>
      <c r="C64" s="90"/>
      <c r="D64" s="90"/>
      <c r="E64" s="90"/>
      <c r="F64" s="90"/>
      <c r="G64" s="331"/>
      <c r="H64" s="331"/>
      <c r="I64" s="331"/>
      <c r="J64" s="331"/>
      <c r="K64" s="331"/>
    </row>
    <row r="65" spans="2:11">
      <c r="B65" s="90"/>
      <c r="C65" s="90"/>
      <c r="D65" s="193" t="s">
        <v>13</v>
      </c>
      <c r="E65" s="90"/>
      <c r="F65" s="90"/>
      <c r="G65" s="336">
        <f>'Assumption table'!E32</f>
        <v>-3.5999999999999997E-2</v>
      </c>
      <c r="H65" s="336">
        <f>'Assumption table'!F32</f>
        <v>0</v>
      </c>
      <c r="I65" s="336">
        <f>'Assumption table'!F32</f>
        <v>0</v>
      </c>
      <c r="J65" s="336">
        <f>'Assumption table'!F32</f>
        <v>0</v>
      </c>
      <c r="K65" s="336">
        <f>'Assumption table'!F32</f>
        <v>0</v>
      </c>
    </row>
    <row r="66" spans="2:11">
      <c r="B66" s="90"/>
      <c r="C66" s="90"/>
      <c r="D66" s="193" t="s">
        <v>15</v>
      </c>
      <c r="E66" s="90"/>
      <c r="F66" s="90"/>
      <c r="G66" s="337">
        <f>G65+'Assumption table'!$F129</f>
        <v>-3.5999999999999997E-2</v>
      </c>
      <c r="H66" s="337">
        <f>H65+'Assumption table'!$F129</f>
        <v>0</v>
      </c>
      <c r="I66" s="337">
        <f>I65+'Assumption table'!$F129</f>
        <v>0</v>
      </c>
      <c r="J66" s="337">
        <f>J65+'Assumption table'!$F129</f>
        <v>0</v>
      </c>
      <c r="K66" s="337">
        <f>K65+'Assumption table'!$F129</f>
        <v>0</v>
      </c>
    </row>
    <row r="67" spans="2:11">
      <c r="B67" s="330"/>
      <c r="C67" s="90"/>
      <c r="D67" s="193" t="s">
        <v>17</v>
      </c>
      <c r="E67" s="90"/>
      <c r="F67" s="90"/>
      <c r="G67" s="337">
        <f>G65+'Assumption table'!$F130</f>
        <v>-3.5999999999999997E-2</v>
      </c>
      <c r="H67" s="337">
        <f>H65+'Assumption table'!$F130</f>
        <v>0</v>
      </c>
      <c r="I67" s="337">
        <f>I65+'Assumption table'!$F130</f>
        <v>0</v>
      </c>
      <c r="J67" s="337">
        <f>J65+'Assumption table'!$F130</f>
        <v>0</v>
      </c>
      <c r="K67" s="337">
        <f>K65+'Assumption table'!$F130</f>
        <v>0</v>
      </c>
    </row>
    <row r="68" spans="2:11">
      <c r="B68" s="330"/>
      <c r="C68" s="90"/>
      <c r="D68" s="90"/>
      <c r="E68" s="90"/>
      <c r="F68" s="90"/>
      <c r="G68" s="90"/>
      <c r="H68" s="90"/>
      <c r="I68" s="90"/>
      <c r="J68" s="90"/>
      <c r="K68" s="90"/>
    </row>
    <row r="69" spans="2:11">
      <c r="B69" s="330" t="s">
        <v>117</v>
      </c>
      <c r="C69" s="90"/>
      <c r="D69" s="90"/>
      <c r="E69" s="90"/>
      <c r="F69" s="90"/>
      <c r="G69" s="90"/>
      <c r="H69" s="90"/>
      <c r="I69" s="90"/>
      <c r="J69" s="90"/>
      <c r="K69" s="90"/>
    </row>
    <row r="70" spans="2:11">
      <c r="B70" s="330" t="s">
        <v>277</v>
      </c>
      <c r="C70" s="90"/>
      <c r="D70" s="90"/>
      <c r="E70" s="90"/>
      <c r="F70" s="90"/>
      <c r="G70" s="90"/>
      <c r="H70" s="90"/>
      <c r="I70" s="90"/>
      <c r="J70" s="90"/>
      <c r="K70" s="90"/>
    </row>
    <row r="71" spans="2:11">
      <c r="B71" s="90"/>
      <c r="C71" s="90" t="s">
        <v>112</v>
      </c>
      <c r="D71" s="90"/>
      <c r="E71" s="90"/>
      <c r="F71" s="90"/>
      <c r="G71" s="90"/>
      <c r="H71" s="90"/>
      <c r="I71" s="90"/>
      <c r="J71" s="90"/>
      <c r="K71" s="90"/>
    </row>
    <row r="72" spans="2:11">
      <c r="B72" s="90"/>
      <c r="C72" s="90"/>
      <c r="D72" s="330" t="s">
        <v>278</v>
      </c>
      <c r="E72" s="90"/>
      <c r="F72" s="90"/>
      <c r="G72" s="335">
        <f>CHOOSE($B$3,G74,G75,G76)</f>
        <v>5.0000000000000001E-3</v>
      </c>
      <c r="H72" s="335">
        <f>CHOOSE($B$3,H74,H75,H76)</f>
        <v>5.0000000000000001E-4</v>
      </c>
      <c r="I72" s="335">
        <f>CHOOSE($B$3,I74,I75,I76)</f>
        <v>5.0000000000000001E-4</v>
      </c>
      <c r="J72" s="335">
        <f>CHOOSE($B$3,J74,J75,J76)</f>
        <v>5.0000000000000001E-4</v>
      </c>
      <c r="K72" s="335">
        <f>CHOOSE($B$3,K74,K75,K76)</f>
        <v>5.0000000000000001E-4</v>
      </c>
    </row>
    <row r="73" spans="2:11">
      <c r="B73" s="90"/>
      <c r="C73" s="90"/>
      <c r="D73" s="90"/>
      <c r="E73" s="90"/>
      <c r="F73" s="90"/>
      <c r="G73" s="331"/>
      <c r="H73" s="331"/>
      <c r="I73" s="331"/>
      <c r="J73" s="331"/>
      <c r="K73" s="331"/>
    </row>
    <row r="74" spans="2:11">
      <c r="B74" s="90"/>
      <c r="C74" s="90"/>
      <c r="D74" s="193" t="s">
        <v>13</v>
      </c>
      <c r="E74" s="90"/>
      <c r="F74" s="90"/>
      <c r="G74" s="336">
        <f>'Assumption table'!E16</f>
        <v>5.0000000000000001E-3</v>
      </c>
      <c r="H74" s="336">
        <f>'Assumption table'!F16</f>
        <v>5.0000000000000001E-4</v>
      </c>
      <c r="I74" s="336">
        <f>'Assumption table'!F16</f>
        <v>5.0000000000000001E-4</v>
      </c>
      <c r="J74" s="336">
        <f>'Assumption table'!F16</f>
        <v>5.0000000000000001E-4</v>
      </c>
      <c r="K74" s="336">
        <f>'Assumption table'!F16</f>
        <v>5.0000000000000001E-4</v>
      </c>
    </row>
    <row r="75" spans="2:11">
      <c r="B75" s="90"/>
      <c r="C75" s="90"/>
      <c r="D75" s="193" t="s">
        <v>15</v>
      </c>
      <c r="E75" s="90"/>
      <c r="F75" s="90"/>
      <c r="G75" s="337">
        <f>G74+'Assumption table'!$F133</f>
        <v>1.4999999999999999E-2</v>
      </c>
      <c r="H75" s="337">
        <f>H74+'Assumption table'!$F133</f>
        <v>1.0500000000000001E-2</v>
      </c>
      <c r="I75" s="337">
        <f>I74+'Assumption table'!$F133</f>
        <v>1.0500000000000001E-2</v>
      </c>
      <c r="J75" s="337">
        <f>J74+'Assumption table'!$F133</f>
        <v>1.0500000000000001E-2</v>
      </c>
      <c r="K75" s="337">
        <f>K74+'Assumption table'!$F133</f>
        <v>1.0500000000000001E-2</v>
      </c>
    </row>
    <row r="76" spans="2:11">
      <c r="B76" s="90"/>
      <c r="C76" s="90"/>
      <c r="D76" s="193" t="s">
        <v>17</v>
      </c>
      <c r="E76" s="90"/>
      <c r="F76" s="90"/>
      <c r="G76" s="337">
        <f>G74+'Assumption table'!$F134</f>
        <v>-5.0000000000000001E-3</v>
      </c>
      <c r="H76" s="337">
        <f>H74+'Assumption table'!$F134</f>
        <v>-9.4999999999999998E-3</v>
      </c>
      <c r="I76" s="337">
        <f>I74+'Assumption table'!$F134</f>
        <v>-9.4999999999999998E-3</v>
      </c>
      <c r="J76" s="337">
        <f>J74+'Assumption table'!$F134</f>
        <v>-9.4999999999999998E-3</v>
      </c>
      <c r="K76" s="337">
        <f>K74+'Assumption table'!$F134</f>
        <v>-9.4999999999999998E-3</v>
      </c>
    </row>
    <row r="77" spans="2:11">
      <c r="B77" s="90"/>
      <c r="C77" s="90"/>
      <c r="D77" s="90"/>
      <c r="E77" s="90"/>
      <c r="F77" s="90"/>
      <c r="G77" s="90"/>
      <c r="H77" s="90"/>
      <c r="I77" s="90"/>
      <c r="J77" s="90"/>
      <c r="K77" s="90"/>
    </row>
    <row r="78" spans="2:11">
      <c r="B78" s="90"/>
      <c r="C78" s="90" t="s">
        <v>115</v>
      </c>
      <c r="D78" s="90"/>
      <c r="E78" s="90"/>
      <c r="F78" s="90"/>
      <c r="G78" s="90"/>
      <c r="H78" s="90"/>
      <c r="I78" s="90"/>
      <c r="J78" s="90"/>
      <c r="K78" s="90"/>
    </row>
    <row r="79" spans="2:11">
      <c r="B79" s="90"/>
      <c r="C79" s="90"/>
      <c r="D79" s="330" t="s">
        <v>278</v>
      </c>
      <c r="E79" s="90"/>
      <c r="F79" s="90"/>
      <c r="G79" s="335">
        <f>CHOOSE($B$3,G81,G82,G83)</f>
        <v>4.179999999999999E-2</v>
      </c>
      <c r="H79" s="335">
        <f>CHOOSE($B$3,H81,H82,H83)</f>
        <v>4.179999999999999E-2</v>
      </c>
      <c r="I79" s="335">
        <f>CHOOSE($B$3,I81,I82,I83)</f>
        <v>4.179999999999999E-2</v>
      </c>
      <c r="J79" s="335">
        <f>CHOOSE($B$3,J81,J82,J83)</f>
        <v>4.179999999999999E-2</v>
      </c>
      <c r="K79" s="335">
        <f>CHOOSE($B$3,K81,K82,K83)</f>
        <v>4.179999999999999E-2</v>
      </c>
    </row>
    <row r="80" spans="2:11">
      <c r="B80" s="90"/>
      <c r="C80" s="90"/>
      <c r="D80" s="90"/>
      <c r="E80" s="90"/>
      <c r="F80" s="90"/>
      <c r="G80" s="331"/>
      <c r="H80" s="331"/>
      <c r="I80" s="331"/>
      <c r="J80" s="331"/>
      <c r="K80" s="331"/>
    </row>
    <row r="81" spans="2:11">
      <c r="B81" s="90"/>
      <c r="C81" s="90"/>
      <c r="D81" s="193" t="s">
        <v>13</v>
      </c>
      <c r="E81" s="90"/>
      <c r="F81" s="90"/>
      <c r="G81" s="336">
        <f>'Assumption table'!E21</f>
        <v>4.179999999999999E-2</v>
      </c>
      <c r="H81" s="336">
        <f>'Assumption table'!F21</f>
        <v>4.179999999999999E-2</v>
      </c>
      <c r="I81" s="336">
        <f>'Assumption table'!F21</f>
        <v>4.179999999999999E-2</v>
      </c>
      <c r="J81" s="336">
        <f>'Assumption table'!F21</f>
        <v>4.179999999999999E-2</v>
      </c>
      <c r="K81" s="336">
        <f>'Assumption table'!F21</f>
        <v>4.179999999999999E-2</v>
      </c>
    </row>
    <row r="82" spans="2:11">
      <c r="B82" s="90"/>
      <c r="C82" s="90"/>
      <c r="D82" s="193" t="s">
        <v>15</v>
      </c>
      <c r="E82" s="90"/>
      <c r="F82" s="90"/>
      <c r="G82" s="337">
        <f>G81+'Assumption table'!$F136</f>
        <v>4.6799999999999987E-2</v>
      </c>
      <c r="H82" s="337">
        <f>H81+'Assumption table'!$F136</f>
        <v>4.6799999999999987E-2</v>
      </c>
      <c r="I82" s="337">
        <f>I81+'Assumption table'!$F136</f>
        <v>4.6799999999999987E-2</v>
      </c>
      <c r="J82" s="337">
        <f>J81+'Assumption table'!$F136</f>
        <v>4.6799999999999987E-2</v>
      </c>
      <c r="K82" s="337">
        <f>K81+'Assumption table'!$F136</f>
        <v>4.6799999999999987E-2</v>
      </c>
    </row>
    <row r="83" spans="2:11">
      <c r="B83" s="90"/>
      <c r="C83" s="90"/>
      <c r="D83" s="193" t="s">
        <v>17</v>
      </c>
      <c r="E83" s="90"/>
      <c r="F83" s="90"/>
      <c r="G83" s="337">
        <f>G81+'Assumption table'!$F137</f>
        <v>3.1799999999999988E-2</v>
      </c>
      <c r="H83" s="337">
        <f>H81+'Assumption table'!$F137</f>
        <v>3.1799999999999988E-2</v>
      </c>
      <c r="I83" s="337">
        <f>I81+'Assumption table'!$F137</f>
        <v>3.1799999999999988E-2</v>
      </c>
      <c r="J83" s="337">
        <f>J81+'Assumption table'!$F137</f>
        <v>3.1799999999999988E-2</v>
      </c>
      <c r="K83" s="337">
        <f>K81+'Assumption table'!$F137</f>
        <v>3.1799999999999988E-2</v>
      </c>
    </row>
    <row r="84" spans="2:11">
      <c r="B84" s="90"/>
      <c r="C84" s="90"/>
      <c r="D84" s="90"/>
      <c r="E84" s="90"/>
      <c r="F84" s="90"/>
      <c r="G84" s="90"/>
      <c r="H84" s="90"/>
      <c r="I84" s="90"/>
      <c r="J84" s="90"/>
      <c r="K84" s="90"/>
    </row>
    <row r="85" spans="2:11">
      <c r="B85" s="330" t="s">
        <v>279</v>
      </c>
      <c r="C85" s="90"/>
      <c r="D85" s="90"/>
      <c r="E85" s="90"/>
      <c r="F85" s="90"/>
      <c r="G85" s="90"/>
      <c r="H85" s="90"/>
      <c r="I85" s="90"/>
      <c r="J85" s="90"/>
      <c r="K85" s="90"/>
    </row>
    <row r="86" spans="2:11">
      <c r="B86" s="90"/>
      <c r="C86" s="90" t="s">
        <v>280</v>
      </c>
      <c r="D86" s="90"/>
      <c r="E86" s="90"/>
      <c r="F86" s="90"/>
      <c r="G86" s="90"/>
      <c r="H86" s="90"/>
      <c r="I86" s="90"/>
      <c r="J86" s="90"/>
      <c r="K86" s="90"/>
    </row>
    <row r="87" spans="2:11">
      <c r="B87" s="90"/>
      <c r="C87" s="90"/>
      <c r="D87" s="330" t="s">
        <v>278</v>
      </c>
      <c r="E87" s="90"/>
      <c r="F87" s="90"/>
      <c r="G87" s="335">
        <f>CHOOSE($B$3,G89,G90,G91)</f>
        <v>0.48247145780724876</v>
      </c>
      <c r="H87" s="335">
        <f>CHOOSE($B$3,H89,H90,H91)</f>
        <v>0.48247145780724876</v>
      </c>
      <c r="I87" s="335">
        <f>CHOOSE($B$3,I89,I90,I91)</f>
        <v>0.48247145780724876</v>
      </c>
      <c r="J87" s="335">
        <f>CHOOSE($B$3,J89,J90,J91)</f>
        <v>0.48247145780724876</v>
      </c>
      <c r="K87" s="335">
        <f>CHOOSE($B$3,K89,K90,K91)</f>
        <v>0.48247145780724876</v>
      </c>
    </row>
    <row r="88" spans="2:11">
      <c r="B88" s="90"/>
      <c r="C88" s="90"/>
      <c r="D88" s="90"/>
      <c r="E88" s="90"/>
      <c r="F88" s="90"/>
      <c r="G88" s="331"/>
      <c r="H88" s="331"/>
      <c r="I88" s="331"/>
      <c r="J88" s="331"/>
      <c r="K88" s="331"/>
    </row>
    <row r="89" spans="2:11">
      <c r="B89" s="90"/>
      <c r="C89" s="90"/>
      <c r="D89" s="193" t="s">
        <v>13</v>
      </c>
      <c r="E89" s="90"/>
      <c r="F89" s="90"/>
      <c r="G89" s="336">
        <f>'Assumption table'!$F$53</f>
        <v>0.48247145780724876</v>
      </c>
      <c r="H89" s="336">
        <f>'Assumption table'!$F$53</f>
        <v>0.48247145780724876</v>
      </c>
      <c r="I89" s="336">
        <f>'Assumption table'!$F$53</f>
        <v>0.48247145780724876</v>
      </c>
      <c r="J89" s="336">
        <f>'Assumption table'!$F$53</f>
        <v>0.48247145780724876</v>
      </c>
      <c r="K89" s="336">
        <f>'Assumption table'!$F$53</f>
        <v>0.48247145780724876</v>
      </c>
    </row>
    <row r="90" spans="2:11">
      <c r="B90" s="90"/>
      <c r="C90" s="90"/>
      <c r="D90" s="193" t="s">
        <v>15</v>
      </c>
      <c r="E90" s="90"/>
      <c r="F90" s="90"/>
      <c r="G90" s="337">
        <f>G89+'Assumption table'!$F147</f>
        <v>0.50247145780724878</v>
      </c>
      <c r="H90" s="337">
        <f>H89+'Assumption table'!$F147</f>
        <v>0.50247145780724878</v>
      </c>
      <c r="I90" s="337">
        <f>I89+'Assumption table'!$F147</f>
        <v>0.50247145780724878</v>
      </c>
      <c r="J90" s="337">
        <f>J89+'Assumption table'!$F147</f>
        <v>0.50247145780724878</v>
      </c>
      <c r="K90" s="337">
        <f>K89+'Assumption table'!$F147</f>
        <v>0.50247145780724878</v>
      </c>
    </row>
    <row r="91" spans="2:11">
      <c r="B91" s="90"/>
      <c r="C91" s="90"/>
      <c r="D91" s="193" t="s">
        <v>17</v>
      </c>
      <c r="E91" s="90"/>
      <c r="F91" s="90"/>
      <c r="G91" s="337">
        <f>G89+'Assumption table'!$F148</f>
        <v>0.46747145780724875</v>
      </c>
      <c r="H91" s="337">
        <f>H89+'Assumption table'!$F148</f>
        <v>0.46747145780724875</v>
      </c>
      <c r="I91" s="337">
        <f>I89+'Assumption table'!$F148</f>
        <v>0.46747145780724875</v>
      </c>
      <c r="J91" s="337">
        <f>J89+'Assumption table'!$F148</f>
        <v>0.46747145780724875</v>
      </c>
      <c r="K91" s="337">
        <f>K89+'Assumption table'!$F148</f>
        <v>0.46747145780724875</v>
      </c>
    </row>
    <row r="92" spans="2:11">
      <c r="B92" s="90"/>
      <c r="C92" s="90"/>
      <c r="D92" s="90"/>
      <c r="E92" s="90"/>
      <c r="F92" s="90"/>
      <c r="G92" s="90"/>
      <c r="H92" s="90"/>
      <c r="I92" s="90"/>
      <c r="J92" s="90"/>
      <c r="K92" s="90"/>
    </row>
    <row r="93" spans="2:11">
      <c r="B93" s="90"/>
      <c r="C93" s="90" t="s">
        <v>281</v>
      </c>
      <c r="D93" s="90"/>
      <c r="E93" s="90"/>
      <c r="F93" s="90"/>
      <c r="G93" s="90"/>
      <c r="H93" s="90"/>
      <c r="I93" s="90"/>
      <c r="J93" s="90"/>
      <c r="K93" s="90"/>
    </row>
    <row r="94" spans="2:11">
      <c r="B94" s="90"/>
      <c r="C94" s="90"/>
      <c r="D94" s="330" t="s">
        <v>278</v>
      </c>
      <c r="E94" s="90"/>
      <c r="F94" s="90"/>
      <c r="G94" s="335">
        <f>CHOOSE($B$3,G96,G97,G98)</f>
        <v>0.44414079712628418</v>
      </c>
      <c r="H94" s="335">
        <f>CHOOSE($B$3,H96,H97,H98)</f>
        <v>0.44414079712628418</v>
      </c>
      <c r="I94" s="335">
        <f>CHOOSE($B$3,I96,I97,I98)</f>
        <v>0.44414079712628418</v>
      </c>
      <c r="J94" s="335">
        <f>CHOOSE($B$3,J96,J97,J98)</f>
        <v>0.44414079712628418</v>
      </c>
      <c r="K94" s="335">
        <f>CHOOSE($B$3,K96,K97,K98)</f>
        <v>0.44414079712628418</v>
      </c>
    </row>
    <row r="95" spans="2:11">
      <c r="B95" s="90"/>
      <c r="C95" s="90"/>
      <c r="D95" s="90"/>
      <c r="E95" s="90"/>
      <c r="F95" s="90"/>
      <c r="G95" s="331"/>
      <c r="H95" s="331"/>
      <c r="I95" s="331"/>
      <c r="J95" s="331"/>
      <c r="K95" s="331"/>
    </row>
    <row r="96" spans="2:11">
      <c r="B96" s="90"/>
      <c r="C96" s="90"/>
      <c r="D96" s="193" t="s">
        <v>13</v>
      </c>
      <c r="E96" s="90"/>
      <c r="F96" s="90"/>
      <c r="G96" s="336">
        <f>'Assumption table'!$F$54</f>
        <v>0.44414079712628418</v>
      </c>
      <c r="H96" s="336">
        <f>'Assumption table'!$F$54</f>
        <v>0.44414079712628418</v>
      </c>
      <c r="I96" s="336">
        <f>'Assumption table'!$F$54</f>
        <v>0.44414079712628418</v>
      </c>
      <c r="J96" s="336">
        <f>'Assumption table'!$F$54</f>
        <v>0.44414079712628418</v>
      </c>
      <c r="K96" s="336">
        <f>'Assumption table'!$F$54</f>
        <v>0.44414079712628418</v>
      </c>
    </row>
    <row r="97" spans="2:11">
      <c r="B97" s="90"/>
      <c r="C97" s="90"/>
      <c r="D97" s="193" t="s">
        <v>15</v>
      </c>
      <c r="E97" s="90"/>
      <c r="F97" s="90"/>
      <c r="G97" s="337">
        <f>G96+'Assumption table'!$F150</f>
        <v>0.4691407971262842</v>
      </c>
      <c r="H97" s="337">
        <f>H96+'Assumption table'!$F150</f>
        <v>0.4691407971262842</v>
      </c>
      <c r="I97" s="337">
        <f>I96+'Assumption table'!$F150</f>
        <v>0.4691407971262842</v>
      </c>
      <c r="J97" s="337">
        <f>J96+'Assumption table'!$F150</f>
        <v>0.4691407971262842</v>
      </c>
      <c r="K97" s="337">
        <f>K96+'Assumption table'!$F150</f>
        <v>0.4691407971262842</v>
      </c>
    </row>
    <row r="98" spans="2:11">
      <c r="B98" s="90"/>
      <c r="C98" s="90"/>
      <c r="D98" s="193" t="s">
        <v>17</v>
      </c>
      <c r="E98" s="90"/>
      <c r="F98" s="90"/>
      <c r="G98" s="337">
        <f>G96+'Assumption table'!$F151</f>
        <v>0.42914079712628417</v>
      </c>
      <c r="H98" s="337">
        <f>H96+'Assumption table'!$F151</f>
        <v>0.42914079712628417</v>
      </c>
      <c r="I98" s="337">
        <f>I96+'Assumption table'!$F151</f>
        <v>0.42914079712628417</v>
      </c>
      <c r="J98" s="337">
        <f>J96+'Assumption table'!$F151</f>
        <v>0.42914079712628417</v>
      </c>
      <c r="K98" s="337">
        <f>K96+'Assumption table'!$F151</f>
        <v>0.42914079712628417</v>
      </c>
    </row>
    <row r="99" spans="2:11">
      <c r="B99" s="330"/>
      <c r="C99" s="90"/>
      <c r="D99" s="90"/>
      <c r="E99" s="90"/>
      <c r="F99" s="90"/>
      <c r="G99" s="90"/>
      <c r="H99" s="90"/>
      <c r="I99" s="90"/>
      <c r="J99" s="90"/>
      <c r="K99" s="90"/>
    </row>
    <row r="100" spans="2:11">
      <c r="B100" s="90"/>
      <c r="C100" s="90" t="s">
        <v>49</v>
      </c>
      <c r="D100" s="90"/>
      <c r="E100" s="90"/>
      <c r="F100" s="90"/>
      <c r="G100" s="90"/>
      <c r="H100" s="90"/>
      <c r="I100" s="90"/>
      <c r="J100" s="90"/>
      <c r="K100" s="90"/>
    </row>
    <row r="101" spans="2:11">
      <c r="B101" s="90"/>
      <c r="C101" s="90"/>
      <c r="D101" s="330" t="s">
        <v>278</v>
      </c>
      <c r="E101" s="90"/>
      <c r="F101" s="90"/>
      <c r="G101" s="335">
        <f>CHOOSE($B$3,G103,G104,G105)</f>
        <v>0.36011634169408807</v>
      </c>
      <c r="H101" s="335">
        <f>CHOOSE($B$3,H103,H104,H105)</f>
        <v>0.36011634169408807</v>
      </c>
      <c r="I101" s="335">
        <f>CHOOSE($B$3,I103,I104,I105)</f>
        <v>0.36011634169408807</v>
      </c>
      <c r="J101" s="335">
        <f>CHOOSE($B$3,J103,J104,J105)</f>
        <v>0.36011634169408807</v>
      </c>
      <c r="K101" s="335">
        <f>CHOOSE($B$3,K103,K104,K105)</f>
        <v>0.36011634169408807</v>
      </c>
    </row>
    <row r="102" spans="2:11">
      <c r="B102" s="90"/>
      <c r="C102" s="90"/>
      <c r="D102" s="90"/>
      <c r="E102" s="90"/>
      <c r="F102" s="90"/>
      <c r="G102" s="331"/>
      <c r="H102" s="331"/>
      <c r="I102" s="331"/>
      <c r="J102" s="331"/>
      <c r="K102" s="331"/>
    </row>
    <row r="103" spans="2:11">
      <c r="B103" s="90"/>
      <c r="C103" s="90"/>
      <c r="D103" s="193" t="s">
        <v>13</v>
      </c>
      <c r="E103" s="90"/>
      <c r="F103" s="90"/>
      <c r="G103" s="336">
        <f>'Assumption table'!$F$55</f>
        <v>0.36011634169408807</v>
      </c>
      <c r="H103" s="336">
        <f>'Assumption table'!$F$55</f>
        <v>0.36011634169408807</v>
      </c>
      <c r="I103" s="336">
        <f>'Assumption table'!$F$55</f>
        <v>0.36011634169408807</v>
      </c>
      <c r="J103" s="336">
        <f>'Assumption table'!$F$55</f>
        <v>0.36011634169408807</v>
      </c>
      <c r="K103" s="336">
        <f>'Assumption table'!$F$55</f>
        <v>0.36011634169408807</v>
      </c>
    </row>
    <row r="104" spans="2:11">
      <c r="B104" s="90"/>
      <c r="C104" s="90"/>
      <c r="D104" s="193" t="s">
        <v>15</v>
      </c>
      <c r="E104" s="90"/>
      <c r="F104" s="90"/>
      <c r="G104" s="337">
        <f>G103+'Assumption table'!$F153</f>
        <v>0.37011634169408808</v>
      </c>
      <c r="H104" s="337">
        <f>H103+'Assumption table'!$F153</f>
        <v>0.37011634169408808</v>
      </c>
      <c r="I104" s="337">
        <f>I103+'Assumption table'!$F153</f>
        <v>0.37011634169408808</v>
      </c>
      <c r="J104" s="337">
        <f>J103+'Assumption table'!$F153</f>
        <v>0.37011634169408808</v>
      </c>
      <c r="K104" s="337">
        <f>K103+'Assumption table'!$F153</f>
        <v>0.37011634169408808</v>
      </c>
    </row>
    <row r="105" spans="2:11">
      <c r="B105" s="90"/>
      <c r="C105" s="90"/>
      <c r="D105" s="193" t="s">
        <v>17</v>
      </c>
      <c r="E105" s="90"/>
      <c r="F105" s="90"/>
      <c r="G105" s="337">
        <f>G103+'Assumption table'!$F154</f>
        <v>0.35011634169408806</v>
      </c>
      <c r="H105" s="337">
        <f>H103+'Assumption table'!$F154</f>
        <v>0.35011634169408806</v>
      </c>
      <c r="I105" s="337">
        <f>I103+'Assumption table'!$F154</f>
        <v>0.35011634169408806</v>
      </c>
      <c r="J105" s="337">
        <f>J103+'Assumption table'!$F154</f>
        <v>0.35011634169408806</v>
      </c>
      <c r="K105" s="337">
        <f>K103+'Assumption table'!$F154</f>
        <v>0.35011634169408806</v>
      </c>
    </row>
    <row r="106" spans="2:11">
      <c r="B106" s="90"/>
      <c r="C106" s="90"/>
      <c r="D106" s="90"/>
      <c r="E106" s="90"/>
      <c r="F106" s="90"/>
      <c r="G106" s="90"/>
      <c r="H106" s="90"/>
      <c r="I106" s="90"/>
      <c r="J106" s="90"/>
      <c r="K106" s="90"/>
    </row>
    <row r="107" spans="2:11">
      <c r="B107" s="40" t="s">
        <v>282</v>
      </c>
    </row>
    <row r="108" spans="2:11">
      <c r="B108" s="40" t="s">
        <v>45</v>
      </c>
    </row>
    <row r="109" spans="2:11">
      <c r="C109" t="s">
        <v>89</v>
      </c>
    </row>
    <row r="110" spans="2:11">
      <c r="D110" s="40" t="s">
        <v>278</v>
      </c>
      <c r="G110" s="215">
        <f>CHOOSE($B$3,G112,G113,G114)</f>
        <v>0.10978433016925784</v>
      </c>
      <c r="H110" s="215">
        <f>CHOOSE($B$3,H112,H113,H114)</f>
        <v>0.10978433016925784</v>
      </c>
      <c r="I110" s="215">
        <f>CHOOSE($B$3,I112,I113,I114)</f>
        <v>0.10978433016925784</v>
      </c>
      <c r="J110" s="215">
        <f>CHOOSE($B$3,J112,J113,J114)</f>
        <v>0.10978433016925784</v>
      </c>
      <c r="K110" s="215">
        <f>CHOOSE($B$3,K112,K113,K114)</f>
        <v>0.10978433016925784</v>
      </c>
    </row>
    <row r="111" spans="2:11">
      <c r="G111" s="215"/>
      <c r="H111" s="215"/>
      <c r="I111" s="215"/>
      <c r="J111" s="215"/>
      <c r="K111" s="215"/>
    </row>
    <row r="112" spans="2:11">
      <c r="D112" t="s">
        <v>13</v>
      </c>
      <c r="G112" s="215">
        <f>'Assumption table'!$F$61</f>
        <v>0.10978433016925784</v>
      </c>
      <c r="H112" s="215">
        <f>'Assumption table'!$F$61</f>
        <v>0.10978433016925784</v>
      </c>
      <c r="I112" s="215">
        <f>'Assumption table'!$F$61</f>
        <v>0.10978433016925784</v>
      </c>
      <c r="J112" s="215">
        <f>'Assumption table'!$F$61</f>
        <v>0.10978433016925784</v>
      </c>
      <c r="K112" s="215">
        <f>'Assumption table'!$F$61</f>
        <v>0.10978433016925784</v>
      </c>
    </row>
    <row r="113" spans="2:11">
      <c r="D113" t="s">
        <v>15</v>
      </c>
      <c r="G113" s="363">
        <f>G112+'Assumption table'!$F$158</f>
        <v>8.9784330169257839E-2</v>
      </c>
      <c r="H113" s="363">
        <f>H112+'Assumption table'!$F$158</f>
        <v>8.9784330169257839E-2</v>
      </c>
      <c r="I113" s="363">
        <f>I112+'Assumption table'!$F$158</f>
        <v>8.9784330169257839E-2</v>
      </c>
      <c r="J113" s="363">
        <f>J112+'Assumption table'!$F$158</f>
        <v>8.9784330169257839E-2</v>
      </c>
      <c r="K113" s="363">
        <f>K112+'Assumption table'!$F$158</f>
        <v>8.9784330169257839E-2</v>
      </c>
    </row>
    <row r="114" spans="2:11">
      <c r="D114" t="s">
        <v>17</v>
      </c>
      <c r="G114" s="363">
        <f>G112+'Assumption table'!$F$159</f>
        <v>0.12978433016925783</v>
      </c>
      <c r="H114" s="363">
        <f>H112+'Assumption table'!$F$159</f>
        <v>0.12978433016925783</v>
      </c>
      <c r="I114" s="363">
        <f>I112+'Assumption table'!$F$159</f>
        <v>0.12978433016925783</v>
      </c>
      <c r="J114" s="363">
        <f>J112+'Assumption table'!$F$159</f>
        <v>0.12978433016925783</v>
      </c>
      <c r="K114" s="363">
        <f>K112+'Assumption table'!$F$159</f>
        <v>0.12978433016925783</v>
      </c>
    </row>
    <row r="116" spans="2:11">
      <c r="C116" t="s">
        <v>283</v>
      </c>
    </row>
    <row r="117" spans="2:11">
      <c r="D117" s="40" t="s">
        <v>278</v>
      </c>
      <c r="G117" s="215">
        <f>CHOOSE($B$3,G119,G120,G121)</f>
        <v>9.3950457373218305E-2</v>
      </c>
      <c r="H117" s="215">
        <f>CHOOSE($B$3,H119,H120,H121)</f>
        <v>9.3950457373218305E-2</v>
      </c>
      <c r="I117" s="215">
        <f>CHOOSE($B$3,I119,I120,I121)</f>
        <v>9.3950457373218305E-2</v>
      </c>
      <c r="J117" s="215">
        <f>CHOOSE($B$3,J119,J120,J121)</f>
        <v>9.3950457373218305E-2</v>
      </c>
      <c r="K117" s="215">
        <f>CHOOSE($B$3,K119,K120,K121)</f>
        <v>9.3950457373218305E-2</v>
      </c>
    </row>
    <row r="118" spans="2:11">
      <c r="G118" s="215"/>
      <c r="H118" s="215"/>
      <c r="I118" s="215"/>
      <c r="J118" s="215"/>
      <c r="K118" s="215"/>
    </row>
    <row r="119" spans="2:11">
      <c r="D119" t="s">
        <v>13</v>
      </c>
      <c r="G119" s="215">
        <f>'Assumption table'!$F$63</f>
        <v>9.3950457373218305E-2</v>
      </c>
      <c r="H119" s="215">
        <f>'Assumption table'!$F$63</f>
        <v>9.3950457373218305E-2</v>
      </c>
      <c r="I119" s="215">
        <f>'Assumption table'!$F$63</f>
        <v>9.3950457373218305E-2</v>
      </c>
      <c r="J119" s="215">
        <f>'Assumption table'!$F$63</f>
        <v>9.3950457373218305E-2</v>
      </c>
      <c r="K119" s="215">
        <f>'Assumption table'!$F$63</f>
        <v>9.3950457373218305E-2</v>
      </c>
    </row>
    <row r="120" spans="2:11">
      <c r="D120" t="s">
        <v>15</v>
      </c>
      <c r="G120" s="363">
        <f>G119+'Assumption table'!$F$161</f>
        <v>7.3950457373218301E-2</v>
      </c>
      <c r="H120" s="363">
        <f>H119+'Assumption table'!$F$161</f>
        <v>7.3950457373218301E-2</v>
      </c>
      <c r="I120" s="363">
        <f>I119+'Assumption table'!$F$161</f>
        <v>7.3950457373218301E-2</v>
      </c>
      <c r="J120" s="363">
        <f>J119+'Assumption table'!$F$161</f>
        <v>7.3950457373218301E-2</v>
      </c>
      <c r="K120" s="363">
        <f>K119+'Assumption table'!$F$161</f>
        <v>7.3950457373218301E-2</v>
      </c>
    </row>
    <row r="121" spans="2:11">
      <c r="D121" t="s">
        <v>17</v>
      </c>
      <c r="G121" s="363">
        <f>G119+'Assumption table'!$F$162</f>
        <v>0.11395045737321831</v>
      </c>
      <c r="H121" s="363">
        <f>H119+'Assumption table'!$F$162</f>
        <v>0.11395045737321831</v>
      </c>
      <c r="I121" s="363">
        <f>I119+'Assumption table'!$F$162</f>
        <v>0.11395045737321831</v>
      </c>
      <c r="J121" s="363">
        <f>J119+'Assumption table'!$F$162</f>
        <v>0.11395045737321831</v>
      </c>
      <c r="K121" s="363">
        <f>K119+'Assumption table'!$F$162</f>
        <v>0.11395045737321831</v>
      </c>
    </row>
    <row r="123" spans="2:11">
      <c r="B123" s="40" t="s">
        <v>46</v>
      </c>
    </row>
    <row r="124" spans="2:11">
      <c r="C124" t="s">
        <v>89</v>
      </c>
    </row>
    <row r="125" spans="2:11">
      <c r="D125" s="40" t="s">
        <v>278</v>
      </c>
      <c r="G125" s="215">
        <f>CHOOSE($B$3,G127,G128,G129)</f>
        <v>0.1410578226798978</v>
      </c>
      <c r="H125" s="215">
        <f>CHOOSE($B$3,H127,H128,H129)</f>
        <v>0.1410578226798978</v>
      </c>
      <c r="I125" s="215">
        <f>CHOOSE($B$3,I127,I128,I129)</f>
        <v>0.1410578226798978</v>
      </c>
      <c r="J125" s="215">
        <f>CHOOSE($B$3,J127,J128,J129)</f>
        <v>0.1410578226798978</v>
      </c>
      <c r="K125" s="215">
        <f>CHOOSE($B$3,K127,K128,K129)</f>
        <v>0.1410578226798978</v>
      </c>
    </row>
    <row r="126" spans="2:11">
      <c r="G126" s="215"/>
      <c r="H126" s="215"/>
      <c r="I126" s="215"/>
      <c r="J126" s="215"/>
      <c r="K126" s="215"/>
    </row>
    <row r="127" spans="2:11">
      <c r="D127" t="s">
        <v>13</v>
      </c>
      <c r="G127" s="215">
        <f>'Assumption table'!$F$65</f>
        <v>0.1410578226798978</v>
      </c>
      <c r="H127" s="215">
        <f>'Assumption table'!$F$65</f>
        <v>0.1410578226798978</v>
      </c>
      <c r="I127" s="215">
        <f>'Assumption table'!$F$65</f>
        <v>0.1410578226798978</v>
      </c>
      <c r="J127" s="215">
        <f>'Assumption table'!$F$65</f>
        <v>0.1410578226798978</v>
      </c>
      <c r="K127" s="215">
        <f>'Assumption table'!$F$65</f>
        <v>0.1410578226798978</v>
      </c>
    </row>
    <row r="128" spans="2:11">
      <c r="D128" t="s">
        <v>15</v>
      </c>
      <c r="G128" s="363">
        <f>G127+'Assumption table'!$F$158</f>
        <v>0.1210578226798978</v>
      </c>
      <c r="H128" s="363">
        <f>H127+'Assumption table'!$F$158</f>
        <v>0.1210578226798978</v>
      </c>
      <c r="I128" s="363">
        <f>I127+'Assumption table'!$F$158</f>
        <v>0.1210578226798978</v>
      </c>
      <c r="J128" s="363">
        <f>J127+'Assumption table'!$F$158</f>
        <v>0.1210578226798978</v>
      </c>
      <c r="K128" s="363">
        <f>K127+'Assumption table'!$F$158</f>
        <v>0.1210578226798978</v>
      </c>
    </row>
    <row r="129" spans="2:11">
      <c r="D129" t="s">
        <v>17</v>
      </c>
      <c r="G129" s="363">
        <f>G127+'Assumption table'!$F$159</f>
        <v>0.16105782267989779</v>
      </c>
      <c r="H129" s="363">
        <f>H127+'Assumption table'!$F$159</f>
        <v>0.16105782267989779</v>
      </c>
      <c r="I129" s="363">
        <f>I127+'Assumption table'!$F$159</f>
        <v>0.16105782267989779</v>
      </c>
      <c r="J129" s="363">
        <f>J127+'Assumption table'!$F$159</f>
        <v>0.16105782267989779</v>
      </c>
      <c r="K129" s="363">
        <f>K127+'Assumption table'!$F$159</f>
        <v>0.16105782267989779</v>
      </c>
    </row>
    <row r="131" spans="2:11">
      <c r="C131" t="s">
        <v>283</v>
      </c>
    </row>
    <row r="132" spans="2:11">
      <c r="D132" s="40" t="s">
        <v>278</v>
      </c>
      <c r="G132" s="215">
        <f>CHOOSE($B$3,G134,G135,G136)</f>
        <v>0.14420478561033315</v>
      </c>
      <c r="H132" s="215">
        <f>CHOOSE($B$3,H134,H135,H136)</f>
        <v>0.14420478561033315</v>
      </c>
      <c r="I132" s="215">
        <f>CHOOSE($B$3,I134,I135,I136)</f>
        <v>0.14420478561033315</v>
      </c>
      <c r="J132" s="215">
        <f>CHOOSE($B$3,J134,J135,J136)</f>
        <v>0.14420478561033315</v>
      </c>
      <c r="K132" s="215">
        <f>CHOOSE($B$3,K134,K135,K136)</f>
        <v>0.14420478561033315</v>
      </c>
    </row>
    <row r="133" spans="2:11">
      <c r="G133" s="215"/>
      <c r="H133" s="215"/>
      <c r="I133" s="215"/>
      <c r="J133" s="215"/>
      <c r="K133" s="215"/>
    </row>
    <row r="134" spans="2:11">
      <c r="D134" t="s">
        <v>13</v>
      </c>
      <c r="G134" s="215">
        <f>'Assumption table'!$F$67</f>
        <v>0.14420478561033315</v>
      </c>
      <c r="H134" s="215">
        <f>'Assumption table'!$F$67</f>
        <v>0.14420478561033315</v>
      </c>
      <c r="I134" s="215">
        <f>'Assumption table'!$F$67</f>
        <v>0.14420478561033315</v>
      </c>
      <c r="J134" s="215">
        <f>'Assumption table'!$F$67</f>
        <v>0.14420478561033315</v>
      </c>
      <c r="K134" s="215">
        <f>'Assumption table'!$F$67</f>
        <v>0.14420478561033315</v>
      </c>
    </row>
    <row r="135" spans="2:11">
      <c r="D135" t="s">
        <v>15</v>
      </c>
      <c r="G135" s="363">
        <f>G134+'Assumption table'!$F$161</f>
        <v>0.12420478561033314</v>
      </c>
      <c r="H135" s="363">
        <f>H134+'Assumption table'!$F$161</f>
        <v>0.12420478561033314</v>
      </c>
      <c r="I135" s="363">
        <f>I134+'Assumption table'!$F$161</f>
        <v>0.12420478561033314</v>
      </c>
      <c r="J135" s="363">
        <f>J134+'Assumption table'!$F$161</f>
        <v>0.12420478561033314</v>
      </c>
      <c r="K135" s="363">
        <f>K134+'Assumption table'!$F$161</f>
        <v>0.12420478561033314</v>
      </c>
    </row>
    <row r="136" spans="2:11">
      <c r="D136" t="s">
        <v>17</v>
      </c>
      <c r="G136" s="363">
        <f>G134+'Assumption table'!$F$162</f>
        <v>0.16420478561033314</v>
      </c>
      <c r="H136" s="363">
        <f>H134+'Assumption table'!$F$162</f>
        <v>0.16420478561033314</v>
      </c>
      <c r="I136" s="363">
        <f>I134+'Assumption table'!$F$162</f>
        <v>0.16420478561033314</v>
      </c>
      <c r="J136" s="363">
        <f>J134+'Assumption table'!$F$162</f>
        <v>0.16420478561033314</v>
      </c>
      <c r="K136" s="363">
        <f>K134+'Assumption table'!$F$162</f>
        <v>0.16420478561033314</v>
      </c>
    </row>
    <row r="138" spans="2:11">
      <c r="B138" s="40"/>
    </row>
    <row r="139" spans="2:11">
      <c r="B139" s="90"/>
      <c r="C139" s="90"/>
      <c r="D139" s="90"/>
      <c r="E139" s="90"/>
      <c r="F139" s="90"/>
      <c r="G139" s="90"/>
      <c r="H139" s="90"/>
      <c r="I139" s="90"/>
      <c r="J139" s="90"/>
      <c r="K139" s="90"/>
    </row>
    <row r="141" spans="2:11">
      <c r="B141" s="40" t="s">
        <v>284</v>
      </c>
    </row>
    <row r="142" spans="2:11">
      <c r="D142" s="40" t="s">
        <v>278</v>
      </c>
      <c r="G142" s="42">
        <f>CHOOSE($B$3,G144,G145,G146)</f>
        <v>0.03</v>
      </c>
      <c r="H142" s="42">
        <f>CHOOSE($B$3,H144,H145,H146)</f>
        <v>0.03</v>
      </c>
      <c r="I142" s="42">
        <f>CHOOSE($B$3,I144,I145,I146)</f>
        <v>0.03</v>
      </c>
      <c r="J142" s="42">
        <f>CHOOSE($B$3,J144,J145,J146)</f>
        <v>0.03</v>
      </c>
      <c r="K142" s="42">
        <f>CHOOSE($B$3,K144,K145,K146)</f>
        <v>0.03</v>
      </c>
    </row>
    <row r="143" spans="2:11">
      <c r="G143" s="42"/>
      <c r="H143" s="42"/>
      <c r="I143" s="42"/>
      <c r="J143" s="42"/>
      <c r="K143" s="42"/>
    </row>
    <row r="144" spans="2:11">
      <c r="D144" t="s">
        <v>13</v>
      </c>
      <c r="G144" s="42">
        <f>'Assumption table'!$K$50</f>
        <v>0.03</v>
      </c>
      <c r="H144" s="42">
        <f>'Assumption table'!$K$50</f>
        <v>0.03</v>
      </c>
      <c r="I144" s="42">
        <f>'Assumption table'!$K$50</f>
        <v>0.03</v>
      </c>
      <c r="J144" s="42">
        <f>'Assumption table'!$K$50</f>
        <v>0.03</v>
      </c>
      <c r="K144" s="42">
        <f>'Assumption table'!$K$50</f>
        <v>0.03</v>
      </c>
    </row>
    <row r="145" spans="2:11">
      <c r="D145" t="s">
        <v>15</v>
      </c>
      <c r="G145" s="364">
        <f>G144+'Assumption table'!$F$165</f>
        <v>0.04</v>
      </c>
      <c r="H145" s="364">
        <f>H144+'Assumption table'!$F$165</f>
        <v>0.04</v>
      </c>
      <c r="I145" s="364">
        <f>I144+'Assumption table'!$F$165</f>
        <v>0.04</v>
      </c>
      <c r="J145" s="364">
        <f>J144+'Assumption table'!$F$165</f>
        <v>0.04</v>
      </c>
      <c r="K145" s="364">
        <f>K144+'Assumption table'!$F$165</f>
        <v>0.04</v>
      </c>
    </row>
    <row r="146" spans="2:11">
      <c r="D146" t="s">
        <v>17</v>
      </c>
      <c r="G146" s="364">
        <f>G144-'Assumption table'!$F$166</f>
        <v>0.04</v>
      </c>
      <c r="H146" s="364">
        <f>H144-'Assumption table'!$F$166</f>
        <v>0.04</v>
      </c>
      <c r="I146" s="364">
        <f>I144-'Assumption table'!$F$166</f>
        <v>0.04</v>
      </c>
      <c r="J146" s="364">
        <f>J144-'Assumption table'!$F$166</f>
        <v>0.04</v>
      </c>
      <c r="K146" s="364">
        <f>K144-'Assumption table'!$F$166</f>
        <v>0.04</v>
      </c>
    </row>
    <row r="148" spans="2:11">
      <c r="B148" s="40" t="s">
        <v>125</v>
      </c>
    </row>
    <row r="149" spans="2:11">
      <c r="C149" t="s">
        <v>285</v>
      </c>
    </row>
    <row r="150" spans="2:11">
      <c r="D150" s="40" t="s">
        <v>278</v>
      </c>
      <c r="G150" s="42">
        <f>CHOOSE($B$3,G152,G153,G154)</f>
        <v>7.7355255931171901E-2</v>
      </c>
      <c r="H150" s="42">
        <f>CHOOSE($B$3,H152,H153,H154)</f>
        <v>7.7355255931171901E-2</v>
      </c>
      <c r="I150" s="42">
        <f>CHOOSE($B$3,I152,I153,I154)</f>
        <v>7.7355255931171901E-2</v>
      </c>
      <c r="J150" s="42">
        <f>CHOOSE($B$3,J152,J153,J154)</f>
        <v>7.7355255931171901E-2</v>
      </c>
      <c r="K150" s="42">
        <f>CHOOSE($B$3,K152,K153,K154)</f>
        <v>7.7355255931171901E-2</v>
      </c>
    </row>
    <row r="151" spans="2:11">
      <c r="G151" s="42"/>
      <c r="H151" s="42"/>
      <c r="I151" s="42"/>
      <c r="J151" s="42"/>
      <c r="K151" s="42"/>
    </row>
    <row r="152" spans="2:11">
      <c r="D152" t="s">
        <v>13</v>
      </c>
      <c r="G152" s="42">
        <f>'WACC Model'!B17</f>
        <v>7.7355255931171901E-2</v>
      </c>
      <c r="H152" s="42">
        <f>'WACC Model'!B17</f>
        <v>7.7355255931171901E-2</v>
      </c>
      <c r="I152" s="42">
        <f>'WACC Model'!B17</f>
        <v>7.7355255931171901E-2</v>
      </c>
      <c r="J152" s="42">
        <f>'WACC Model'!B17</f>
        <v>7.7355255931171901E-2</v>
      </c>
      <c r="K152" s="42">
        <f>'WACC Model'!B17</f>
        <v>7.7355255931171901E-2</v>
      </c>
    </row>
    <row r="153" spans="2:11">
      <c r="D153" t="s">
        <v>15</v>
      </c>
      <c r="G153" s="364">
        <f>G152-'Assumption table'!$F$168</f>
        <v>8.7355255931171896E-2</v>
      </c>
      <c r="H153" s="364">
        <f>H152-'Assumption table'!$F$168</f>
        <v>8.7355255931171896E-2</v>
      </c>
      <c r="I153" s="364">
        <f>I152-'Assumption table'!$F$168</f>
        <v>8.7355255931171896E-2</v>
      </c>
      <c r="J153" s="364">
        <f>J152-'Assumption table'!$F$168</f>
        <v>8.7355255931171896E-2</v>
      </c>
      <c r="K153" s="364">
        <f>K152-'Assumption table'!$F$168</f>
        <v>8.7355255931171896E-2</v>
      </c>
    </row>
    <row r="154" spans="2:11">
      <c r="D154" t="s">
        <v>17</v>
      </c>
      <c r="G154" s="364">
        <f>G152-'Assumption table'!$F$169</f>
        <v>7.6855255931171901E-2</v>
      </c>
      <c r="H154" s="364">
        <f>H152-'Assumption table'!$F$169</f>
        <v>7.6855255931171901E-2</v>
      </c>
      <c r="I154" s="364">
        <f>I152-'Assumption table'!$F$169</f>
        <v>7.6855255931171901E-2</v>
      </c>
      <c r="J154" s="364">
        <f>J152-'Assumption table'!$F$169</f>
        <v>7.6855255931171901E-2</v>
      </c>
      <c r="K154" s="364">
        <f>K152-'Assumption table'!$F$169</f>
        <v>7.6855255931171901E-2</v>
      </c>
    </row>
    <row r="156" spans="2:11">
      <c r="C156" t="s">
        <v>286</v>
      </c>
    </row>
    <row r="157" spans="2:11">
      <c r="D157" s="40" t="s">
        <v>278</v>
      </c>
      <c r="G157" s="42">
        <f>CHOOSE($B$3,G159,G160,G161)</f>
        <v>4.1877805070985472E-2</v>
      </c>
      <c r="H157" s="42">
        <f>CHOOSE($B$3,H159,H160,H161)</f>
        <v>4.1877805070985472E-2</v>
      </c>
      <c r="I157" s="42">
        <f>CHOOSE($B$3,I159,I160,I161)</f>
        <v>4.1877805070985472E-2</v>
      </c>
      <c r="J157" s="42">
        <f>CHOOSE($B$3,J159,J160,J161)</f>
        <v>4.1877805070985472E-2</v>
      </c>
      <c r="K157" s="42">
        <f>CHOOSE($B$3,K159,K160,K161)</f>
        <v>4.1877805070985472E-2</v>
      </c>
    </row>
    <row r="158" spans="2:11">
      <c r="G158" s="42"/>
      <c r="H158" s="42"/>
      <c r="I158" s="42"/>
      <c r="J158" s="42"/>
      <c r="K158" s="42"/>
    </row>
    <row r="159" spans="2:11">
      <c r="D159" t="s">
        <v>13</v>
      </c>
      <c r="G159" s="42">
        <f>'WACC Model'!F10</f>
        <v>4.1877805070985472E-2</v>
      </c>
      <c r="H159" s="42">
        <f>'WACC Model'!F10</f>
        <v>4.1877805070985472E-2</v>
      </c>
      <c r="I159" s="42">
        <f>'WACC Model'!F10</f>
        <v>4.1877805070985472E-2</v>
      </c>
      <c r="J159" s="42">
        <f>'WACC Model'!F10</f>
        <v>4.1877805070985472E-2</v>
      </c>
      <c r="K159" s="42">
        <f>'WACC Model'!F10</f>
        <v>4.1877805070985472E-2</v>
      </c>
    </row>
    <row r="160" spans="2:11">
      <c r="D160" t="s">
        <v>15</v>
      </c>
      <c r="G160" s="364">
        <f>G159-'Assumption table'!$F$168</f>
        <v>5.1877805070985474E-2</v>
      </c>
      <c r="H160" s="364">
        <f>H159-'Assumption table'!$F$168</f>
        <v>5.1877805070985474E-2</v>
      </c>
      <c r="I160" s="364">
        <f>I159-'Assumption table'!$F$168</f>
        <v>5.1877805070985474E-2</v>
      </c>
      <c r="J160" s="364">
        <f>J159-'Assumption table'!$F$168</f>
        <v>5.1877805070985474E-2</v>
      </c>
      <c r="K160" s="364">
        <f>K159-'Assumption table'!$F$168</f>
        <v>5.1877805070985474E-2</v>
      </c>
    </row>
    <row r="161" spans="4:12">
      <c r="D161" t="s">
        <v>17</v>
      </c>
      <c r="G161" s="364">
        <f>G159-'Assumption table'!$F$169</f>
        <v>4.1377805070985471E-2</v>
      </c>
      <c r="H161" s="364">
        <f>H159-'Assumption table'!$F$169</f>
        <v>4.1377805070985471E-2</v>
      </c>
      <c r="I161" s="364">
        <f>I159-'Assumption table'!$F$169</f>
        <v>4.1377805070985471E-2</v>
      </c>
      <c r="J161" s="364">
        <f>J159-'Assumption table'!$F$169</f>
        <v>4.1377805070985471E-2</v>
      </c>
      <c r="K161" s="364">
        <f>K159-'Assumption table'!$F$169</f>
        <v>4.1377805070985471E-2</v>
      </c>
      <c r="L161" s="93"/>
    </row>
  </sheetData>
  <pageMargins left="0.7" right="0.7" top="0.75" bottom="0.75" header="0.3" footer="0.3"/>
  <pageSetup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7170" r:id="rId3" name="Drop Down 2">
              <controlPr defaultSize="0" autoLine="0" autoPict="0">
                <anchor moveWithCells="1">
                  <from>
                    <xdr:col>1</xdr:col>
                    <xdr:colOff>0</xdr:colOff>
                    <xdr:row>2</xdr:row>
                    <xdr:rowOff>0</xdr:rowOff>
                  </from>
                  <to>
                    <xdr:col>1</xdr:col>
                    <xdr:colOff>1422400</xdr:colOff>
                    <xdr:row>4</xdr:row>
                    <xdr:rowOff>139700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7C3AE-FC5E-B444-8AF2-3391A59B71E2}">
  <dimension ref="A1:G27"/>
  <sheetViews>
    <sheetView showGridLines="0" workbookViewId="0"/>
  </sheetViews>
  <sheetFormatPr baseColWidth="10" defaultColWidth="11" defaultRowHeight="16"/>
  <cols>
    <col min="1" max="1" width="44.33203125" customWidth="1"/>
    <col min="2" max="2" width="24.33203125" customWidth="1"/>
    <col min="3" max="3" width="18.6640625" customWidth="1"/>
    <col min="4" max="4" width="53.33203125" customWidth="1"/>
    <col min="5" max="11" width="14.1640625" customWidth="1"/>
  </cols>
  <sheetData>
    <row r="1" spans="1:7">
      <c r="A1" s="185" t="s">
        <v>287</v>
      </c>
    </row>
    <row r="2" spans="1:7">
      <c r="A2" s="40" t="s">
        <v>288</v>
      </c>
    </row>
    <row r="3" spans="1:7">
      <c r="A3" s="209" t="s">
        <v>289</v>
      </c>
      <c r="B3" s="209" t="s">
        <v>290</v>
      </c>
      <c r="C3" s="209" t="s">
        <v>291</v>
      </c>
      <c r="D3" s="209" t="s">
        <v>292</v>
      </c>
      <c r="E3" s="209" t="s">
        <v>293</v>
      </c>
      <c r="F3" s="209" t="s">
        <v>294</v>
      </c>
    </row>
    <row r="4" spans="1:7">
      <c r="A4" t="s">
        <v>295</v>
      </c>
      <c r="B4" t="s">
        <v>296</v>
      </c>
      <c r="C4" s="224">
        <f>'Data Source'!C616</f>
        <v>400</v>
      </c>
      <c r="D4" s="203">
        <f>'Data Source'!D616</f>
        <v>2.3E-2</v>
      </c>
      <c r="E4" s="206">
        <f t="shared" ref="E4:E9" si="0">C4/$C$10</f>
        <v>0.16653482659561181</v>
      </c>
      <c r="F4" s="206">
        <f t="shared" ref="F4:F9" si="1">D4*E4</f>
        <v>3.8303010116990713E-3</v>
      </c>
    </row>
    <row r="5" spans="1:7">
      <c r="A5" t="s">
        <v>297</v>
      </c>
      <c r="B5" t="s">
        <v>296</v>
      </c>
      <c r="C5" s="224">
        <f>'Data Source'!C617</f>
        <v>425</v>
      </c>
      <c r="D5" s="203">
        <f>'Data Source'!D617</f>
        <v>3.15E-2</v>
      </c>
      <c r="E5" s="206">
        <f t="shared" si="0"/>
        <v>0.17694325325783755</v>
      </c>
      <c r="F5" s="206">
        <f t="shared" si="1"/>
        <v>5.5737124776218828E-3</v>
      </c>
    </row>
    <row r="6" spans="1:7">
      <c r="A6" t="s">
        <v>298</v>
      </c>
      <c r="B6" t="s">
        <v>296</v>
      </c>
      <c r="C6" s="224">
        <f>'Data Source'!C618</f>
        <v>400</v>
      </c>
      <c r="D6" s="203">
        <f>'Data Source'!D618</f>
        <v>3.95E-2</v>
      </c>
      <c r="E6" s="206">
        <f t="shared" si="0"/>
        <v>0.16653482659561181</v>
      </c>
      <c r="F6" s="206">
        <f t="shared" si="1"/>
        <v>6.5781256505266662E-3</v>
      </c>
    </row>
    <row r="7" spans="1:7">
      <c r="A7" t="s">
        <v>299</v>
      </c>
      <c r="B7" t="s">
        <v>296</v>
      </c>
      <c r="C7" s="224">
        <f>'Data Source'!C619</f>
        <v>500</v>
      </c>
      <c r="D7" s="203">
        <f>'Data Source'!D619</f>
        <v>0.05</v>
      </c>
      <c r="E7" s="206">
        <f t="shared" si="0"/>
        <v>0.20816853324451476</v>
      </c>
      <c r="F7" s="206">
        <f t="shared" si="1"/>
        <v>1.0408426662225738E-2</v>
      </c>
    </row>
    <row r="8" spans="1:7">
      <c r="A8" t="s">
        <v>300</v>
      </c>
      <c r="B8" t="s">
        <v>296</v>
      </c>
      <c r="C8" s="224">
        <f>'Data Source'!C620</f>
        <v>500</v>
      </c>
      <c r="D8" s="203">
        <f>'Data Source'!D620</f>
        <v>5.6000000000000001E-2</v>
      </c>
      <c r="E8" s="206">
        <f t="shared" si="0"/>
        <v>0.20816853324451476</v>
      </c>
      <c r="F8" s="206">
        <f t="shared" si="1"/>
        <v>1.1657437861692826E-2</v>
      </c>
    </row>
    <row r="9" spans="1:7">
      <c r="A9" t="s">
        <v>301</v>
      </c>
      <c r="B9" t="s">
        <v>302</v>
      </c>
      <c r="C9" s="224">
        <f>'Data Source'!C622</f>
        <v>176.9</v>
      </c>
      <c r="D9" s="203">
        <f>'Data Source'!D622</f>
        <v>5.1999999999999998E-2</v>
      </c>
      <c r="E9" s="206">
        <f t="shared" si="0"/>
        <v>7.3650027061909318E-2</v>
      </c>
      <c r="F9" s="206">
        <f t="shared" si="1"/>
        <v>3.8298014072192842E-3</v>
      </c>
    </row>
    <row r="10" spans="1:7" ht="17" thickBot="1">
      <c r="A10" s="228" t="s">
        <v>303</v>
      </c>
      <c r="B10" s="229"/>
      <c r="C10" s="230">
        <f>SUM(C4:C9)</f>
        <v>2401.9</v>
      </c>
      <c r="D10" s="229"/>
      <c r="E10" s="229"/>
      <c r="F10" s="231">
        <f>SUM(F4:F9)</f>
        <v>4.1877805070985472E-2</v>
      </c>
      <c r="G10" s="185" t="s">
        <v>304</v>
      </c>
    </row>
    <row r="11" spans="1:7" ht="17" thickTop="1"/>
    <row r="13" spans="1:7">
      <c r="A13" s="40" t="s">
        <v>305</v>
      </c>
    </row>
    <row r="14" spans="1:7">
      <c r="A14" t="s">
        <v>306</v>
      </c>
      <c r="B14" s="155">
        <f>SLOPE('Data Source'!D656:D726,'Data Source'!E656:E726)</f>
        <v>0.5300955623849436</v>
      </c>
    </row>
    <row r="15" spans="1:7">
      <c r="A15" t="s">
        <v>307</v>
      </c>
      <c r="B15" s="204">
        <v>5.5E-2</v>
      </c>
    </row>
    <row r="16" spans="1:7">
      <c r="A16" t="s">
        <v>308</v>
      </c>
      <c r="B16" s="205">
        <v>4.82E-2</v>
      </c>
      <c r="C16" t="s">
        <v>309</v>
      </c>
      <c r="E16" t="s">
        <v>310</v>
      </c>
    </row>
    <row r="17" spans="1:3">
      <c r="A17" s="40" t="s">
        <v>311</v>
      </c>
      <c r="B17" s="207">
        <f>B16+B14*B15</f>
        <v>7.7355255931171901E-2</v>
      </c>
      <c r="C17" t="s">
        <v>312</v>
      </c>
    </row>
    <row r="20" spans="1:3">
      <c r="A20" s="40" t="s">
        <v>313</v>
      </c>
    </row>
    <row r="21" spans="1:3">
      <c r="A21" t="s">
        <v>314</v>
      </c>
      <c r="B21" s="204">
        <v>0.23</v>
      </c>
    </row>
    <row r="22" spans="1:3">
      <c r="A22" t="s">
        <v>315</v>
      </c>
      <c r="B22" s="225">
        <f>'Data Source'!B726*'Data Source'!G421</f>
        <v>20421.037</v>
      </c>
      <c r="C22" t="s">
        <v>316</v>
      </c>
    </row>
    <row r="23" spans="1:3">
      <c r="A23" t="s">
        <v>317</v>
      </c>
      <c r="B23" s="225">
        <f>C10</f>
        <v>2401.9</v>
      </c>
      <c r="C23" t="s">
        <v>318</v>
      </c>
    </row>
    <row r="24" spans="1:3">
      <c r="A24" t="s">
        <v>319</v>
      </c>
      <c r="B24" s="206">
        <f>B22/(B22+B23)</f>
        <v>0.8947593817570455</v>
      </c>
    </row>
    <row r="25" spans="1:3">
      <c r="A25" t="s">
        <v>320</v>
      </c>
      <c r="B25" s="206">
        <f>B23/(B22+B23)</f>
        <v>0.10524061824295444</v>
      </c>
    </row>
    <row r="26" spans="1:3" ht="17" thickBot="1">
      <c r="A26" s="232" t="s">
        <v>321</v>
      </c>
      <c r="B26" s="233">
        <f>B24*B17+B25*F10*(1-B21)</f>
        <v>7.2607920466806308E-2</v>
      </c>
    </row>
    <row r="27" spans="1:3" ht="17" thickTop="1"/>
  </sheetData>
  <pageMargins left="0.7" right="0.7" top="0.75" bottom="0.75" header="0.3" footer="0.3"/>
  <pageSetup orientation="portrait" horizontalDpi="0" verticalDpi="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173D-AF4B-4A4E-9846-AE253F6100D9}">
  <dimension ref="A3:J44"/>
  <sheetViews>
    <sheetView showGridLines="0" topLeftCell="A16" workbookViewId="0">
      <selection activeCell="D33" sqref="D33"/>
    </sheetView>
  </sheetViews>
  <sheetFormatPr baseColWidth="10" defaultColWidth="11" defaultRowHeight="16"/>
  <cols>
    <col min="1" max="1" width="38.1640625" bestFit="1" customWidth="1"/>
    <col min="3" max="3" width="63.33203125" customWidth="1"/>
    <col min="8" max="8" width="8.1640625" bestFit="1" customWidth="1"/>
  </cols>
  <sheetData>
    <row r="3" spans="1:8">
      <c r="F3" s="202" t="str">
        <f>"Currently Running: "&amp;CHOOSE('Scenarios Table'!B3,"BASE CASE","BEST CASE","WORST CASE")</f>
        <v>Currently Running: BASE CASE</v>
      </c>
    </row>
    <row r="4" spans="1:8">
      <c r="A4" t="s">
        <v>285</v>
      </c>
      <c r="B4" s="206">
        <f>'Scenarios Table'!G150</f>
        <v>7.7355255931171901E-2</v>
      </c>
    </row>
    <row r="5" spans="1:8">
      <c r="A5" t="s">
        <v>286</v>
      </c>
      <c r="B5" s="206">
        <f>'Scenarios Table'!G157</f>
        <v>4.1877805070985472E-2</v>
      </c>
    </row>
    <row r="6" spans="1:8">
      <c r="A6" t="s">
        <v>321</v>
      </c>
      <c r="B6" s="206">
        <f>'WACC Model'!B24*B4+'WACC Model'!B25*B5*(1-'WACC Model'!B21)</f>
        <v>7.2607920466806308E-2</v>
      </c>
    </row>
    <row r="7" spans="1:8">
      <c r="A7" t="s">
        <v>323</v>
      </c>
      <c r="B7" s="206">
        <f>'Scenarios Table'!G142</f>
        <v>0.03</v>
      </c>
      <c r="D7" s="40">
        <v>2026</v>
      </c>
      <c r="E7" s="40">
        <v>2027</v>
      </c>
      <c r="F7" s="40">
        <v>2028</v>
      </c>
      <c r="G7" s="40">
        <v>2029</v>
      </c>
      <c r="H7" s="40">
        <v>2030</v>
      </c>
    </row>
    <row r="9" spans="1:8">
      <c r="C9" s="185" t="s">
        <v>324</v>
      </c>
    </row>
    <row r="11" spans="1:8">
      <c r="C11" s="216" t="s">
        <v>325</v>
      </c>
    </row>
    <row r="12" spans="1:8">
      <c r="C12" t="s">
        <v>326</v>
      </c>
      <c r="D12" s="217">
        <f>Model!E266</f>
        <v>838.04122813750985</v>
      </c>
      <c r="E12" s="217">
        <f>Model!F266</f>
        <v>884.07465732958417</v>
      </c>
      <c r="F12" s="217">
        <f>Model!G266</f>
        <v>932.16714965046594</v>
      </c>
      <c r="G12" s="217">
        <f>Model!H266</f>
        <v>982.41355151488006</v>
      </c>
      <c r="H12" s="217">
        <f>Model!I266</f>
        <v>1034.9132352992185</v>
      </c>
    </row>
    <row r="13" spans="1:8">
      <c r="C13" t="s">
        <v>142</v>
      </c>
      <c r="D13" s="217">
        <f>Model!E276+Model!E277</f>
        <v>265.66044738860046</v>
      </c>
      <c r="E13" s="217">
        <f>Model!F276+Model!F277</f>
        <v>270.14631810877228</v>
      </c>
      <c r="F13" s="217">
        <f>Model!G276+Model!G277</f>
        <v>274.84063039364855</v>
      </c>
      <c r="G13" s="217">
        <f>Model!H276+Model!H277</f>
        <v>279.75342278681671</v>
      </c>
      <c r="H13" s="217">
        <f>Model!I276+Model!I277</f>
        <v>284.89523659712239</v>
      </c>
    </row>
    <row r="14" spans="1:8">
      <c r="C14" t="s">
        <v>327</v>
      </c>
      <c r="D14" s="217">
        <f>Model!E301</f>
        <v>-121.26666299050112</v>
      </c>
      <c r="E14" s="217">
        <f>Model!F301</f>
        <v>-81.949889696846327</v>
      </c>
      <c r="F14" s="217">
        <f>Model!G301</f>
        <v>-85.757793290446514</v>
      </c>
      <c r="G14" s="217">
        <f>Model!H301</f>
        <v>-89.749085481495541</v>
      </c>
      <c r="H14" s="217">
        <f>Model!I301</f>
        <v>-93.932951010263523</v>
      </c>
    </row>
    <row r="15" spans="1:8">
      <c r="C15" t="s">
        <v>328</v>
      </c>
      <c r="D15" s="217">
        <f>Model!E298</f>
        <v>-182.95034471550943</v>
      </c>
      <c r="E15" s="217">
        <f>Model!F298</f>
        <v>5.5594104266767417</v>
      </c>
      <c r="F15" s="217">
        <f>Model!G298</f>
        <v>5.8177353496308584</v>
      </c>
      <c r="G15" s="217">
        <f>Model!H298</f>
        <v>6.0885011981868544</v>
      </c>
      <c r="H15" s="217">
        <f>Model!I298</f>
        <v>6.372331057268724</v>
      </c>
    </row>
    <row r="16" spans="1:8">
      <c r="C16" t="s">
        <v>329</v>
      </c>
      <c r="D16" s="217">
        <f>Model!E309+Model!E310+Model!E311</f>
        <v>0</v>
      </c>
      <c r="E16" s="217">
        <f>Model!F309+Model!F310+Model!F311</f>
        <v>0</v>
      </c>
      <c r="F16" s="217">
        <f>Model!G309+Model!G310+Model!G311</f>
        <v>0</v>
      </c>
      <c r="G16" s="217">
        <f>Model!H309+Model!H310+Model!H311</f>
        <v>0</v>
      </c>
      <c r="H16" s="217">
        <f>Model!I309+Model!I310+Model!I311</f>
        <v>0</v>
      </c>
    </row>
    <row r="17" spans="3:8">
      <c r="C17" s="227" t="s">
        <v>330</v>
      </c>
      <c r="D17" s="234">
        <f>D12+D13+D14+D15+D16</f>
        <v>799.48466782009962</v>
      </c>
      <c r="E17" s="234">
        <f>E12+E13+E14+E15+E16</f>
        <v>1077.8304961681868</v>
      </c>
      <c r="F17" s="234">
        <f>F12+F13+F14+F15+F16</f>
        <v>1127.0677221032988</v>
      </c>
      <c r="G17" s="234">
        <f>G12+G13+G14+G15+G16</f>
        <v>1178.5063900183882</v>
      </c>
      <c r="H17" s="234">
        <f>H12+H13+H14+H15+H16</f>
        <v>1232.2478519433462</v>
      </c>
    </row>
    <row r="18" spans="3:8">
      <c r="C18" t="s">
        <v>331</v>
      </c>
      <c r="H18" s="217">
        <f>H17*(1+$B$7)/($B$4-$B$7)</f>
        <v>26801.994045737538</v>
      </c>
    </row>
    <row r="19" spans="3:8">
      <c r="C19" t="s">
        <v>332</v>
      </c>
      <c r="D19" s="217">
        <f>D17</f>
        <v>799.48466782009962</v>
      </c>
      <c r="E19" s="217">
        <f>E17</f>
        <v>1077.8304961681868</v>
      </c>
      <c r="F19" s="217">
        <f>F17</f>
        <v>1127.0677221032988</v>
      </c>
      <c r="G19" s="217">
        <f>G17</f>
        <v>1178.5063900183882</v>
      </c>
      <c r="H19" s="217">
        <f>H17+H18</f>
        <v>28034.241897680884</v>
      </c>
    </row>
    <row r="20" spans="3:8">
      <c r="C20" s="40" t="s">
        <v>333</v>
      </c>
      <c r="D20" s="226">
        <f>NPV($B$4,D19:H19)</f>
        <v>22761.746497353983</v>
      </c>
    </row>
    <row r="21" spans="3:8">
      <c r="C21" t="s">
        <v>334</v>
      </c>
      <c r="D21" s="217">
        <f>'Data Source'!G421</f>
        <v>244.3</v>
      </c>
    </row>
    <row r="22" spans="3:8">
      <c r="C22" s="40" t="s">
        <v>335</v>
      </c>
      <c r="D22" s="208">
        <f>D20/D21</f>
        <v>93.171291434113726</v>
      </c>
    </row>
    <row r="23" spans="3:8">
      <c r="C23" s="216" t="s">
        <v>336</v>
      </c>
    </row>
    <row r="24" spans="3:8">
      <c r="C24" t="s">
        <v>337</v>
      </c>
      <c r="D24" s="217">
        <f>-Model!E262*(1-'WACC Model'!$B$21)</f>
        <v>71.105455930763142</v>
      </c>
      <c r="E24" s="217">
        <f>-Model!F262*(1-'WACC Model'!$B$21)</f>
        <v>71.105455930763142</v>
      </c>
      <c r="F24" s="217">
        <f>-Model!G262*(1-'WACC Model'!$B$21)</f>
        <v>71.105455930763142</v>
      </c>
      <c r="G24" s="217">
        <f>-Model!H262*(1-'WACC Model'!$B$21)</f>
        <v>71.105455930763142</v>
      </c>
      <c r="H24" s="217">
        <f>-Model!I262*(1-'WACC Model'!$B$21)</f>
        <v>71.105455930763142</v>
      </c>
    </row>
    <row r="26" spans="3:8">
      <c r="C26" s="227" t="s">
        <v>338</v>
      </c>
      <c r="D26" s="234">
        <f>D17+D24-D16</f>
        <v>870.59012375086274</v>
      </c>
      <c r="E26" s="234">
        <f>E17+E24-E16</f>
        <v>1148.9359520989499</v>
      </c>
      <c r="F26" s="234">
        <f>F17+F24-F16</f>
        <v>1198.1731780340619</v>
      </c>
      <c r="G26" s="234">
        <f>G17+G24-G16</f>
        <v>1249.6118459491513</v>
      </c>
      <c r="H26" s="234">
        <f>H17+H24-H16</f>
        <v>1303.3533078741093</v>
      </c>
    </row>
    <row r="27" spans="3:8">
      <c r="C27" t="s">
        <v>331</v>
      </c>
      <c r="H27" s="217">
        <f>H26*(1+$B$7)/($B$6-$B$7)</f>
        <v>31507.144502773168</v>
      </c>
    </row>
    <row r="28" spans="3:8">
      <c r="C28" t="s">
        <v>336</v>
      </c>
      <c r="D28" s="217">
        <f>D26</f>
        <v>870.59012375086274</v>
      </c>
      <c r="E28" s="217">
        <f>E26</f>
        <v>1148.9359520989499</v>
      </c>
      <c r="F28" s="217">
        <f>F26</f>
        <v>1198.1731780340619</v>
      </c>
      <c r="G28" s="217">
        <f>G26</f>
        <v>1249.6118459491513</v>
      </c>
      <c r="H28" s="217">
        <f>H26+H27</f>
        <v>32810.497810647277</v>
      </c>
    </row>
    <row r="29" spans="3:8">
      <c r="C29" s="227" t="s">
        <v>339</v>
      </c>
      <c r="D29" s="234">
        <f>NPV($B$6,D28:H28)</f>
        <v>26835.762143894146</v>
      </c>
    </row>
    <row r="30" spans="3:8">
      <c r="C30" t="s">
        <v>340</v>
      </c>
      <c r="D30" s="217">
        <f>'Data Source'!G745</f>
        <v>2382</v>
      </c>
    </row>
    <row r="31" spans="3:8">
      <c r="C31" s="227" t="s">
        <v>333</v>
      </c>
      <c r="D31" s="234">
        <f>D29-D30</f>
        <v>24453.762143894146</v>
      </c>
    </row>
    <row r="32" spans="3:8" ht="17" thickBot="1">
      <c r="C32" t="s">
        <v>341</v>
      </c>
      <c r="D32" s="217">
        <f>D21</f>
        <v>244.3</v>
      </c>
    </row>
    <row r="33" spans="3:10" ht="18" thickTop="1" thickBot="1">
      <c r="C33" s="235" t="s">
        <v>342</v>
      </c>
      <c r="D33" s="236">
        <f>D31/D32</f>
        <v>100.09726624598504</v>
      </c>
    </row>
    <row r="34" spans="3:10" ht="17" thickTop="1"/>
    <row r="37" spans="3:10">
      <c r="F37" s="692" t="s">
        <v>869</v>
      </c>
      <c r="G37" s="692"/>
      <c r="H37" s="692"/>
      <c r="I37" s="692"/>
      <c r="J37" s="692"/>
    </row>
    <row r="38" spans="3:10">
      <c r="E38" s="689">
        <f>D33</f>
        <v>100.09726624598504</v>
      </c>
      <c r="F38" s="694">
        <v>0.01</v>
      </c>
      <c r="G38" s="694">
        <v>0.02</v>
      </c>
      <c r="H38" s="694">
        <v>0.03</v>
      </c>
      <c r="I38" s="694">
        <v>0.04</v>
      </c>
      <c r="J38" s="694">
        <v>0.05</v>
      </c>
    </row>
    <row r="39" spans="3:10">
      <c r="D39" s="693" t="s">
        <v>321</v>
      </c>
      <c r="E39" s="690">
        <v>7.0000000000000007E-2</v>
      </c>
      <c r="F39" s="688">
        <f t="dataTable" ref="F39:J44" dt2D="1" dtr="1" r1="B7" r2="B6"/>
        <v>73.428502681822863</v>
      </c>
      <c r="G39" s="688">
        <v>86.995455856655198</v>
      </c>
      <c r="H39" s="688">
        <v>107.34588561890369</v>
      </c>
      <c r="I39" s="688">
        <v>141.26326855598452</v>
      </c>
      <c r="J39" s="688">
        <v>209.09803443014613</v>
      </c>
    </row>
    <row r="40" spans="3:10">
      <c r="D40" s="693"/>
      <c r="E40" s="690">
        <v>7.1999999999999995E-2</v>
      </c>
      <c r="F40" s="688">
        <v>70.678821272063018</v>
      </c>
      <c r="G40" s="688">
        <v>83.209209213284097</v>
      </c>
      <c r="H40" s="691">
        <v>101.70644855508664</v>
      </c>
      <c r="I40" s="688">
        <v>131.76446248551579</v>
      </c>
      <c r="J40" s="688">
        <v>189.147943625426</v>
      </c>
    </row>
    <row r="41" spans="3:10">
      <c r="D41" s="693"/>
      <c r="E41" s="690">
        <v>7.4999999999999997E-2</v>
      </c>
      <c r="F41" s="688">
        <v>66.872271519465116</v>
      </c>
      <c r="G41" s="688">
        <v>78.046789235810934</v>
      </c>
      <c r="H41" s="688">
        <v>94.187759270532666</v>
      </c>
      <c r="I41" s="688">
        <v>119.55214075366685</v>
      </c>
      <c r="J41" s="688">
        <v>165.20802742330829</v>
      </c>
    </row>
    <row r="42" spans="3:10">
      <c r="D42" s="693"/>
      <c r="E42" s="690">
        <v>7.9000000000000001E-2</v>
      </c>
      <c r="F42" s="688">
        <v>62.312984965533197</v>
      </c>
      <c r="G42" s="688">
        <v>71.981322647529879</v>
      </c>
      <c r="H42" s="688">
        <v>85.59592060789258</v>
      </c>
      <c r="I42" s="688">
        <v>106.19236367613354</v>
      </c>
      <c r="J42" s="688">
        <v>140.99325023971309</v>
      </c>
    </row>
    <row r="43" spans="3:10">
      <c r="D43" s="693"/>
      <c r="E43" s="690">
        <v>0.08</v>
      </c>
      <c r="F43" s="688">
        <v>61.254791003994811</v>
      </c>
      <c r="G43" s="688">
        <v>70.591511956263474</v>
      </c>
      <c r="H43" s="688">
        <v>83.662921289439566</v>
      </c>
      <c r="I43" s="688">
        <v>103.27003528920373</v>
      </c>
      <c r="J43" s="688">
        <v>135.94855862214399</v>
      </c>
    </row>
    <row r="44" spans="3:10">
      <c r="E44" s="690">
        <v>8.4000000000000005E-2</v>
      </c>
      <c r="F44" s="688">
        <v>57.308804810323466</v>
      </c>
      <c r="G44" s="688">
        <v>65.467296378177991</v>
      </c>
      <c r="H44" s="688">
        <v>76.647451489682311</v>
      </c>
      <c r="I44" s="688">
        <v>92.909495288234083</v>
      </c>
      <c r="J44" s="688">
        <v>118.737447203581</v>
      </c>
    </row>
  </sheetData>
  <pageMargins left="0.7" right="0.7" top="0.75" bottom="0.75" header="0.3" footer="0.3"/>
  <pageSetup orientation="portrait" horizontalDpi="0" verticalDpi="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E9D70-F287-7D46-9B85-F80BBABC5746}">
  <dimension ref="A1:I50"/>
  <sheetViews>
    <sheetView showGridLines="0" workbookViewId="0">
      <selection activeCell="H30" sqref="H30"/>
    </sheetView>
  </sheetViews>
  <sheetFormatPr baseColWidth="10" defaultColWidth="11" defaultRowHeight="16"/>
  <cols>
    <col min="1" max="1" width="33.33203125" customWidth="1"/>
    <col min="2" max="3" width="14.1640625" customWidth="1"/>
    <col min="4" max="4" width="41.5" bestFit="1" customWidth="1"/>
    <col min="5" max="7" width="14.1640625" customWidth="1"/>
  </cols>
  <sheetData>
    <row r="1" spans="1:9">
      <c r="A1" s="93"/>
      <c r="B1" s="93"/>
      <c r="C1" s="93"/>
      <c r="D1" s="93"/>
      <c r="E1" s="704" t="s">
        <v>322</v>
      </c>
      <c r="F1" s="704"/>
      <c r="G1" s="704"/>
      <c r="H1" s="93"/>
      <c r="I1" s="93"/>
    </row>
    <row r="2" spans="1:9">
      <c r="A2" s="93"/>
      <c r="B2" s="93"/>
      <c r="C2" s="93"/>
      <c r="D2" s="93"/>
      <c r="E2" s="93"/>
      <c r="F2" s="93"/>
      <c r="G2" s="93"/>
      <c r="H2" s="93"/>
      <c r="I2" s="93"/>
    </row>
    <row r="3" spans="1:9">
      <c r="A3" s="93"/>
      <c r="B3" s="93"/>
      <c r="C3" s="93"/>
      <c r="D3" s="93"/>
      <c r="E3" s="93"/>
      <c r="F3" s="93"/>
      <c r="G3" s="93"/>
      <c r="H3" s="93"/>
      <c r="I3" s="93"/>
    </row>
    <row r="4" spans="1:9">
      <c r="A4" s="705" t="s">
        <v>343</v>
      </c>
      <c r="B4" s="705"/>
      <c r="C4" s="93"/>
      <c r="D4" s="705" t="s">
        <v>24</v>
      </c>
      <c r="E4" s="705"/>
      <c r="F4" s="93"/>
      <c r="G4" s="93"/>
      <c r="H4" s="93"/>
      <c r="I4" s="93"/>
    </row>
    <row r="5" spans="1:9">
      <c r="A5" s="265" t="s">
        <v>686</v>
      </c>
      <c r="B5" s="268">
        <f>'Assumption table'!K54</f>
        <v>13.83</v>
      </c>
      <c r="C5" s="93"/>
      <c r="D5" s="265" t="s">
        <v>690</v>
      </c>
      <c r="E5" s="268">
        <f>'Assumption table'!K58</f>
        <v>18.41</v>
      </c>
      <c r="F5" s="93"/>
      <c r="G5" s="93"/>
      <c r="H5" s="93"/>
      <c r="I5" s="93"/>
    </row>
    <row r="6" spans="1:9">
      <c r="A6" s="266" t="s">
        <v>687</v>
      </c>
      <c r="B6" s="269">
        <f>'Assumption table'!K55</f>
        <v>3.1</v>
      </c>
      <c r="C6" s="93"/>
      <c r="D6" s="266" t="s">
        <v>691</v>
      </c>
      <c r="E6" s="269">
        <f>'Assumption table'!K59</f>
        <v>3.35</v>
      </c>
      <c r="F6" s="93"/>
      <c r="G6" s="93"/>
      <c r="H6" s="93"/>
      <c r="I6" s="93"/>
    </row>
    <row r="7" spans="1:9">
      <c r="A7" s="267" t="s">
        <v>688</v>
      </c>
      <c r="B7" s="270">
        <f>'Assumption table'!K56</f>
        <v>17.2</v>
      </c>
      <c r="C7" s="93"/>
      <c r="D7" s="267" t="s">
        <v>692</v>
      </c>
      <c r="E7" s="270">
        <f>'Assumption table'!K60</f>
        <v>26.3</v>
      </c>
      <c r="F7" s="93"/>
      <c r="G7" s="93"/>
      <c r="H7" s="93"/>
      <c r="I7" s="93"/>
    </row>
    <row r="8" spans="1:9">
      <c r="A8" s="93"/>
      <c r="B8" s="93"/>
      <c r="C8" s="93"/>
      <c r="D8" s="93"/>
      <c r="E8" s="93"/>
      <c r="F8" s="93"/>
      <c r="G8" s="93"/>
      <c r="H8" s="93"/>
      <c r="I8" s="93"/>
    </row>
    <row r="9" spans="1:9">
      <c r="A9" s="93"/>
      <c r="B9" s="93"/>
      <c r="C9" s="93"/>
      <c r="D9" s="93"/>
      <c r="E9" s="93"/>
      <c r="F9" s="93"/>
      <c r="G9" s="93"/>
      <c r="H9" s="93"/>
      <c r="I9" s="93"/>
    </row>
    <row r="10" spans="1:9" ht="17" thickBot="1">
      <c r="A10" s="253" t="s">
        <v>344</v>
      </c>
      <c r="B10" s="93"/>
      <c r="C10" s="93"/>
      <c r="D10" s="253" t="s">
        <v>345</v>
      </c>
      <c r="E10" s="93"/>
      <c r="F10" s="93"/>
      <c r="G10" s="93"/>
      <c r="H10" s="93"/>
      <c r="I10" s="93"/>
    </row>
    <row r="11" spans="1:9">
      <c r="A11" s="271" t="s">
        <v>346</v>
      </c>
      <c r="B11" s="272" t="s">
        <v>2</v>
      </c>
      <c r="C11" s="93"/>
      <c r="D11" s="271"/>
      <c r="E11" s="272"/>
      <c r="F11" s="93"/>
      <c r="G11" s="93"/>
      <c r="H11" s="93"/>
      <c r="I11" s="93"/>
    </row>
    <row r="12" spans="1:9">
      <c r="A12" s="273" t="s">
        <v>347</v>
      </c>
      <c r="B12" s="274">
        <f>Model!E250</f>
        <v>6261.0063818181825</v>
      </c>
      <c r="C12" s="93"/>
      <c r="D12" s="273" t="s">
        <v>347</v>
      </c>
      <c r="E12" s="274">
        <f>B12</f>
        <v>6261.0063818181825</v>
      </c>
      <c r="F12" s="93"/>
      <c r="G12" s="93"/>
      <c r="H12" s="93"/>
      <c r="I12" s="93"/>
    </row>
    <row r="13" spans="1:9">
      <c r="A13" s="273" t="s">
        <v>348</v>
      </c>
      <c r="B13" s="318">
        <f>Model!E259+Model!E256+Model!E257</f>
        <v>1434.325660466206</v>
      </c>
      <c r="C13" s="93"/>
      <c r="D13" s="273" t="s">
        <v>348</v>
      </c>
      <c r="E13" s="318">
        <f>B13</f>
        <v>1434.325660466206</v>
      </c>
      <c r="F13" s="93"/>
      <c r="G13" s="93"/>
      <c r="H13" s="93"/>
      <c r="I13" s="93"/>
    </row>
    <row r="14" spans="1:9">
      <c r="A14" s="273" t="s">
        <v>349</v>
      </c>
      <c r="B14" s="274">
        <f>Model!E266</f>
        <v>838.04122813750985</v>
      </c>
      <c r="C14" s="93"/>
      <c r="D14" s="273" t="s">
        <v>349</v>
      </c>
      <c r="E14" s="274">
        <f>B14</f>
        <v>838.04122813750985</v>
      </c>
      <c r="F14" s="93"/>
      <c r="G14" s="93"/>
      <c r="H14" s="93"/>
      <c r="I14" s="93"/>
    </row>
    <row r="15" spans="1:9">
      <c r="A15" s="273" t="s">
        <v>350</v>
      </c>
      <c r="B15" s="275">
        <f>DCF!D32</f>
        <v>244.3</v>
      </c>
      <c r="C15" s="93"/>
      <c r="D15" s="273" t="s">
        <v>350</v>
      </c>
      <c r="E15" s="275">
        <f>B15</f>
        <v>244.3</v>
      </c>
      <c r="F15" s="93"/>
      <c r="G15" s="93"/>
      <c r="H15" s="93"/>
      <c r="I15" s="93"/>
    </row>
    <row r="16" spans="1:9" ht="17" thickBot="1">
      <c r="A16" s="276" t="s">
        <v>351</v>
      </c>
      <c r="B16" s="277">
        <f>B14/B15</f>
        <v>3.4303775200061803</v>
      </c>
      <c r="C16" s="93"/>
      <c r="D16" s="276" t="s">
        <v>351</v>
      </c>
      <c r="E16" s="277">
        <f>B16</f>
        <v>3.4303775200061803</v>
      </c>
      <c r="F16" s="93"/>
      <c r="G16" s="93"/>
      <c r="H16" s="93"/>
      <c r="I16" s="93"/>
    </row>
    <row r="17" spans="1:9">
      <c r="A17" s="93"/>
      <c r="B17" s="93"/>
      <c r="C17" s="93"/>
      <c r="D17" s="93"/>
      <c r="E17" s="93"/>
      <c r="F17" s="93"/>
      <c r="G17" s="93"/>
      <c r="H17" s="93"/>
      <c r="I17" s="93"/>
    </row>
    <row r="18" spans="1:9">
      <c r="A18" s="93"/>
      <c r="B18" s="93"/>
      <c r="C18" s="93"/>
      <c r="D18" s="93"/>
      <c r="E18" s="93"/>
      <c r="F18" s="93"/>
      <c r="G18" s="93"/>
      <c r="H18" s="93"/>
      <c r="I18" s="93"/>
    </row>
    <row r="19" spans="1:9" ht="17" thickBot="1">
      <c r="A19" s="93"/>
      <c r="B19" s="93"/>
      <c r="C19" s="93"/>
      <c r="D19" s="93"/>
      <c r="E19" s="93"/>
      <c r="F19" s="93"/>
      <c r="G19" s="93"/>
      <c r="H19" s="93"/>
      <c r="I19" s="93"/>
    </row>
    <row r="20" spans="1:9">
      <c r="A20" s="251" t="s">
        <v>356</v>
      </c>
      <c r="B20" s="278">
        <f>B13*B5</f>
        <v>19836.723884247629</v>
      </c>
      <c r="C20" s="93"/>
      <c r="D20" s="251" t="s">
        <v>356</v>
      </c>
      <c r="E20" s="278">
        <f>E13*'Assumption table'!K54</f>
        <v>19836.723884247629</v>
      </c>
      <c r="F20" s="93"/>
      <c r="G20" s="93"/>
      <c r="H20" s="93"/>
      <c r="I20" s="93"/>
    </row>
    <row r="21" spans="1:9">
      <c r="A21" s="252" t="s">
        <v>353</v>
      </c>
      <c r="B21" s="117">
        <f>DCF!D30</f>
        <v>2382</v>
      </c>
      <c r="C21" s="93"/>
      <c r="D21" s="252" t="s">
        <v>353</v>
      </c>
      <c r="E21" s="117">
        <f>B21</f>
        <v>2382</v>
      </c>
      <c r="F21" s="93"/>
      <c r="G21" s="93"/>
      <c r="H21" s="93"/>
      <c r="I21" s="93"/>
    </row>
    <row r="22" spans="1:9">
      <c r="A22" s="252" t="s">
        <v>354</v>
      </c>
      <c r="B22" s="280">
        <f>B20-B21</f>
        <v>17454.723884247629</v>
      </c>
      <c r="C22" s="93"/>
      <c r="D22" s="252" t="s">
        <v>354</v>
      </c>
      <c r="E22" s="280">
        <f>E20-E21</f>
        <v>17454.723884247629</v>
      </c>
      <c r="F22" s="93"/>
      <c r="G22" s="93"/>
      <c r="H22" s="93"/>
      <c r="I22" s="93"/>
    </row>
    <row r="23" spans="1:9" ht="17" thickBot="1">
      <c r="A23" s="254" t="s">
        <v>355</v>
      </c>
      <c r="B23" s="281">
        <f>B22/B15</f>
        <v>71.447907835643178</v>
      </c>
      <c r="C23" s="93"/>
      <c r="D23" s="254" t="s">
        <v>355</v>
      </c>
      <c r="E23" s="281">
        <f>E22/E15</f>
        <v>71.447907835643178</v>
      </c>
      <c r="F23" s="93"/>
      <c r="G23" s="93"/>
      <c r="H23" s="93"/>
      <c r="I23" s="93"/>
    </row>
    <row r="24" spans="1:9" ht="17" thickBot="1">
      <c r="A24" s="426"/>
      <c r="B24" s="426"/>
      <c r="C24" s="93"/>
      <c r="D24" s="426"/>
      <c r="E24" s="426"/>
      <c r="F24" s="93"/>
      <c r="G24" s="93"/>
      <c r="H24" s="93"/>
      <c r="I24" s="93"/>
    </row>
    <row r="25" spans="1:9">
      <c r="A25" s="251" t="s">
        <v>352</v>
      </c>
      <c r="B25" s="278">
        <f>B12*B6</f>
        <v>19409.119783636368</v>
      </c>
      <c r="C25" s="93"/>
      <c r="D25" s="251" t="s">
        <v>352</v>
      </c>
      <c r="E25" s="278">
        <f>E12*'Assumption table'!K55</f>
        <v>19409.119783636368</v>
      </c>
      <c r="F25" s="93"/>
      <c r="G25" s="93"/>
      <c r="H25" s="93"/>
      <c r="I25" s="93"/>
    </row>
    <row r="26" spans="1:9">
      <c r="A26" s="252" t="s">
        <v>353</v>
      </c>
      <c r="B26" s="117">
        <f>DCF!D30</f>
        <v>2382</v>
      </c>
      <c r="C26" s="93"/>
      <c r="D26" s="252" t="s">
        <v>353</v>
      </c>
      <c r="E26" s="117">
        <f>B26</f>
        <v>2382</v>
      </c>
      <c r="F26" s="93"/>
      <c r="G26" s="93"/>
      <c r="H26" s="93"/>
      <c r="I26" s="93"/>
    </row>
    <row r="27" spans="1:9">
      <c r="A27" s="252" t="s">
        <v>354</v>
      </c>
      <c r="B27" s="280">
        <f>B25-B26</f>
        <v>17027.119783636368</v>
      </c>
      <c r="C27" s="93"/>
      <c r="D27" s="252" t="s">
        <v>354</v>
      </c>
      <c r="E27" s="280">
        <f>E25-E26</f>
        <v>17027.119783636368</v>
      </c>
      <c r="F27" s="93"/>
      <c r="G27" s="93"/>
      <c r="H27" s="93"/>
      <c r="I27" s="93"/>
    </row>
    <row r="28" spans="1:9" ht="17" thickBot="1">
      <c r="A28" s="254" t="s">
        <v>355</v>
      </c>
      <c r="B28" s="281">
        <f>B27/B15</f>
        <v>69.69758405090613</v>
      </c>
      <c r="C28" s="93"/>
      <c r="D28" s="254" t="s">
        <v>355</v>
      </c>
      <c r="E28" s="281">
        <f>E27/E15</f>
        <v>69.69758405090613</v>
      </c>
      <c r="F28" s="93"/>
      <c r="G28" s="93"/>
      <c r="H28" s="93"/>
      <c r="I28" s="93"/>
    </row>
    <row r="29" spans="1:9" ht="17" thickBot="1">
      <c r="A29" s="426"/>
      <c r="B29" s="426"/>
      <c r="C29" s="93"/>
      <c r="D29" s="426"/>
      <c r="E29" s="426"/>
      <c r="F29" s="93"/>
      <c r="G29" s="93"/>
      <c r="H29" s="93"/>
      <c r="I29" s="93"/>
    </row>
    <row r="30" spans="1:9" ht="17" thickBot="1">
      <c r="A30" s="255" t="s">
        <v>357</v>
      </c>
      <c r="B30" s="283">
        <f>B16*B7</f>
        <v>59.002493344106298</v>
      </c>
      <c r="C30" s="93"/>
      <c r="D30" s="255" t="s">
        <v>358</v>
      </c>
      <c r="E30" s="283">
        <f>E16*E7</f>
        <v>90.218928776162542</v>
      </c>
      <c r="F30" s="93"/>
      <c r="G30" s="93"/>
      <c r="H30" s="93"/>
      <c r="I30" s="93"/>
    </row>
    <row r="31" spans="1:9">
      <c r="A31" s="93"/>
      <c r="B31" s="93"/>
      <c r="C31" s="93"/>
      <c r="D31" s="93"/>
      <c r="E31" s="93"/>
      <c r="F31" s="93"/>
      <c r="G31" s="93"/>
      <c r="H31" s="93"/>
      <c r="I31" s="93"/>
    </row>
    <row r="32" spans="1:9">
      <c r="A32" s="93"/>
      <c r="B32" s="93"/>
      <c r="C32" s="93"/>
      <c r="D32" s="93"/>
      <c r="E32" s="93"/>
      <c r="F32" s="93"/>
      <c r="G32" s="93"/>
      <c r="H32" s="93"/>
      <c r="I32" s="93"/>
    </row>
    <row r="33" spans="1:9">
      <c r="A33" s="454" t="s">
        <v>693</v>
      </c>
      <c r="B33" s="93"/>
      <c r="C33" s="93"/>
      <c r="D33" s="93"/>
      <c r="E33" s="93"/>
      <c r="F33" s="93"/>
      <c r="G33" s="93"/>
      <c r="H33" s="93"/>
      <c r="I33" s="93"/>
    </row>
    <row r="34" spans="1:9">
      <c r="A34" s="455" t="s">
        <v>694</v>
      </c>
    </row>
    <row r="36" spans="1:9" ht="17" thickBot="1">
      <c r="A36" s="456" t="s">
        <v>695</v>
      </c>
      <c r="B36" s="457" t="s">
        <v>696</v>
      </c>
      <c r="C36" s="457" t="s">
        <v>618</v>
      </c>
      <c r="D36" s="457" t="s">
        <v>619</v>
      </c>
      <c r="E36" s="457" t="s">
        <v>620</v>
      </c>
      <c r="F36" s="457" t="s">
        <v>621</v>
      </c>
      <c r="G36" s="457" t="s">
        <v>622</v>
      </c>
    </row>
    <row r="37" spans="1:9">
      <c r="A37" s="626" t="s">
        <v>868</v>
      </c>
      <c r="B37" s="627">
        <f>VALUE(SUBSTITUTE('Data Source'!B773,"x",""))</f>
        <v>18.41</v>
      </c>
      <c r="C37" s="627">
        <f>VALUE(SUBSTITUTE('Data Source'!C773,"x",""))</f>
        <v>32.83</v>
      </c>
      <c r="D37" s="627">
        <f>VALUE(SUBSTITUTE('Data Source'!D773,"x",""))</f>
        <v>26.3</v>
      </c>
      <c r="E37" s="627">
        <f>VALUE(SUBSTITUTE('Data Source'!E773,"x",""))</f>
        <v>3.35</v>
      </c>
      <c r="F37" s="627">
        <f>VALUE(SUBSTITUTE('Data Source'!F773,"x",""))</f>
        <v>23.28</v>
      </c>
      <c r="G37" s="627">
        <f>VALUE(SUBSTITUTE('Data Source'!G773,"x",""))</f>
        <v>3.66</v>
      </c>
    </row>
    <row r="38" spans="1:9">
      <c r="A38" s="628" t="s">
        <v>697</v>
      </c>
      <c r="B38" s="629">
        <f>VALUE(SUBSTITUTE('Data Source'!B774,"x",""))</f>
        <v>14.94</v>
      </c>
      <c r="C38" s="629">
        <f>VALUE(SUBSTITUTE('Data Source'!C774,"x",""))</f>
        <v>21.61</v>
      </c>
      <c r="D38" s="629">
        <f>VALUE(SUBSTITUTE('Data Source'!D774,"x",""))</f>
        <v>19.5</v>
      </c>
      <c r="E38" s="629">
        <f>VALUE(SUBSTITUTE('Data Source'!E774,"x",""))</f>
        <v>3.8</v>
      </c>
      <c r="F38" s="629">
        <f>VALUE(SUBSTITUTE('Data Source'!F774,"x",""))</f>
        <v>22</v>
      </c>
      <c r="G38" s="629">
        <f>VALUE(SUBSTITUTE('Data Source'!G774,"x",""))</f>
        <v>2.8</v>
      </c>
    </row>
    <row r="39" spans="1:9">
      <c r="A39" s="628" t="s">
        <v>698</v>
      </c>
      <c r="B39" s="629">
        <f>VALUE(SUBSTITUTE('Data Source'!B775,"x",""))</f>
        <v>15.24</v>
      </c>
      <c r="C39" s="629">
        <f>VALUE(SUBSTITUTE('Data Source'!C775,"x",""))</f>
        <v>31.76</v>
      </c>
      <c r="D39" s="629">
        <f>VALUE(SUBSTITUTE('Data Source'!D775,"x",""))</f>
        <v>21.77</v>
      </c>
      <c r="E39" s="629">
        <f>VALUE(SUBSTITUTE('Data Source'!E775,"x",""))</f>
        <v>3.6</v>
      </c>
      <c r="F39" s="629">
        <f>VALUE(SUBSTITUTE('Data Source'!F775,"x",""))</f>
        <v>20.41</v>
      </c>
      <c r="G39" s="629">
        <f>VALUE(SUBSTITUTE('Data Source'!G775,"x",""))</f>
        <v>4.29</v>
      </c>
    </row>
    <row r="40" spans="1:9">
      <c r="A40" s="628" t="s">
        <v>699</v>
      </c>
      <c r="B40" s="629">
        <f>VALUE(SUBSTITUTE('Data Source'!B776,"x",""))</f>
        <v>12.53</v>
      </c>
      <c r="C40" s="629">
        <f>VALUE(SUBSTITUTE('Data Source'!C776,"x",""))</f>
        <v>20.63</v>
      </c>
      <c r="D40" s="629">
        <f>VALUE(SUBSTITUTE('Data Source'!D776,"x",""))</f>
        <v>13.22</v>
      </c>
      <c r="E40" s="629">
        <f>VALUE(SUBSTITUTE('Data Source'!E776,"x",""))</f>
        <v>2.2000000000000002</v>
      </c>
      <c r="F40" s="629">
        <f>VALUE(SUBSTITUTE('Data Source'!F776,"x",""))</f>
        <v>24.45</v>
      </c>
      <c r="G40" s="629">
        <f>VALUE(SUBSTITUTE('Data Source'!G776,"x",""))</f>
        <v>3.46</v>
      </c>
    </row>
    <row r="41" spans="1:9">
      <c r="A41" s="628" t="s">
        <v>700</v>
      </c>
      <c r="B41" s="629">
        <f>VALUE(SUBSTITUTE('Data Source'!B777,"x",""))</f>
        <v>10.75</v>
      </c>
      <c r="C41" s="629">
        <f>VALUE(SUBSTITUTE('Data Source'!C777,"x",""))</f>
        <v>14.42</v>
      </c>
      <c r="D41" s="629">
        <f>VALUE(SUBSTITUTE('Data Source'!D777,"x",""))</f>
        <v>13.9</v>
      </c>
      <c r="E41" s="629">
        <f>VALUE(SUBSTITUTE('Data Source'!E777,"x",""))</f>
        <v>2.16</v>
      </c>
      <c r="F41" s="629">
        <f>VALUE(SUBSTITUTE('Data Source'!F777,"x",""))</f>
        <v>36.47</v>
      </c>
      <c r="G41" s="629">
        <f>VALUE(SUBSTITUTE('Data Source'!G777,"x",""))</f>
        <v>2.1</v>
      </c>
    </row>
    <row r="42" spans="1:9">
      <c r="A42" s="628" t="s">
        <v>701</v>
      </c>
      <c r="B42" s="629">
        <f>VALUE(SUBSTITUTE('Data Source'!B778,"x",""))</f>
        <v>13.79</v>
      </c>
      <c r="C42" s="629">
        <f>VALUE(SUBSTITUTE('Data Source'!C778,"x",""))</f>
        <v>33.14</v>
      </c>
      <c r="D42" s="629">
        <f>VALUE(SUBSTITUTE('Data Source'!D778,"x",""))</f>
        <v>17.47</v>
      </c>
      <c r="E42" s="629">
        <f>VALUE(SUBSTITUTE('Data Source'!E778,"x",""))</f>
        <v>3.1</v>
      </c>
      <c r="F42" s="629">
        <f>VALUE(SUBSTITUTE('Data Source'!F778,"x",""))</f>
        <v>23.45</v>
      </c>
      <c r="G42" s="629">
        <f>VALUE(SUBSTITUTE('Data Source'!G778,"x",""))</f>
        <v>2.9</v>
      </c>
    </row>
    <row r="43" spans="1:9">
      <c r="A43" s="628" t="s">
        <v>702</v>
      </c>
      <c r="B43" s="629">
        <f>VALUE(SUBSTITUTE('Data Source'!B779,"x",""))</f>
        <v>13.83</v>
      </c>
      <c r="C43" s="629">
        <f>VALUE(SUBSTITUTE('Data Source'!C779,"x",""))</f>
        <v>18.309999999999999</v>
      </c>
      <c r="D43" s="629">
        <f>VALUE(SUBSTITUTE('Data Source'!D779,"x",""))</f>
        <v>16.55</v>
      </c>
      <c r="E43" s="629">
        <f>VALUE(SUBSTITUTE('Data Source'!E779,"x",""))</f>
        <v>3.4</v>
      </c>
      <c r="F43" s="629">
        <f>VALUE(SUBSTITUTE('Data Source'!F779,"x",""))</f>
        <v>16.190000000000001</v>
      </c>
      <c r="G43" s="629">
        <f>VALUE(SUBSTITUTE('Data Source'!G779,"x",""))</f>
        <v>2.5</v>
      </c>
    </row>
    <row r="44" spans="1:9">
      <c r="A44" s="628" t="s">
        <v>703</v>
      </c>
      <c r="B44" s="629">
        <f>VALUE(SUBSTITUTE('Data Source'!B780,"x",""))</f>
        <v>14.64</v>
      </c>
      <c r="C44" s="629">
        <f>VALUE(SUBSTITUTE('Data Source'!C780,"x",""))</f>
        <v>19.8</v>
      </c>
      <c r="D44" s="629">
        <f>VALUE(SUBSTITUTE('Data Source'!D780,"x",""))</f>
        <v>17.2</v>
      </c>
      <c r="E44" s="629">
        <f>VALUE(SUBSTITUTE('Data Source'!E780,"x",""))</f>
        <v>2.5</v>
      </c>
      <c r="F44" s="629">
        <f>VALUE(SUBSTITUTE('Data Source'!F780,"x",""))</f>
        <v>21</v>
      </c>
      <c r="G44" s="629">
        <f>VALUE(SUBSTITUTE('Data Source'!G780,"x",""))</f>
        <v>2.6</v>
      </c>
    </row>
    <row r="45" spans="1:9">
      <c r="A45" s="458"/>
      <c r="B45" s="458"/>
      <c r="C45" s="458"/>
      <c r="D45" s="458"/>
      <c r="E45" s="458"/>
      <c r="F45" s="458"/>
      <c r="G45" s="458"/>
    </row>
    <row r="46" spans="1:9">
      <c r="A46" s="459" t="s">
        <v>677</v>
      </c>
      <c r="B46" s="460">
        <f t="shared" ref="B46:G46" si="0">MEDIAN(B38:B44)</f>
        <v>13.83</v>
      </c>
      <c r="C46" s="460">
        <f t="shared" si="0"/>
        <v>20.63</v>
      </c>
      <c r="D46" s="460">
        <f t="shared" si="0"/>
        <v>17.2</v>
      </c>
      <c r="E46" s="460">
        <f t="shared" si="0"/>
        <v>3.1</v>
      </c>
      <c r="F46" s="460">
        <f t="shared" si="0"/>
        <v>22</v>
      </c>
      <c r="G46" s="460">
        <f t="shared" si="0"/>
        <v>2.8</v>
      </c>
    </row>
    <row r="47" spans="1:9">
      <c r="A47" s="461" t="s">
        <v>678</v>
      </c>
      <c r="B47" s="462">
        <f t="shared" ref="B47:G47" si="1">AVERAGE(B38:B44)</f>
        <v>13.674285714285714</v>
      </c>
      <c r="C47" s="462">
        <f t="shared" si="1"/>
        <v>22.810000000000002</v>
      </c>
      <c r="D47" s="462">
        <f t="shared" si="1"/>
        <v>17.087142857142858</v>
      </c>
      <c r="E47" s="462">
        <f t="shared" si="1"/>
        <v>2.9657142857142857</v>
      </c>
      <c r="F47" s="462">
        <f t="shared" si="1"/>
        <v>23.424285714285713</v>
      </c>
      <c r="G47" s="462">
        <f t="shared" si="1"/>
        <v>2.95</v>
      </c>
    </row>
    <row r="49" spans="1:7" ht="17" thickBot="1">
      <c r="A49" s="463" t="s">
        <v>704</v>
      </c>
      <c r="B49" s="464">
        <f t="shared" ref="B49:G49" si="2">B37/B46-1</f>
        <v>0.33116413593637017</v>
      </c>
      <c r="C49" s="464">
        <f t="shared" si="2"/>
        <v>0.59137178865729512</v>
      </c>
      <c r="D49" s="464">
        <f t="shared" si="2"/>
        <v>0.52906976744186052</v>
      </c>
      <c r="E49" s="464">
        <f t="shared" si="2"/>
        <v>8.0645161290322509E-2</v>
      </c>
      <c r="F49" s="464">
        <f t="shared" si="2"/>
        <v>5.8181818181818334E-2</v>
      </c>
      <c r="G49" s="464">
        <f t="shared" si="2"/>
        <v>0.30714285714285738</v>
      </c>
    </row>
    <row r="50" spans="1:7" ht="17" thickTop="1"/>
  </sheetData>
  <mergeCells count="3">
    <mergeCell ref="E1:G1"/>
    <mergeCell ref="A4:B4"/>
    <mergeCell ref="D4:E4"/>
  </mergeCells>
  <pageMargins left="0.7" right="0.7" top="0.75" bottom="0.75" header="0.3" footer="0.3"/>
  <pageSetup orientation="portrait" horizontalDpi="0" verticalDpi="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56013-6D7E-1447-A220-D8058DD85E5B}">
  <dimension ref="A1:XFD853"/>
  <sheetViews>
    <sheetView zoomScale="90" zoomScaleNormal="90" workbookViewId="0"/>
  </sheetViews>
  <sheetFormatPr baseColWidth="10" defaultColWidth="11" defaultRowHeight="16"/>
  <cols>
    <col min="1" max="1" width="23.5" customWidth="1"/>
    <col min="2" max="2" width="8" customWidth="1"/>
    <col min="3" max="3" width="7.6640625" customWidth="1"/>
    <col min="4" max="4" width="7.5" customWidth="1"/>
    <col min="5" max="5" width="10.83203125" customWidth="1"/>
    <col min="6" max="6" width="8.6640625" customWidth="1"/>
    <col min="7" max="7" width="9" customWidth="1"/>
    <col min="8" max="8" width="11" customWidth="1"/>
    <col min="9" max="9" width="9.33203125" customWidth="1"/>
    <col min="10" max="10" width="11.83203125" customWidth="1"/>
    <col min="11" max="11" width="7.6640625" customWidth="1"/>
    <col min="12" max="12" width="7.5" customWidth="1"/>
    <col min="13" max="14" width="12.6640625" bestFit="1" customWidth="1"/>
    <col min="15" max="15" width="6.6640625" customWidth="1"/>
    <col min="16" max="16" width="5" customWidth="1"/>
  </cols>
  <sheetData>
    <row r="1" spans="1:7" ht="18">
      <c r="A1" s="735" t="s">
        <v>359</v>
      </c>
    </row>
    <row r="2" spans="1:7">
      <c r="A2" s="531" t="s">
        <v>707</v>
      </c>
    </row>
    <row r="3" spans="1:7">
      <c r="A3" s="471" t="s">
        <v>708</v>
      </c>
    </row>
    <row r="4" spans="1:7">
      <c r="A4" s="196"/>
    </row>
    <row r="5" spans="1:7">
      <c r="A5" s="504" t="s">
        <v>709</v>
      </c>
      <c r="B5" s="505" t="s">
        <v>710</v>
      </c>
      <c r="C5" s="505" t="s">
        <v>711</v>
      </c>
      <c r="D5" s="505" t="s">
        <v>712</v>
      </c>
      <c r="E5" s="505" t="s">
        <v>713</v>
      </c>
      <c r="F5" s="505" t="s">
        <v>714</v>
      </c>
      <c r="G5" s="506" t="s">
        <v>715</v>
      </c>
    </row>
    <row r="6" spans="1:7">
      <c r="A6" s="474">
        <v>2020</v>
      </c>
      <c r="B6" s="472">
        <v>3.2000000000000001E-2</v>
      </c>
      <c r="C6" s="472">
        <v>7.0000000000000001E-3</v>
      </c>
      <c r="D6" s="472">
        <v>5.0999999999999997E-2</v>
      </c>
      <c r="E6" s="473">
        <v>2.027E-2</v>
      </c>
      <c r="F6" s="472">
        <v>3.0000000000000001E-3</v>
      </c>
      <c r="G6" s="475" t="s">
        <v>716</v>
      </c>
    </row>
    <row r="7" spans="1:7">
      <c r="A7" s="474">
        <v>2021</v>
      </c>
      <c r="B7" s="472">
        <v>4.7E-2</v>
      </c>
      <c r="C7" s="472">
        <v>3.1E-2</v>
      </c>
      <c r="D7" s="472">
        <v>5.8999999999999997E-2</v>
      </c>
      <c r="E7" s="472">
        <v>4.7E-2</v>
      </c>
      <c r="F7" s="472">
        <v>2.5999999999999999E-2</v>
      </c>
      <c r="G7" s="475" t="s">
        <v>716</v>
      </c>
    </row>
    <row r="8" spans="1:7">
      <c r="A8" s="474">
        <v>2022</v>
      </c>
      <c r="B8" s="472">
        <v>8.6999999999999994E-2</v>
      </c>
      <c r="C8" s="472">
        <v>7.2999999999999995E-2</v>
      </c>
      <c r="D8" s="472">
        <v>9.8000000000000004E-2</v>
      </c>
      <c r="E8" s="472">
        <v>0.08</v>
      </c>
      <c r="F8" s="472">
        <v>8.4000000000000005E-2</v>
      </c>
      <c r="G8" s="475" t="s">
        <v>716</v>
      </c>
    </row>
    <row r="9" spans="1:7">
      <c r="A9" s="474">
        <v>2023</v>
      </c>
      <c r="B9" s="472">
        <v>6.9000000000000006E-2</v>
      </c>
      <c r="C9" s="472">
        <v>4.5999999999999999E-2</v>
      </c>
      <c r="D9" s="472">
        <v>8.5000000000000006E-2</v>
      </c>
      <c r="E9" s="472">
        <v>4.1000000000000002E-2</v>
      </c>
      <c r="F9" s="472">
        <v>5.3999999999999999E-2</v>
      </c>
      <c r="G9" s="475" t="s">
        <v>716</v>
      </c>
    </row>
    <row r="10" spans="1:7">
      <c r="A10" s="474">
        <v>2024</v>
      </c>
      <c r="B10" s="472">
        <v>5.8000000000000003E-2</v>
      </c>
      <c r="C10" s="472">
        <v>2.7E-2</v>
      </c>
      <c r="D10" s="472">
        <v>7.8E-2</v>
      </c>
      <c r="E10" s="472">
        <v>2.9000000000000001E-2</v>
      </c>
      <c r="F10" s="472">
        <v>2.4E-2</v>
      </c>
      <c r="G10" s="475" t="s">
        <v>716</v>
      </c>
    </row>
    <row r="11" spans="1:7">
      <c r="A11" s="474">
        <v>2025</v>
      </c>
      <c r="B11" s="472">
        <v>4.1000000000000002E-2</v>
      </c>
      <c r="C11" s="472">
        <v>2.5000000000000001E-2</v>
      </c>
      <c r="D11" s="472">
        <v>5.7000000000000002E-2</v>
      </c>
      <c r="E11" s="472">
        <v>2.7E-2</v>
      </c>
      <c r="F11" s="472">
        <v>2.1000000000000001E-2</v>
      </c>
      <c r="G11" s="475" t="s">
        <v>716</v>
      </c>
    </row>
    <row r="12" spans="1:7">
      <c r="A12" s="507">
        <v>2026</v>
      </c>
      <c r="B12" s="508">
        <v>4.3999999999999997E-2</v>
      </c>
      <c r="C12" s="508">
        <v>2.7E-2</v>
      </c>
      <c r="D12" s="508">
        <v>5.8000000000000003E-2</v>
      </c>
      <c r="E12" s="508">
        <v>3.2000000000000001E-2</v>
      </c>
      <c r="F12" s="508">
        <v>2.5999999999999999E-2</v>
      </c>
      <c r="G12" s="509" t="s">
        <v>717</v>
      </c>
    </row>
    <row r="13" spans="1:7">
      <c r="A13" s="507">
        <v>2027</v>
      </c>
      <c r="B13" s="508">
        <v>3.4000000000000002E-2</v>
      </c>
      <c r="C13" s="508">
        <v>2.1999999999999999E-2</v>
      </c>
      <c r="D13" s="508">
        <v>4.2999999999999997E-2</v>
      </c>
      <c r="E13" s="508">
        <v>2.1000000000000001E-2</v>
      </c>
      <c r="F13" s="508">
        <v>2.1999999999999999E-2</v>
      </c>
      <c r="G13" s="509" t="s">
        <v>717</v>
      </c>
    </row>
    <row r="14" spans="1:7">
      <c r="A14" s="510">
        <v>2028</v>
      </c>
      <c r="B14" s="511">
        <v>3.1E-2</v>
      </c>
      <c r="C14" s="511">
        <v>2.1000000000000001E-2</v>
      </c>
      <c r="D14" s="511">
        <v>0.04</v>
      </c>
      <c r="E14" s="511">
        <v>2.1000000000000001E-2</v>
      </c>
      <c r="F14" s="511">
        <v>0.02</v>
      </c>
      <c r="G14" s="512" t="s">
        <v>718</v>
      </c>
    </row>
    <row r="15" spans="1:7">
      <c r="A15" s="510">
        <v>2029</v>
      </c>
      <c r="B15" s="511">
        <v>2.9000000000000001E-2</v>
      </c>
      <c r="C15" s="511">
        <v>0.02</v>
      </c>
      <c r="D15" s="511">
        <v>3.6999999999999998E-2</v>
      </c>
      <c r="E15" s="511">
        <v>2.1000000000000001E-2</v>
      </c>
      <c r="F15" s="511">
        <v>0.02</v>
      </c>
      <c r="G15" s="512" t="s">
        <v>718</v>
      </c>
    </row>
    <row r="16" spans="1:7">
      <c r="A16" s="510">
        <v>2030</v>
      </c>
      <c r="B16" s="511">
        <v>2.8000000000000001E-2</v>
      </c>
      <c r="C16" s="511">
        <v>0.02</v>
      </c>
      <c r="D16" s="511">
        <v>3.5000000000000003E-2</v>
      </c>
      <c r="E16" s="511">
        <v>0.02</v>
      </c>
      <c r="F16" s="511">
        <v>0.02</v>
      </c>
      <c r="G16" s="512" t="s">
        <v>718</v>
      </c>
    </row>
    <row r="17" spans="1:8">
      <c r="A17" s="513">
        <v>2031</v>
      </c>
      <c r="B17" s="514">
        <v>2.7E-2</v>
      </c>
      <c r="C17" s="514">
        <v>1.9E-2</v>
      </c>
      <c r="D17" s="514">
        <v>3.3000000000000002E-2</v>
      </c>
      <c r="E17" s="514">
        <v>0.02</v>
      </c>
      <c r="F17" s="514">
        <v>1.9E-2</v>
      </c>
      <c r="G17" s="515" t="s">
        <v>718</v>
      </c>
    </row>
    <row r="18" spans="1:8">
      <c r="A18" s="123"/>
    </row>
    <row r="19" spans="1:8">
      <c r="A19" s="467" t="s">
        <v>719</v>
      </c>
    </row>
    <row r="20" spans="1:8">
      <c r="A20" s="517" t="s">
        <v>720</v>
      </c>
      <c r="B20" s="518">
        <v>2026</v>
      </c>
      <c r="C20" s="518">
        <v>2027</v>
      </c>
      <c r="D20" s="519" t="s">
        <v>446</v>
      </c>
    </row>
    <row r="21" spans="1:8">
      <c r="A21" s="479" t="s">
        <v>721</v>
      </c>
      <c r="B21" s="476">
        <v>4.3999999999999997E-2</v>
      </c>
      <c r="C21" s="476">
        <v>3.4000000000000002E-2</v>
      </c>
      <c r="D21" s="482" t="s">
        <v>722</v>
      </c>
      <c r="H21" s="468" t="s">
        <v>726</v>
      </c>
    </row>
    <row r="22" spans="1:8">
      <c r="A22" s="480" t="s">
        <v>723</v>
      </c>
      <c r="B22" s="477">
        <v>5.3999999999999999E-2</v>
      </c>
      <c r="C22" s="477">
        <v>4.4999999999999998E-2</v>
      </c>
      <c r="D22" s="482" t="s">
        <v>724</v>
      </c>
      <c r="H22" s="470" t="s">
        <v>727</v>
      </c>
    </row>
    <row r="23" spans="1:8">
      <c r="A23" s="481" t="s">
        <v>725</v>
      </c>
      <c r="B23" s="478">
        <v>5.8000000000000003E-2</v>
      </c>
      <c r="C23" s="478">
        <v>0.06</v>
      </c>
      <c r="D23" s="483" t="s">
        <v>769</v>
      </c>
      <c r="H23" s="470" t="s">
        <v>728</v>
      </c>
    </row>
    <row r="24" spans="1:8">
      <c r="A24" s="123"/>
    </row>
    <row r="25" spans="1:8">
      <c r="B25" s="469"/>
      <c r="C25" s="469"/>
      <c r="D25" s="469"/>
    </row>
    <row r="26" spans="1:8">
      <c r="A26" s="123"/>
    </row>
    <row r="27" spans="1:8">
      <c r="A27" s="531" t="s">
        <v>752</v>
      </c>
    </row>
    <row r="28" spans="1:8">
      <c r="A28" s="520" t="s">
        <v>708</v>
      </c>
    </row>
    <row r="29" spans="1:8">
      <c r="A29" s="123"/>
    </row>
    <row r="30" spans="1:8">
      <c r="A30" s="504" t="s">
        <v>709</v>
      </c>
      <c r="B30" s="505" t="s">
        <v>710</v>
      </c>
      <c r="C30" s="505" t="s">
        <v>711</v>
      </c>
      <c r="D30" s="505" t="s">
        <v>712</v>
      </c>
      <c r="E30" s="505" t="s">
        <v>713</v>
      </c>
      <c r="F30" s="505" t="s">
        <v>714</v>
      </c>
    </row>
    <row r="31" spans="1:8">
      <c r="A31" s="474">
        <v>2020</v>
      </c>
      <c r="B31" s="472">
        <v>-2.8000000000000001E-2</v>
      </c>
      <c r="C31" s="472">
        <v>-4.2000000000000003E-2</v>
      </c>
      <c r="D31" s="472">
        <v>-1.7999999999999999E-2</v>
      </c>
      <c r="E31" s="473">
        <v>-2.8000000000000001E-2</v>
      </c>
      <c r="F31" s="472">
        <v>-6.3E-2</v>
      </c>
    </row>
    <row r="32" spans="1:8">
      <c r="A32" s="474">
        <v>2021</v>
      </c>
      <c r="B32" s="472">
        <v>6.3E-2</v>
      </c>
      <c r="C32" s="472">
        <v>5.3999999999999999E-2</v>
      </c>
      <c r="D32" s="472">
        <v>6.9000000000000006E-2</v>
      </c>
      <c r="E32" s="472">
        <v>5.8999999999999997E-2</v>
      </c>
      <c r="F32" s="472">
        <v>5.6000000000000001E-2</v>
      </c>
    </row>
    <row r="33" spans="1:8">
      <c r="A33" s="474">
        <v>2022</v>
      </c>
      <c r="B33" s="472">
        <v>3.5000000000000003E-2</v>
      </c>
      <c r="C33" s="472">
        <v>2.7E-2</v>
      </c>
      <c r="D33" s="472">
        <v>4.2000000000000003E-2</v>
      </c>
      <c r="E33" s="472">
        <v>1.9E-2</v>
      </c>
      <c r="F33" s="472">
        <v>3.5999999999999997E-2</v>
      </c>
    </row>
    <row r="34" spans="1:8">
      <c r="A34" s="474">
        <v>2023</v>
      </c>
      <c r="B34" s="472">
        <v>3.4000000000000002E-2</v>
      </c>
      <c r="C34" s="472">
        <v>1.7000000000000001E-2</v>
      </c>
      <c r="D34" s="472">
        <v>4.4999999999999998E-2</v>
      </c>
      <c r="E34" s="472">
        <v>2.9000000000000001E-2</v>
      </c>
      <c r="F34" s="472">
        <v>4.0000000000000001E-3</v>
      </c>
    </row>
    <row r="35" spans="1:8">
      <c r="A35" s="474">
        <v>2024</v>
      </c>
      <c r="B35" s="472">
        <v>3.2000000000000001E-2</v>
      </c>
      <c r="C35" s="472">
        <v>1.7999999999999999E-2</v>
      </c>
      <c r="D35" s="472">
        <v>4.2000000000000003E-2</v>
      </c>
      <c r="E35" s="472">
        <v>2.8000000000000001E-2</v>
      </c>
      <c r="F35" s="472">
        <v>8.0000000000000002E-3</v>
      </c>
    </row>
    <row r="36" spans="1:8">
      <c r="A36" s="474">
        <v>2025</v>
      </c>
      <c r="B36" s="472">
        <v>2.8000000000000001E-2</v>
      </c>
      <c r="C36" s="472">
        <v>1.4E-2</v>
      </c>
      <c r="D36" s="472">
        <v>3.7999999999999999E-2</v>
      </c>
      <c r="E36" s="472">
        <v>1.6E-2</v>
      </c>
      <c r="F36" s="472">
        <v>8.9999999999999993E-3</v>
      </c>
    </row>
    <row r="37" spans="1:8">
      <c r="A37" s="507">
        <v>2026</v>
      </c>
      <c r="B37" s="508">
        <v>0.03</v>
      </c>
      <c r="C37" s="508">
        <v>1.4999999999999999E-2</v>
      </c>
      <c r="D37" s="508">
        <v>0.04</v>
      </c>
      <c r="E37" s="508">
        <v>1.7000000000000001E-2</v>
      </c>
      <c r="F37" s="508">
        <v>0.01</v>
      </c>
    </row>
    <row r="38" spans="1:8">
      <c r="A38" s="507">
        <v>2027</v>
      </c>
      <c r="B38" s="508">
        <v>0.03</v>
      </c>
      <c r="C38" s="508">
        <v>1.6E-2</v>
      </c>
      <c r="D38" s="508">
        <v>3.9E-2</v>
      </c>
      <c r="E38" s="508">
        <v>1.7999999999999999E-2</v>
      </c>
      <c r="F38" s="508">
        <v>1.2999999999999999E-2</v>
      </c>
    </row>
    <row r="39" spans="1:8">
      <c r="A39" s="510">
        <v>2028</v>
      </c>
      <c r="B39" s="511">
        <v>3.1E-2</v>
      </c>
      <c r="C39" s="511">
        <v>1.6E-2</v>
      </c>
      <c r="D39" s="511">
        <v>3.9E-2</v>
      </c>
      <c r="E39" s="511">
        <v>1.9E-2</v>
      </c>
      <c r="F39" s="511">
        <v>1.2999999999999999E-2</v>
      </c>
    </row>
    <row r="40" spans="1:8">
      <c r="A40" s="510">
        <v>2029</v>
      </c>
      <c r="B40" s="511">
        <v>3.1E-2</v>
      </c>
      <c r="C40" s="511">
        <v>1.6E-2</v>
      </c>
      <c r="D40" s="511">
        <v>3.9E-2</v>
      </c>
      <c r="E40" s="511">
        <v>0.02</v>
      </c>
      <c r="F40" s="511">
        <v>1.2999999999999999E-2</v>
      </c>
    </row>
    <row r="41" spans="1:8">
      <c r="A41" s="510">
        <v>2030</v>
      </c>
      <c r="B41" s="511">
        <v>3.1E-2</v>
      </c>
      <c r="C41" s="511">
        <v>1.6E-2</v>
      </c>
      <c r="D41" s="511">
        <v>3.9E-2</v>
      </c>
      <c r="E41" s="511">
        <v>0.02</v>
      </c>
      <c r="F41" s="511">
        <v>1.2999999999999999E-2</v>
      </c>
    </row>
    <row r="42" spans="1:8">
      <c r="A42" s="513">
        <v>2031</v>
      </c>
      <c r="B42" s="514">
        <v>3.1E-2</v>
      </c>
      <c r="C42" s="514">
        <v>1.6E-2</v>
      </c>
      <c r="D42" s="514">
        <v>3.9E-2</v>
      </c>
      <c r="E42" s="514">
        <v>0.02</v>
      </c>
      <c r="F42" s="514">
        <v>1.2999999999999999E-2</v>
      </c>
    </row>
    <row r="43" spans="1:8">
      <c r="A43" s="123"/>
      <c r="H43" s="552" t="s">
        <v>726</v>
      </c>
    </row>
    <row r="44" spans="1:8">
      <c r="H44" s="553" t="s">
        <v>754</v>
      </c>
    </row>
    <row r="45" spans="1:8">
      <c r="H45" s="553" t="s">
        <v>755</v>
      </c>
    </row>
    <row r="47" spans="1:8" ht="18">
      <c r="A47" s="516" t="s">
        <v>360</v>
      </c>
    </row>
    <row r="48" spans="1:8" ht="68" customHeight="1">
      <c r="A48" s="729" t="s">
        <v>852</v>
      </c>
      <c r="B48" s="729"/>
      <c r="C48" s="729"/>
      <c r="D48" s="729"/>
    </row>
    <row r="49" spans="1:6" ht="49" customHeight="1">
      <c r="A49" s="730" t="s">
        <v>770</v>
      </c>
      <c r="B49" s="730"/>
      <c r="C49" s="730"/>
      <c r="D49" s="730"/>
    </row>
    <row r="50" spans="1:6" ht="18">
      <c r="A50" s="492"/>
    </row>
    <row r="51" spans="1:6" ht="19">
      <c r="A51" s="554">
        <v>0.04</v>
      </c>
      <c r="B51" s="555" t="s">
        <v>771</v>
      </c>
      <c r="C51" s="534" t="s">
        <v>772</v>
      </c>
      <c r="D51" s="556" t="s">
        <v>773</v>
      </c>
      <c r="E51" s="555" t="s">
        <v>774</v>
      </c>
    </row>
    <row r="52" spans="1:6" ht="19">
      <c r="A52" s="557">
        <v>8.5000000000000006E-2</v>
      </c>
      <c r="B52" s="558" t="s">
        <v>775</v>
      </c>
      <c r="C52" s="535" t="s">
        <v>776</v>
      </c>
      <c r="D52" s="559" t="s">
        <v>777</v>
      </c>
      <c r="E52" s="560" t="s">
        <v>778</v>
      </c>
    </row>
    <row r="55" spans="1:6" ht="85">
      <c r="A55" s="630" t="s">
        <v>779</v>
      </c>
      <c r="B55" s="630" t="s">
        <v>780</v>
      </c>
      <c r="C55" s="630" t="s">
        <v>781</v>
      </c>
      <c r="D55" s="630" t="s">
        <v>782</v>
      </c>
      <c r="E55" s="631" t="s">
        <v>783</v>
      </c>
    </row>
    <row r="56" spans="1:6" ht="86" customHeight="1">
      <c r="A56" s="632" t="s">
        <v>784</v>
      </c>
      <c r="B56" s="632" t="s">
        <v>785</v>
      </c>
      <c r="C56" s="632" t="s">
        <v>786</v>
      </c>
      <c r="D56" s="633" t="s">
        <v>853</v>
      </c>
      <c r="E56" s="634" t="s">
        <v>280</v>
      </c>
    </row>
    <row r="57" spans="1:6" ht="59" customHeight="1">
      <c r="A57" s="632" t="s">
        <v>787</v>
      </c>
      <c r="B57" s="632" t="s">
        <v>788</v>
      </c>
      <c r="C57" s="632" t="s">
        <v>789</v>
      </c>
      <c r="D57" s="633" t="s">
        <v>854</v>
      </c>
      <c r="E57" s="634" t="s">
        <v>790</v>
      </c>
    </row>
    <row r="58" spans="1:6" ht="58" customHeight="1">
      <c r="A58" s="632" t="s">
        <v>791</v>
      </c>
      <c r="B58" s="632" t="s">
        <v>792</v>
      </c>
      <c r="C58" s="632" t="s">
        <v>793</v>
      </c>
      <c r="D58" s="633" t="s">
        <v>855</v>
      </c>
      <c r="E58" s="634" t="s">
        <v>790</v>
      </c>
    </row>
    <row r="59" spans="1:6" ht="52" customHeight="1">
      <c r="A59" s="632" t="s">
        <v>794</v>
      </c>
      <c r="B59" s="632" t="s">
        <v>795</v>
      </c>
      <c r="C59" s="632" t="s">
        <v>796</v>
      </c>
      <c r="D59" s="635" t="s">
        <v>797</v>
      </c>
      <c r="E59" s="634" t="s">
        <v>280</v>
      </c>
    </row>
    <row r="60" spans="1:6" ht="65" customHeight="1">
      <c r="A60" s="636" t="s">
        <v>798</v>
      </c>
      <c r="B60" s="636" t="s">
        <v>799</v>
      </c>
      <c r="C60" s="636" t="s">
        <v>800</v>
      </c>
      <c r="D60" s="637" t="s">
        <v>856</v>
      </c>
      <c r="E60" s="638" t="s">
        <v>49</v>
      </c>
    </row>
    <row r="64" spans="1:6" s="641" customFormat="1" ht="49" customHeight="1">
      <c r="A64" s="639" t="s">
        <v>801</v>
      </c>
      <c r="B64" s="639" t="s">
        <v>802</v>
      </c>
      <c r="C64" s="639" t="s">
        <v>118</v>
      </c>
      <c r="D64" s="639" t="s">
        <v>803</v>
      </c>
      <c r="E64" s="639" t="s">
        <v>804</v>
      </c>
      <c r="F64" s="640" t="s">
        <v>805</v>
      </c>
    </row>
    <row r="65" spans="1:6" s="641" customFormat="1" ht="49" customHeight="1">
      <c r="A65" s="642">
        <v>4896</v>
      </c>
      <c r="B65" s="642">
        <v>2682</v>
      </c>
      <c r="C65" s="643">
        <v>0.45200000000000001</v>
      </c>
      <c r="D65" s="643">
        <v>-8.9999999999999993E-3</v>
      </c>
      <c r="E65" s="643">
        <v>-0.05</v>
      </c>
      <c r="F65" s="634" t="s">
        <v>806</v>
      </c>
    </row>
    <row r="66" spans="1:6" s="641" customFormat="1" ht="49" customHeight="1">
      <c r="A66" s="642">
        <v>5190</v>
      </c>
      <c r="B66" s="642">
        <v>2927</v>
      </c>
      <c r="C66" s="643">
        <v>0.436</v>
      </c>
      <c r="D66" s="644">
        <v>0.1</v>
      </c>
      <c r="E66" s="644">
        <v>0.2</v>
      </c>
      <c r="F66" s="634" t="s">
        <v>807</v>
      </c>
    </row>
    <row r="67" spans="1:6" s="641" customFormat="1" ht="49" customHeight="1">
      <c r="A67" s="645">
        <v>5376</v>
      </c>
      <c r="B67" s="645">
        <v>3126</v>
      </c>
      <c r="C67" s="646">
        <v>0.41899999999999998</v>
      </c>
      <c r="D67" s="647">
        <v>9.5000000000000001E-2</v>
      </c>
      <c r="E67" s="646">
        <v>0.35</v>
      </c>
      <c r="F67" s="648" t="s">
        <v>808</v>
      </c>
    </row>
    <row r="68" spans="1:6" s="641" customFormat="1" ht="49" customHeight="1">
      <c r="A68" s="642">
        <v>5868</v>
      </c>
      <c r="B68" s="642">
        <v>3279</v>
      </c>
      <c r="C68" s="643">
        <v>0.441</v>
      </c>
      <c r="D68" s="643">
        <v>1.2E-2</v>
      </c>
      <c r="E68" s="649">
        <v>-0.05</v>
      </c>
      <c r="F68" s="634" t="s">
        <v>809</v>
      </c>
    </row>
    <row r="69" spans="1:6" s="641" customFormat="1" ht="49" customHeight="1">
      <c r="A69" s="642">
        <v>6107</v>
      </c>
      <c r="B69" s="642">
        <v>3317</v>
      </c>
      <c r="C69" s="649">
        <v>0.45700000000000002</v>
      </c>
      <c r="D69" s="643">
        <v>1.7999999999999999E-2</v>
      </c>
      <c r="E69" s="643">
        <v>0.02</v>
      </c>
      <c r="F69" s="634" t="s">
        <v>810</v>
      </c>
    </row>
    <row r="70" spans="1:6" s="641" customFormat="1" ht="49" customHeight="1">
      <c r="A70" s="650">
        <v>6203</v>
      </c>
      <c r="B70" s="650">
        <v>3428</v>
      </c>
      <c r="C70" s="651">
        <v>0.44700000000000001</v>
      </c>
      <c r="D70" s="651">
        <v>2.5000000000000001E-2</v>
      </c>
      <c r="E70" s="651">
        <v>0.03</v>
      </c>
      <c r="F70" s="638" t="s">
        <v>811</v>
      </c>
    </row>
    <row r="73" spans="1:6" ht="68">
      <c r="A73" s="639" t="s">
        <v>812</v>
      </c>
      <c r="B73" s="639" t="s">
        <v>813</v>
      </c>
      <c r="C73" s="639" t="s">
        <v>814</v>
      </c>
      <c r="D73" s="639" t="s">
        <v>815</v>
      </c>
      <c r="E73" s="640" t="s">
        <v>816</v>
      </c>
      <c r="F73" s="641"/>
    </row>
    <row r="74" spans="1:6" ht="103" customHeight="1">
      <c r="A74" s="652" t="s">
        <v>817</v>
      </c>
      <c r="B74" s="652" t="s">
        <v>818</v>
      </c>
      <c r="C74" s="653" t="s">
        <v>819</v>
      </c>
      <c r="D74" s="652" t="s">
        <v>820</v>
      </c>
      <c r="E74" s="654" t="s">
        <v>821</v>
      </c>
      <c r="F74" s="641"/>
    </row>
    <row r="75" spans="1:6" ht="103" customHeight="1">
      <c r="A75" s="655" t="s">
        <v>823</v>
      </c>
      <c r="B75" s="655" t="s">
        <v>824</v>
      </c>
      <c r="C75" s="656" t="s">
        <v>825</v>
      </c>
      <c r="D75" s="655" t="s">
        <v>826</v>
      </c>
      <c r="E75" s="657" t="s">
        <v>827</v>
      </c>
      <c r="F75" s="641"/>
    </row>
    <row r="76" spans="1:6" ht="103" customHeight="1">
      <c r="A76" s="658" t="s">
        <v>824</v>
      </c>
      <c r="B76" s="658" t="s">
        <v>829</v>
      </c>
      <c r="C76" s="659" t="s">
        <v>830</v>
      </c>
      <c r="D76" s="658" t="s">
        <v>831</v>
      </c>
      <c r="E76" s="660" t="s">
        <v>832</v>
      </c>
      <c r="F76" s="641"/>
    </row>
    <row r="79" spans="1:6" ht="68">
      <c r="A79" s="639" t="s">
        <v>838</v>
      </c>
      <c r="B79" s="639" t="s">
        <v>839</v>
      </c>
      <c r="C79" s="639" t="s">
        <v>813</v>
      </c>
      <c r="D79" s="639" t="s">
        <v>837</v>
      </c>
      <c r="E79" s="640" t="s">
        <v>715</v>
      </c>
      <c r="F79" s="641"/>
    </row>
    <row r="80" spans="1:6" ht="17">
      <c r="A80" s="643">
        <v>1.7999999999999999E-2</v>
      </c>
      <c r="B80" s="643">
        <v>5.0000000000000001E-3</v>
      </c>
      <c r="C80" s="643">
        <v>-0.04</v>
      </c>
      <c r="D80" s="643"/>
      <c r="E80" s="634" t="s">
        <v>840</v>
      </c>
      <c r="F80" s="641"/>
    </row>
    <row r="81" spans="1:6" ht="17">
      <c r="A81" s="643">
        <v>-8.9999999999999993E-3</v>
      </c>
      <c r="B81" s="643">
        <v>-0.05</v>
      </c>
      <c r="C81" s="643">
        <v>-0.25</v>
      </c>
      <c r="D81" s="643">
        <v>0.45200000000000001</v>
      </c>
      <c r="E81" s="634" t="s">
        <v>840</v>
      </c>
      <c r="F81" s="641"/>
    </row>
    <row r="82" spans="1:6" ht="17">
      <c r="A82" s="644">
        <v>0.1</v>
      </c>
      <c r="B82" s="644">
        <v>0.2</v>
      </c>
      <c r="C82" s="644">
        <v>0.35</v>
      </c>
      <c r="D82" s="644">
        <v>0.436</v>
      </c>
      <c r="E82" s="634" t="s">
        <v>840</v>
      </c>
      <c r="F82" s="641"/>
    </row>
    <row r="83" spans="1:6" ht="34">
      <c r="A83" s="647">
        <v>9.5000000000000001E-2</v>
      </c>
      <c r="B83" s="646">
        <v>0.35</v>
      </c>
      <c r="C83" s="646">
        <v>0.4</v>
      </c>
      <c r="D83" s="646">
        <v>0.41899999999999998</v>
      </c>
      <c r="E83" s="648" t="s">
        <v>841</v>
      </c>
      <c r="F83" s="641"/>
    </row>
    <row r="84" spans="1:6" ht="17">
      <c r="A84" s="643">
        <v>1.2E-2</v>
      </c>
      <c r="B84" s="649">
        <v>-0.05</v>
      </c>
      <c r="C84" s="649">
        <v>-0.15</v>
      </c>
      <c r="D84" s="643">
        <v>0.441</v>
      </c>
      <c r="E84" s="634" t="s">
        <v>840</v>
      </c>
      <c r="F84" s="641"/>
    </row>
    <row r="85" spans="1:6" ht="17">
      <c r="A85" s="643">
        <v>1.7999999999999999E-2</v>
      </c>
      <c r="B85" s="643">
        <v>0.02</v>
      </c>
      <c r="C85" s="643">
        <v>0.05</v>
      </c>
      <c r="D85" s="649">
        <v>0.45700000000000002</v>
      </c>
      <c r="E85" s="634" t="s">
        <v>840</v>
      </c>
      <c r="F85" s="641"/>
    </row>
    <row r="86" spans="1:6" ht="34">
      <c r="A86" s="643">
        <v>2.5000000000000001E-2</v>
      </c>
      <c r="B86" s="643">
        <v>0.03</v>
      </c>
      <c r="C86" s="661">
        <v>8.5000000000000006E-2</v>
      </c>
      <c r="D86" s="643">
        <v>0.44700000000000001</v>
      </c>
      <c r="E86" s="634" t="s">
        <v>842</v>
      </c>
      <c r="F86" s="641"/>
    </row>
    <row r="87" spans="1:6" ht="34">
      <c r="A87" s="662">
        <v>0.03</v>
      </c>
      <c r="B87" s="662">
        <v>2.8000000000000001E-2</v>
      </c>
      <c r="C87" s="662">
        <v>3.5000000000000003E-2</v>
      </c>
      <c r="D87" s="663">
        <v>0.45700000000000002</v>
      </c>
      <c r="E87" s="664" t="s">
        <v>843</v>
      </c>
      <c r="F87" s="641"/>
    </row>
    <row r="88" spans="1:6" ht="34">
      <c r="A88" s="662">
        <v>2.5000000000000001E-2</v>
      </c>
      <c r="B88" s="662">
        <v>2.1999999999999999E-2</v>
      </c>
      <c r="C88" s="662">
        <v>2.5000000000000001E-2</v>
      </c>
      <c r="D88" s="663">
        <v>0.46200000000000002</v>
      </c>
      <c r="E88" s="665" t="s">
        <v>843</v>
      </c>
      <c r="F88" s="641"/>
    </row>
    <row r="89" spans="1:6" ht="51">
      <c r="A89" s="666">
        <v>2.1999999999999999E-2</v>
      </c>
      <c r="B89" s="666">
        <v>0.02</v>
      </c>
      <c r="C89" s="666">
        <v>0.02</v>
      </c>
      <c r="D89" s="667">
        <v>0.46800000000000003</v>
      </c>
      <c r="E89" s="668" t="s">
        <v>844</v>
      </c>
      <c r="F89" s="641"/>
    </row>
    <row r="90" spans="1:6" ht="51">
      <c r="A90" s="666">
        <v>0.02</v>
      </c>
      <c r="B90" s="666">
        <v>1.7999999999999999E-2</v>
      </c>
      <c r="C90" s="666">
        <v>1.7999999999999999E-2</v>
      </c>
      <c r="D90" s="667">
        <v>0.47199999999999998</v>
      </c>
      <c r="E90" s="668" t="s">
        <v>844</v>
      </c>
      <c r="F90" s="641"/>
    </row>
    <row r="91" spans="1:6" ht="51">
      <c r="A91" s="669">
        <v>0.02</v>
      </c>
      <c r="B91" s="669">
        <v>1.7999999999999999E-2</v>
      </c>
      <c r="C91" s="669">
        <v>1.7999999999999999E-2</v>
      </c>
      <c r="D91" s="670">
        <v>0.47499999999999998</v>
      </c>
      <c r="E91" s="671" t="s">
        <v>844</v>
      </c>
      <c r="F91" s="641"/>
    </row>
    <row r="92" spans="1:6" ht="18">
      <c r="A92" s="537"/>
    </row>
    <row r="93" spans="1:6" ht="18">
      <c r="A93" s="537"/>
    </row>
    <row r="94" spans="1:6" ht="18">
      <c r="A94" s="537"/>
    </row>
    <row r="95" spans="1:6" ht="18">
      <c r="A95" s="537"/>
    </row>
    <row r="96" spans="1:6" ht="18">
      <c r="A96" s="537"/>
    </row>
    <row r="97" spans="1:5" ht="18">
      <c r="A97" s="537"/>
    </row>
    <row r="98" spans="1:5">
      <c r="A98" s="538" t="s">
        <v>845</v>
      </c>
    </row>
    <row r="99" spans="1:5" ht="34">
      <c r="A99" s="672" t="s">
        <v>709</v>
      </c>
      <c r="B99" s="639" t="s">
        <v>13</v>
      </c>
      <c r="C99" s="639" t="s">
        <v>822</v>
      </c>
      <c r="D99" s="639" t="s">
        <v>828</v>
      </c>
      <c r="E99" s="673" t="s">
        <v>846</v>
      </c>
    </row>
    <row r="100" spans="1:5" ht="80" customHeight="1">
      <c r="A100" s="678">
        <v>2026</v>
      </c>
      <c r="B100" s="649">
        <v>0.45700000000000002</v>
      </c>
      <c r="C100" s="661">
        <v>0.442</v>
      </c>
      <c r="D100" s="644">
        <v>0.43</v>
      </c>
      <c r="E100" s="634" t="s">
        <v>847</v>
      </c>
    </row>
    <row r="101" spans="1:5" ht="80" customHeight="1">
      <c r="A101" s="678">
        <v>2027</v>
      </c>
      <c r="B101" s="649">
        <v>0.46200000000000002</v>
      </c>
      <c r="C101" s="661">
        <v>0.44500000000000001</v>
      </c>
      <c r="D101" s="644">
        <v>0.42499999999999999</v>
      </c>
      <c r="E101" s="634" t="s">
        <v>848</v>
      </c>
    </row>
    <row r="102" spans="1:5" ht="80" customHeight="1">
      <c r="A102" s="678">
        <v>2028</v>
      </c>
      <c r="B102" s="649">
        <v>0.46800000000000003</v>
      </c>
      <c r="C102" s="661">
        <v>0.45200000000000001</v>
      </c>
      <c r="D102" s="644">
        <v>0.435</v>
      </c>
      <c r="E102" s="634" t="s">
        <v>849</v>
      </c>
    </row>
    <row r="103" spans="1:5" ht="80" customHeight="1">
      <c r="A103" s="678">
        <v>2029</v>
      </c>
      <c r="B103" s="649">
        <v>0.47199999999999998</v>
      </c>
      <c r="C103" s="661">
        <v>0.45800000000000002</v>
      </c>
      <c r="D103" s="644">
        <v>0.44</v>
      </c>
      <c r="E103" s="634" t="s">
        <v>850</v>
      </c>
    </row>
    <row r="104" spans="1:5" ht="80" customHeight="1">
      <c r="A104" s="679">
        <v>2030</v>
      </c>
      <c r="B104" s="674">
        <v>0.47499999999999998</v>
      </c>
      <c r="C104" s="675">
        <v>0.46200000000000002</v>
      </c>
      <c r="D104" s="676">
        <v>0.44500000000000001</v>
      </c>
      <c r="E104" s="638" t="s">
        <v>851</v>
      </c>
    </row>
    <row r="105" spans="1:5" ht="18">
      <c r="A105" s="537"/>
    </row>
    <row r="106" spans="1:5" ht="18">
      <c r="A106" s="537"/>
    </row>
    <row r="107" spans="1:5">
      <c r="A107" s="447" t="s">
        <v>709</v>
      </c>
      <c r="B107" s="447" t="s">
        <v>837</v>
      </c>
      <c r="C107" s="447" t="s">
        <v>838</v>
      </c>
      <c r="D107" s="447" t="s">
        <v>804</v>
      </c>
    </row>
    <row r="108" spans="1:5">
      <c r="A108" s="484">
        <v>2019</v>
      </c>
      <c r="B108" s="485">
        <v>0.45200000000000001</v>
      </c>
      <c r="C108" s="485">
        <v>1.7999999999999999E-2</v>
      </c>
      <c r="D108" s="485">
        <v>5.0000000000000001E-3</v>
      </c>
    </row>
    <row r="109" spans="1:5">
      <c r="A109" s="484">
        <v>2020</v>
      </c>
      <c r="B109" s="485">
        <v>0.45200000000000001</v>
      </c>
      <c r="C109" s="485">
        <v>-8.9999999999999993E-3</v>
      </c>
      <c r="D109" s="485">
        <v>-0.05</v>
      </c>
    </row>
    <row r="110" spans="1:5">
      <c r="A110" s="484">
        <v>2021</v>
      </c>
      <c r="B110" s="485">
        <v>0.436</v>
      </c>
      <c r="C110" s="485">
        <v>0.1</v>
      </c>
      <c r="D110" s="485">
        <v>0.2</v>
      </c>
    </row>
    <row r="111" spans="1:5">
      <c r="A111" s="484">
        <v>2022</v>
      </c>
      <c r="B111" s="485">
        <v>0.41899999999999998</v>
      </c>
      <c r="C111" s="485">
        <v>9.5000000000000001E-2</v>
      </c>
      <c r="D111" s="485">
        <v>0.35</v>
      </c>
    </row>
    <row r="112" spans="1:5">
      <c r="A112" s="484">
        <v>2023</v>
      </c>
      <c r="B112" s="485">
        <v>0.441</v>
      </c>
      <c r="C112" s="485">
        <v>1.2E-2</v>
      </c>
      <c r="D112" s="485">
        <v>-0.05</v>
      </c>
    </row>
    <row r="113" spans="1:14">
      <c r="A113" s="484">
        <v>2024</v>
      </c>
      <c r="B113" s="485">
        <v>0.45700000000000002</v>
      </c>
      <c r="C113" s="485">
        <v>1.7999999999999999E-2</v>
      </c>
      <c r="D113" s="485">
        <v>0.02</v>
      </c>
    </row>
    <row r="114" spans="1:14">
      <c r="A114" s="484">
        <v>2025</v>
      </c>
      <c r="B114" s="485">
        <v>0.44700000000000001</v>
      </c>
      <c r="C114" s="485">
        <v>2.5000000000000001E-2</v>
      </c>
      <c r="D114" s="485">
        <v>0.03</v>
      </c>
    </row>
    <row r="115" spans="1:14">
      <c r="A115" s="484">
        <v>2026</v>
      </c>
      <c r="B115" s="485">
        <v>0.45700000000000002</v>
      </c>
      <c r="C115" s="485">
        <v>0.03</v>
      </c>
      <c r="D115" s="485">
        <v>2.8000000000000001E-2</v>
      </c>
    </row>
    <row r="116" spans="1:14">
      <c r="A116" s="484">
        <v>2027</v>
      </c>
      <c r="B116" s="485">
        <v>0.46200000000000002</v>
      </c>
      <c r="C116" s="485">
        <v>2.5000000000000001E-2</v>
      </c>
      <c r="D116" s="485">
        <v>2.1999999999999999E-2</v>
      </c>
    </row>
    <row r="117" spans="1:14">
      <c r="A117" s="484">
        <v>2028</v>
      </c>
      <c r="B117" s="485">
        <v>0.46800000000000003</v>
      </c>
      <c r="C117" s="485">
        <v>2.1999999999999999E-2</v>
      </c>
      <c r="D117" s="485">
        <v>0.02</v>
      </c>
    </row>
    <row r="118" spans="1:14">
      <c r="A118" s="484">
        <v>2029</v>
      </c>
      <c r="B118" s="485">
        <v>0.47199999999999998</v>
      </c>
      <c r="C118" s="485">
        <v>0.02</v>
      </c>
      <c r="D118" s="485">
        <v>1.7999999999999999E-2</v>
      </c>
    </row>
    <row r="119" spans="1:14">
      <c r="A119" s="484">
        <v>2030</v>
      </c>
      <c r="B119" s="485">
        <v>0.47499999999999998</v>
      </c>
      <c r="C119" s="485">
        <v>0.02</v>
      </c>
      <c r="D119" s="485">
        <v>1.7999999999999999E-2</v>
      </c>
    </row>
    <row r="120" spans="1:14" ht="18">
      <c r="A120" s="537"/>
    </row>
    <row r="121" spans="1:14" ht="18">
      <c r="A121" s="537"/>
    </row>
    <row r="122" spans="1:14" ht="18">
      <c r="A122" s="537"/>
    </row>
    <row r="123" spans="1:14" ht="46" customHeight="1">
      <c r="A123" s="728" t="s">
        <v>833</v>
      </c>
      <c r="B123" s="728"/>
      <c r="C123" s="728"/>
      <c r="D123" s="728"/>
    </row>
    <row r="124" spans="1:14" ht="46" customHeight="1">
      <c r="A124" s="728" t="s">
        <v>834</v>
      </c>
      <c r="B124" s="728"/>
      <c r="C124" s="728"/>
      <c r="D124" s="728"/>
    </row>
    <row r="125" spans="1:14" ht="46" customHeight="1">
      <c r="A125" s="728" t="s">
        <v>835</v>
      </c>
      <c r="B125" s="728"/>
      <c r="C125" s="728"/>
      <c r="D125" s="728"/>
    </row>
    <row r="126" spans="1:14" ht="46" customHeight="1">
      <c r="A126" s="728" t="s">
        <v>857</v>
      </c>
      <c r="B126" s="728"/>
      <c r="C126" s="728"/>
      <c r="D126" s="728"/>
    </row>
    <row r="127" spans="1:14" ht="58" customHeight="1">
      <c r="A127" s="728" t="s">
        <v>836</v>
      </c>
      <c r="B127" s="728"/>
      <c r="C127" s="728"/>
      <c r="D127" s="728"/>
    </row>
    <row r="128" spans="1:14">
      <c r="A128" s="123"/>
      <c r="I128" s="447" t="s">
        <v>709</v>
      </c>
      <c r="J128" s="447" t="s">
        <v>739</v>
      </c>
      <c r="K128" s="447" t="s">
        <v>740</v>
      </c>
      <c r="L128" s="447" t="s">
        <v>741</v>
      </c>
      <c r="M128" s="447" t="s">
        <v>742</v>
      </c>
      <c r="N128" s="447" t="s">
        <v>743</v>
      </c>
    </row>
    <row r="129" spans="1:14">
      <c r="A129" s="123"/>
      <c r="I129" s="484">
        <v>2019</v>
      </c>
      <c r="J129" s="485">
        <f t="shared" ref="J129:J136" si="0">B139</f>
        <v>2.3E-2</v>
      </c>
      <c r="K129" s="485">
        <v>2.3E-2</v>
      </c>
      <c r="L129" s="485"/>
      <c r="M129" s="485"/>
      <c r="N129" s="485"/>
    </row>
    <row r="130" spans="1:14">
      <c r="A130" s="123"/>
      <c r="I130" s="484">
        <v>2020</v>
      </c>
      <c r="J130" s="485">
        <f t="shared" si="0"/>
        <v>1.2E-2</v>
      </c>
      <c r="K130" s="485">
        <v>1.7000000000000001E-2</v>
      </c>
      <c r="L130" s="485"/>
      <c r="M130" s="485"/>
      <c r="N130" s="485">
        <v>1.2E-2</v>
      </c>
    </row>
    <row r="131" spans="1:14" ht="18">
      <c r="A131" s="516" t="s">
        <v>361</v>
      </c>
      <c r="I131" s="484">
        <v>2021</v>
      </c>
      <c r="J131" s="485">
        <f t="shared" si="0"/>
        <v>4.7E-2</v>
      </c>
      <c r="K131" s="485">
        <v>3.5999999999999997E-2</v>
      </c>
      <c r="L131" s="485"/>
      <c r="M131" s="485"/>
      <c r="N131" s="485">
        <v>4.7E-2</v>
      </c>
    </row>
    <row r="132" spans="1:14">
      <c r="A132" s="454" t="s">
        <v>729</v>
      </c>
      <c r="I132" s="484">
        <v>2022</v>
      </c>
      <c r="J132" s="485">
        <f t="shared" si="0"/>
        <v>0.08</v>
      </c>
      <c r="K132" s="485">
        <v>6.0999999999999999E-2</v>
      </c>
      <c r="L132" s="485"/>
      <c r="M132" s="485"/>
      <c r="N132" s="485">
        <v>0.08</v>
      </c>
    </row>
    <row r="133" spans="1:14">
      <c r="A133" s="490" t="s">
        <v>730</v>
      </c>
      <c r="I133" s="484">
        <v>2023</v>
      </c>
      <c r="J133" s="485">
        <f t="shared" si="0"/>
        <v>4.1000000000000002E-2</v>
      </c>
      <c r="K133" s="485">
        <v>4.8000000000000001E-2</v>
      </c>
      <c r="L133" s="485"/>
      <c r="M133" s="485"/>
      <c r="N133" s="485">
        <v>4.1000000000000002E-2</v>
      </c>
    </row>
    <row r="134" spans="1:14" ht="18">
      <c r="A134" s="491"/>
      <c r="I134" s="484">
        <v>2024</v>
      </c>
      <c r="J134" s="485">
        <f t="shared" si="0"/>
        <v>2.9000000000000001E-2</v>
      </c>
      <c r="K134" s="485">
        <v>3.3000000000000002E-2</v>
      </c>
      <c r="L134" s="485"/>
      <c r="M134" s="485"/>
      <c r="N134" s="485">
        <v>2.9000000000000001E-2</v>
      </c>
    </row>
    <row r="135" spans="1:14" ht="19">
      <c r="A135" s="446" t="s">
        <v>731</v>
      </c>
      <c r="B135" s="493">
        <v>0.08</v>
      </c>
      <c r="C135" s="494" t="s">
        <v>732</v>
      </c>
      <c r="D135" s="495" t="s">
        <v>733</v>
      </c>
      <c r="E135" s="496">
        <v>3.3000000000000002E-2</v>
      </c>
      <c r="F135" s="494" t="s">
        <v>734</v>
      </c>
      <c r="I135" s="484">
        <v>2025</v>
      </c>
      <c r="J135" s="485">
        <f t="shared" si="0"/>
        <v>2.7E-2</v>
      </c>
      <c r="K135" s="485">
        <v>2.8000000000000001E-2</v>
      </c>
      <c r="L135" s="485"/>
      <c r="M135" s="485"/>
      <c r="N135" s="485">
        <v>2.7E-2</v>
      </c>
    </row>
    <row r="136" spans="1:14" ht="19">
      <c r="A136" s="446" t="s">
        <v>735</v>
      </c>
      <c r="B136" s="497">
        <v>2.8000000000000001E-2</v>
      </c>
      <c r="C136" s="494" t="s">
        <v>736</v>
      </c>
      <c r="D136" s="495" t="s">
        <v>737</v>
      </c>
      <c r="E136" s="498">
        <v>2028</v>
      </c>
      <c r="F136" s="494" t="s">
        <v>738</v>
      </c>
      <c r="I136" s="484">
        <v>2026</v>
      </c>
      <c r="J136" s="485">
        <f t="shared" si="0"/>
        <v>3.3000000000000002E-2</v>
      </c>
      <c r="K136" s="485">
        <v>2.5999999999999999E-2</v>
      </c>
      <c r="L136" s="485">
        <v>2.8000000000000001E-2</v>
      </c>
      <c r="M136" s="485">
        <v>2.5000000000000001E-2</v>
      </c>
      <c r="N136" s="485">
        <v>3.2000000000000001E-2</v>
      </c>
    </row>
    <row r="137" spans="1:14" ht="19" thickBot="1">
      <c r="A137" s="491"/>
      <c r="I137" s="484">
        <v>2027</v>
      </c>
      <c r="J137" s="485" t="str">
        <f>IF(B147=0,"",B147)</f>
        <v/>
      </c>
      <c r="K137" s="485"/>
      <c r="L137" s="485">
        <v>2.4E-2</v>
      </c>
      <c r="M137" s="485">
        <v>2.1000000000000001E-2</v>
      </c>
      <c r="N137" s="485">
        <v>2.1000000000000001E-2</v>
      </c>
    </row>
    <row r="138" spans="1:14" ht="20" customHeight="1">
      <c r="A138" s="521" t="s">
        <v>709</v>
      </c>
      <c r="B138" s="522" t="s">
        <v>739</v>
      </c>
      <c r="C138" s="522" t="s">
        <v>740</v>
      </c>
      <c r="D138" s="522" t="s">
        <v>741</v>
      </c>
      <c r="E138" s="522" t="s">
        <v>742</v>
      </c>
      <c r="F138" s="523" t="s">
        <v>743</v>
      </c>
      <c r="I138" s="484">
        <v>2028</v>
      </c>
      <c r="J138" s="485" t="str">
        <f>IF(B148=0,"",B148)</f>
        <v/>
      </c>
      <c r="K138" s="485"/>
      <c r="L138" s="485">
        <v>2.3E-2</v>
      </c>
      <c r="M138" s="485">
        <v>0.02</v>
      </c>
      <c r="N138" s="485">
        <v>2.1000000000000001E-2</v>
      </c>
    </row>
    <row r="139" spans="1:14" ht="20" customHeight="1">
      <c r="A139" s="524">
        <v>2019</v>
      </c>
      <c r="B139" s="472">
        <v>2.3E-2</v>
      </c>
      <c r="C139" s="472">
        <v>2.3E-2</v>
      </c>
      <c r="D139" s="489">
        <v>0</v>
      </c>
      <c r="E139" s="489">
        <v>0</v>
      </c>
      <c r="F139" s="525">
        <v>0</v>
      </c>
      <c r="I139" s="484">
        <v>2029</v>
      </c>
      <c r="J139" s="485" t="str">
        <f>IF(B149=0,"",B149)</f>
        <v/>
      </c>
      <c r="K139" s="485"/>
      <c r="L139" s="485">
        <v>2.3E-2</v>
      </c>
      <c r="M139" s="485">
        <v>0.02</v>
      </c>
      <c r="N139" s="485"/>
    </row>
    <row r="140" spans="1:14" ht="20" customHeight="1">
      <c r="A140" s="524">
        <v>2020</v>
      </c>
      <c r="B140" s="472">
        <v>1.2E-2</v>
      </c>
      <c r="C140" s="472">
        <v>1.7000000000000001E-2</v>
      </c>
      <c r="D140" s="489">
        <v>0</v>
      </c>
      <c r="E140" s="489">
        <v>0</v>
      </c>
      <c r="F140" s="525">
        <v>1.2E-2</v>
      </c>
      <c r="I140" s="484">
        <v>2030</v>
      </c>
      <c r="J140" s="485" t="str">
        <f>IF(B150=0,"",B150)</f>
        <v/>
      </c>
      <c r="K140" s="485"/>
      <c r="L140" s="485">
        <v>2.3E-2</v>
      </c>
      <c r="M140" s="485">
        <v>0.02</v>
      </c>
      <c r="N140" s="485"/>
    </row>
    <row r="141" spans="1:14" ht="20" customHeight="1">
      <c r="A141" s="524">
        <v>2021</v>
      </c>
      <c r="B141" s="472">
        <v>4.7E-2</v>
      </c>
      <c r="C141" s="472">
        <v>3.5999999999999997E-2</v>
      </c>
      <c r="D141" s="489">
        <v>0</v>
      </c>
      <c r="E141" s="489">
        <v>0</v>
      </c>
      <c r="F141" s="525">
        <v>4.7E-2</v>
      </c>
      <c r="H141" s="682" t="s">
        <v>744</v>
      </c>
    </row>
    <row r="142" spans="1:14" ht="20" customHeight="1">
      <c r="A142" s="524">
        <v>2022</v>
      </c>
      <c r="B142" s="499">
        <v>0.08</v>
      </c>
      <c r="C142" s="472">
        <v>6.0999999999999999E-2</v>
      </c>
      <c r="D142" s="489">
        <v>0</v>
      </c>
      <c r="E142" s="489">
        <v>0</v>
      </c>
      <c r="F142" s="525">
        <v>0.08</v>
      </c>
      <c r="H142" s="683" t="s">
        <v>745</v>
      </c>
      <c r="I142" s="683"/>
      <c r="J142" s="683"/>
      <c r="K142" s="683"/>
      <c r="L142" s="683"/>
    </row>
    <row r="143" spans="1:14" ht="20" customHeight="1">
      <c r="A143" s="524">
        <v>2023</v>
      </c>
      <c r="B143" s="472">
        <v>4.1000000000000002E-2</v>
      </c>
      <c r="C143" s="472">
        <v>4.8000000000000001E-2</v>
      </c>
      <c r="D143" s="489">
        <v>0</v>
      </c>
      <c r="E143" s="489">
        <v>0</v>
      </c>
      <c r="F143" s="525">
        <v>4.1000000000000002E-2</v>
      </c>
      <c r="H143" s="683" t="s">
        <v>746</v>
      </c>
      <c r="I143" s="683"/>
      <c r="J143" s="683"/>
      <c r="K143" s="683"/>
      <c r="L143" s="683"/>
    </row>
    <row r="144" spans="1:14" ht="20" customHeight="1">
      <c r="A144" s="524">
        <v>2024</v>
      </c>
      <c r="B144" s="472">
        <v>2.9000000000000001E-2</v>
      </c>
      <c r="C144" s="472">
        <v>3.3000000000000002E-2</v>
      </c>
      <c r="D144" s="489">
        <v>0</v>
      </c>
      <c r="E144" s="489">
        <v>0</v>
      </c>
      <c r="F144" s="525">
        <v>2.9000000000000001E-2</v>
      </c>
      <c r="H144" s="684" t="s">
        <v>747</v>
      </c>
      <c r="I144" s="684"/>
      <c r="J144" s="684"/>
      <c r="K144" s="684"/>
      <c r="L144" s="684"/>
    </row>
    <row r="145" spans="1:16" ht="20" customHeight="1">
      <c r="A145" s="524">
        <v>2025</v>
      </c>
      <c r="B145" s="472">
        <v>2.7E-2</v>
      </c>
      <c r="C145" s="472">
        <v>2.8000000000000001E-2</v>
      </c>
      <c r="D145" s="489">
        <v>0</v>
      </c>
      <c r="E145" s="489">
        <v>0</v>
      </c>
      <c r="F145" s="525">
        <v>2.7E-2</v>
      </c>
      <c r="H145" s="685" t="s">
        <v>748</v>
      </c>
      <c r="I145" s="685"/>
      <c r="J145" s="685"/>
      <c r="K145" s="685"/>
      <c r="L145" s="685"/>
    </row>
    <row r="146" spans="1:16" ht="20" customHeight="1">
      <c r="A146" s="524">
        <v>2026</v>
      </c>
      <c r="B146" s="472">
        <v>3.3000000000000002E-2</v>
      </c>
      <c r="C146" s="472">
        <v>2.5999999999999999E-2</v>
      </c>
      <c r="D146" s="472">
        <v>2.8000000000000001E-2</v>
      </c>
      <c r="E146" s="500">
        <v>2.5000000000000001E-2</v>
      </c>
      <c r="F146" s="525">
        <v>3.2000000000000001E-2</v>
      </c>
      <c r="H146" s="685" t="s">
        <v>749</v>
      </c>
      <c r="I146" s="685"/>
      <c r="J146" s="685"/>
      <c r="K146" s="685"/>
      <c r="L146" s="685"/>
    </row>
    <row r="147" spans="1:16" ht="20" customHeight="1">
      <c r="A147" s="524">
        <v>2027</v>
      </c>
      <c r="B147" s="489">
        <v>0</v>
      </c>
      <c r="C147" s="489">
        <v>0</v>
      </c>
      <c r="D147" s="472">
        <v>2.4E-2</v>
      </c>
      <c r="E147" s="500">
        <v>2.1000000000000001E-2</v>
      </c>
      <c r="F147" s="525">
        <v>2.1000000000000001E-2</v>
      </c>
      <c r="H147" s="685" t="s">
        <v>750</v>
      </c>
      <c r="I147" s="685"/>
      <c r="J147" s="685"/>
      <c r="K147" s="685"/>
      <c r="L147" s="685"/>
    </row>
    <row r="148" spans="1:16" ht="20" customHeight="1">
      <c r="A148" s="524">
        <v>2028</v>
      </c>
      <c r="B148" s="489">
        <v>0</v>
      </c>
      <c r="C148" s="489">
        <v>0</v>
      </c>
      <c r="D148" s="472">
        <v>2.3E-2</v>
      </c>
      <c r="E148" s="501">
        <v>0.02</v>
      </c>
      <c r="F148" s="525">
        <v>2.1000000000000001E-2</v>
      </c>
      <c r="H148" s="686" t="s">
        <v>751</v>
      </c>
      <c r="I148" s="686"/>
      <c r="J148" s="686"/>
      <c r="K148" s="686"/>
      <c r="L148" s="686"/>
    </row>
    <row r="149" spans="1:16" ht="20" customHeight="1">
      <c r="A149" s="524">
        <v>2029</v>
      </c>
      <c r="B149" s="489">
        <v>0</v>
      </c>
      <c r="C149" s="489">
        <v>0</v>
      </c>
      <c r="D149" s="472">
        <v>2.3E-2</v>
      </c>
      <c r="E149" s="500">
        <v>0.02</v>
      </c>
      <c r="F149" s="525">
        <v>0</v>
      </c>
    </row>
    <row r="150" spans="1:16" ht="20" customHeight="1" thickBot="1">
      <c r="A150" s="526">
        <v>2030</v>
      </c>
      <c r="B150" s="527">
        <v>0</v>
      </c>
      <c r="C150" s="527">
        <v>0</v>
      </c>
      <c r="D150" s="528">
        <v>2.3E-2</v>
      </c>
      <c r="E150" s="529">
        <v>0.02</v>
      </c>
      <c r="F150" s="539">
        <v>0</v>
      </c>
    </row>
    <row r="151" spans="1:16" ht="29" customHeight="1">
      <c r="A151" s="680"/>
      <c r="D151" s="215"/>
      <c r="E151" s="681"/>
      <c r="F151" s="215"/>
      <c r="M151" s="485"/>
      <c r="N151" s="485"/>
      <c r="O151" s="485"/>
      <c r="P151" s="485"/>
    </row>
    <row r="153" spans="1:16">
      <c r="A153" s="530" t="s">
        <v>756</v>
      </c>
    </row>
    <row r="154" spans="1:16">
      <c r="A154" s="561" t="s">
        <v>757</v>
      </c>
    </row>
    <row r="156" spans="1:16" ht="19">
      <c r="A156" s="544" t="s">
        <v>758</v>
      </c>
      <c r="B156" s="545">
        <v>5.8999999999999997E-2</v>
      </c>
      <c r="C156" s="546" t="s">
        <v>759</v>
      </c>
      <c r="D156" s="547" t="s">
        <v>760</v>
      </c>
      <c r="E156" s="548">
        <v>1.6E-2</v>
      </c>
      <c r="F156" s="549" t="s">
        <v>761</v>
      </c>
    </row>
    <row r="157" spans="1:16" ht="19">
      <c r="A157" s="547" t="s">
        <v>762</v>
      </c>
      <c r="B157" s="548">
        <v>1.7999999999999999E-2</v>
      </c>
      <c r="C157" s="549" t="s">
        <v>763</v>
      </c>
      <c r="D157" s="544" t="s">
        <v>764</v>
      </c>
      <c r="E157" s="545">
        <v>1.7999999999999999E-2</v>
      </c>
      <c r="F157" s="546" t="s">
        <v>765</v>
      </c>
    </row>
    <row r="159" spans="1:16">
      <c r="A159" s="540" t="s">
        <v>709</v>
      </c>
      <c r="B159" s="505" t="s">
        <v>766</v>
      </c>
      <c r="C159" s="505" t="s">
        <v>741</v>
      </c>
      <c r="D159" s="505" t="s">
        <v>742</v>
      </c>
      <c r="E159" s="505" t="s">
        <v>743</v>
      </c>
      <c r="F159" s="506" t="s">
        <v>715</v>
      </c>
      <c r="K159" s="486" t="s">
        <v>709</v>
      </c>
      <c r="L159" s="486" t="s">
        <v>766</v>
      </c>
      <c r="M159" s="486" t="s">
        <v>741</v>
      </c>
      <c r="N159" s="486" t="s">
        <v>742</v>
      </c>
      <c r="O159" s="486" t="s">
        <v>743</v>
      </c>
    </row>
    <row r="160" spans="1:16">
      <c r="A160" s="541">
        <v>2020</v>
      </c>
      <c r="B160" s="532">
        <v>-2.8000000000000001E-2</v>
      </c>
      <c r="C160" s="489"/>
      <c r="D160" s="489"/>
      <c r="E160" s="472">
        <v>-2.8000000000000001E-2</v>
      </c>
      <c r="F160" s="475" t="s">
        <v>716</v>
      </c>
      <c r="K160" s="487">
        <v>2020</v>
      </c>
      <c r="L160" s="488">
        <v>-2.8000000000000001E-2</v>
      </c>
      <c r="M160" s="488"/>
      <c r="N160" s="488"/>
      <c r="O160" s="488">
        <v>-2.8000000000000001E-2</v>
      </c>
    </row>
    <row r="161" spans="1:15">
      <c r="A161" s="541">
        <v>2021</v>
      </c>
      <c r="B161" s="533">
        <v>5.8999999999999997E-2</v>
      </c>
      <c r="C161" s="489"/>
      <c r="D161" s="489"/>
      <c r="E161" s="472">
        <v>5.8999999999999997E-2</v>
      </c>
      <c r="F161" s="475" t="s">
        <v>716</v>
      </c>
      <c r="K161" s="487">
        <v>2021</v>
      </c>
      <c r="L161" s="488">
        <v>5.8999999999999997E-2</v>
      </c>
      <c r="M161" s="488"/>
      <c r="N161" s="488"/>
      <c r="O161" s="488">
        <v>5.8999999999999997E-2</v>
      </c>
    </row>
    <row r="162" spans="1:15">
      <c r="A162" s="541">
        <v>2022</v>
      </c>
      <c r="B162" s="472">
        <v>1.9E-2</v>
      </c>
      <c r="C162" s="489"/>
      <c r="D162" s="489"/>
      <c r="E162" s="472">
        <v>1.9E-2</v>
      </c>
      <c r="F162" s="475" t="s">
        <v>716</v>
      </c>
      <c r="K162" s="487">
        <v>2022</v>
      </c>
      <c r="L162" s="488">
        <v>1.9E-2</v>
      </c>
      <c r="M162" s="488"/>
      <c r="N162" s="488"/>
      <c r="O162" s="488">
        <v>1.9E-2</v>
      </c>
    </row>
    <row r="163" spans="1:15">
      <c r="A163" s="541">
        <v>2023</v>
      </c>
      <c r="B163" s="472">
        <v>2.9000000000000001E-2</v>
      </c>
      <c r="C163" s="489"/>
      <c r="D163" s="489"/>
      <c r="E163" s="472">
        <v>2.9000000000000001E-2</v>
      </c>
      <c r="F163" s="475" t="s">
        <v>716</v>
      </c>
      <c r="K163" s="487">
        <v>2023</v>
      </c>
      <c r="L163" s="488">
        <v>2.9000000000000001E-2</v>
      </c>
      <c r="M163" s="488"/>
      <c r="N163" s="488"/>
      <c r="O163" s="488">
        <v>2.9000000000000001E-2</v>
      </c>
    </row>
    <row r="164" spans="1:15">
      <c r="A164" s="541">
        <v>2024</v>
      </c>
      <c r="B164" s="472">
        <v>2.8000000000000001E-2</v>
      </c>
      <c r="C164" s="489"/>
      <c r="D164" s="489"/>
      <c r="E164" s="472">
        <v>2.8000000000000001E-2</v>
      </c>
      <c r="F164" s="475" t="s">
        <v>716</v>
      </c>
      <c r="K164" s="487">
        <v>2024</v>
      </c>
      <c r="L164" s="488">
        <v>2.8000000000000001E-2</v>
      </c>
      <c r="M164" s="488"/>
      <c r="N164" s="488"/>
      <c r="O164" s="488">
        <v>2.8000000000000001E-2</v>
      </c>
    </row>
    <row r="165" spans="1:15">
      <c r="A165" s="541">
        <v>2025</v>
      </c>
      <c r="B165" s="489"/>
      <c r="C165" s="472">
        <v>1.9E-2</v>
      </c>
      <c r="D165" s="500">
        <v>1.7000000000000001E-2</v>
      </c>
      <c r="E165" s="472">
        <v>1.6E-2</v>
      </c>
      <c r="F165" s="475" t="s">
        <v>753</v>
      </c>
      <c r="K165" s="487">
        <v>2025</v>
      </c>
      <c r="L165" s="488"/>
      <c r="M165" s="488">
        <v>1.9E-2</v>
      </c>
      <c r="N165" s="488">
        <v>1.7000000000000001E-2</v>
      </c>
      <c r="O165" s="488">
        <v>1.6E-2</v>
      </c>
    </row>
    <row r="166" spans="1:15">
      <c r="A166" s="541">
        <v>2026</v>
      </c>
      <c r="B166" s="489"/>
      <c r="C166" s="472">
        <v>0.02</v>
      </c>
      <c r="D166" s="500">
        <v>1.7999999999999999E-2</v>
      </c>
      <c r="E166" s="472">
        <v>1.7000000000000001E-2</v>
      </c>
      <c r="F166" s="475" t="s">
        <v>717</v>
      </c>
      <c r="K166" s="487">
        <v>2026</v>
      </c>
      <c r="L166" s="488"/>
      <c r="M166" s="488">
        <v>0.02</v>
      </c>
      <c r="N166" s="488">
        <v>1.7999999999999999E-2</v>
      </c>
      <c r="O166" s="488">
        <v>1.7000000000000001E-2</v>
      </c>
    </row>
    <row r="167" spans="1:15">
      <c r="A167" s="541">
        <v>2027</v>
      </c>
      <c r="B167" s="489"/>
      <c r="C167" s="472">
        <v>1.9E-2</v>
      </c>
      <c r="D167" s="500">
        <v>1.7999999999999999E-2</v>
      </c>
      <c r="E167" s="472">
        <v>1.7999999999999999E-2</v>
      </c>
      <c r="F167" s="475" t="s">
        <v>717</v>
      </c>
      <c r="K167" s="487">
        <v>2027</v>
      </c>
      <c r="L167" s="488"/>
      <c r="M167" s="488">
        <v>1.9E-2</v>
      </c>
      <c r="N167" s="488">
        <v>1.7999999999999999E-2</v>
      </c>
      <c r="O167" s="488">
        <v>1.7999999999999999E-2</v>
      </c>
    </row>
    <row r="168" spans="1:15">
      <c r="A168" s="541">
        <v>2028</v>
      </c>
      <c r="B168" s="489"/>
      <c r="C168" s="472">
        <v>1.7999999999999999E-2</v>
      </c>
      <c r="D168" s="500">
        <v>1.7999999999999999E-2</v>
      </c>
      <c r="E168" s="472">
        <v>1.9E-2</v>
      </c>
      <c r="F168" s="475" t="s">
        <v>718</v>
      </c>
      <c r="K168" s="487">
        <v>2028</v>
      </c>
      <c r="L168" s="488"/>
      <c r="M168" s="488">
        <v>1.7999999999999999E-2</v>
      </c>
      <c r="N168" s="488">
        <v>1.7999999999999999E-2</v>
      </c>
      <c r="O168" s="488">
        <v>1.9E-2</v>
      </c>
    </row>
    <row r="169" spans="1:15">
      <c r="A169" s="541">
        <v>2029</v>
      </c>
      <c r="B169" s="489"/>
      <c r="C169" s="472">
        <v>1.7999999999999999E-2</v>
      </c>
      <c r="D169" s="500">
        <v>1.7999999999999999E-2</v>
      </c>
      <c r="E169" s="489"/>
      <c r="F169" s="475" t="s">
        <v>718</v>
      </c>
      <c r="K169" s="487">
        <v>2029</v>
      </c>
      <c r="L169" s="488"/>
      <c r="M169" s="488">
        <v>1.7999999999999999E-2</v>
      </c>
      <c r="N169" s="488">
        <v>1.7999999999999999E-2</v>
      </c>
      <c r="O169" s="488"/>
    </row>
    <row r="170" spans="1:15">
      <c r="A170" s="542">
        <v>2030</v>
      </c>
      <c r="B170" s="536"/>
      <c r="C170" s="502">
        <v>1.7999999999999999E-2</v>
      </c>
      <c r="D170" s="503">
        <v>1.7999999999999999E-2</v>
      </c>
      <c r="E170" s="536"/>
      <c r="F170" s="543" t="s">
        <v>718</v>
      </c>
      <c r="K170" s="487">
        <v>2030</v>
      </c>
      <c r="L170" s="488"/>
      <c r="M170" s="488">
        <v>1.7999999999999999E-2</v>
      </c>
      <c r="N170" s="488">
        <v>1.7999999999999999E-2</v>
      </c>
      <c r="O170" s="488"/>
    </row>
    <row r="172" spans="1:15">
      <c r="A172" s="550" t="s">
        <v>744</v>
      </c>
    </row>
    <row r="173" spans="1:15">
      <c r="A173" s="551" t="s">
        <v>767</v>
      </c>
    </row>
    <row r="174" spans="1:15">
      <c r="A174" s="468" t="s">
        <v>726</v>
      </c>
    </row>
    <row r="175" spans="1:15">
      <c r="A175" s="470" t="s">
        <v>768</v>
      </c>
    </row>
    <row r="176" spans="1:15">
      <c r="A176" s="470"/>
    </row>
    <row r="177" spans="1:13">
      <c r="A177" s="470"/>
    </row>
    <row r="178" spans="1:13">
      <c r="A178" s="123"/>
    </row>
    <row r="179" spans="1:13" ht="69" customHeight="1">
      <c r="A179" s="677" t="s">
        <v>362</v>
      </c>
    </row>
    <row r="181" spans="1:13">
      <c r="A181" s="5" t="s">
        <v>363</v>
      </c>
      <c r="B181" s="126">
        <v>2020</v>
      </c>
      <c r="C181" s="126">
        <v>2021</v>
      </c>
      <c r="D181" s="126">
        <v>2022</v>
      </c>
      <c r="E181" s="126">
        <v>2023</v>
      </c>
      <c r="F181" s="127">
        <v>2024</v>
      </c>
      <c r="G181" s="127">
        <v>2025</v>
      </c>
      <c r="H181" s="127" t="s">
        <v>364</v>
      </c>
      <c r="I181" s="127" t="s">
        <v>44</v>
      </c>
    </row>
    <row r="182" spans="1:13">
      <c r="A182" s="106" t="s">
        <v>127</v>
      </c>
      <c r="B182" s="106">
        <v>3767.6</v>
      </c>
      <c r="C182" s="106">
        <v>3941.9</v>
      </c>
      <c r="D182" s="106">
        <v>4131</v>
      </c>
      <c r="E182" s="106">
        <v>4571.2</v>
      </c>
      <c r="F182" s="131">
        <v>4732.3</v>
      </c>
      <c r="G182" s="131">
        <v>4774.8</v>
      </c>
    </row>
    <row r="183" spans="1:13">
      <c r="A183" s="134" t="s">
        <v>133</v>
      </c>
      <c r="B183" s="43">
        <v>8.8999999999999996E-2</v>
      </c>
      <c r="C183" s="43">
        <v>-3.0000000000000001E-3</v>
      </c>
      <c r="D183" s="43">
        <v>-5.8999999999999997E-2</v>
      </c>
      <c r="E183" s="43">
        <v>0.01</v>
      </c>
      <c r="F183" s="43">
        <v>2.8000000000000001E-2</v>
      </c>
      <c r="G183" s="43">
        <v>0</v>
      </c>
      <c r="H183" s="42">
        <f>AVERAGE(C183:G183)</f>
        <v>-4.7999999999999996E-3</v>
      </c>
      <c r="I183" s="42">
        <f>H183</f>
        <v>-4.7999999999999996E-3</v>
      </c>
    </row>
    <row r="184" spans="1:13">
      <c r="A184" s="134" t="s">
        <v>115</v>
      </c>
      <c r="B184" s="43">
        <v>1.7999999999999999E-2</v>
      </c>
      <c r="C184" s="43">
        <v>3.9E-2</v>
      </c>
      <c r="D184" s="43">
        <v>6.8000000000000005E-2</v>
      </c>
      <c r="E184" s="43">
        <v>4.7E-2</v>
      </c>
      <c r="F184" s="43">
        <v>7.0000000000000001E-3</v>
      </c>
      <c r="G184" s="43">
        <v>-5.0000000000000001E-3</v>
      </c>
      <c r="H184" s="42">
        <f>AVERAGE(C184:G184)</f>
        <v>3.1200000000000006E-2</v>
      </c>
      <c r="I184" s="42">
        <f>H184</f>
        <v>3.1200000000000006E-2</v>
      </c>
    </row>
    <row r="185" spans="1:13">
      <c r="A185" s="134" t="s">
        <v>57</v>
      </c>
      <c r="B185" s="43">
        <v>3.4000000000000002E-2</v>
      </c>
      <c r="C185" s="43">
        <v>0.01</v>
      </c>
      <c r="D185" s="43">
        <v>3.9E-2</v>
      </c>
      <c r="E185" s="43">
        <v>0.05</v>
      </c>
      <c r="F185" s="43">
        <v>0</v>
      </c>
      <c r="G185" s="43">
        <v>2.2000000000000002E-2</v>
      </c>
      <c r="H185" s="42">
        <f>((G185*F228)/5.5*6.5)/G228</f>
        <v>2.5768576694311807E-2</v>
      </c>
      <c r="I185" s="42">
        <v>0</v>
      </c>
      <c r="K185" s="87"/>
      <c r="L185" s="87"/>
      <c r="M185" s="87"/>
    </row>
    <row r="186" spans="1:13">
      <c r="A186" s="134" t="s">
        <v>61</v>
      </c>
      <c r="B186" s="43">
        <v>0</v>
      </c>
      <c r="C186" s="43">
        <v>0</v>
      </c>
      <c r="D186" s="43">
        <v>0</v>
      </c>
      <c r="E186" s="43">
        <v>0</v>
      </c>
      <c r="F186" s="43">
        <v>0</v>
      </c>
      <c r="G186" s="43">
        <v>-8.0000000000000002E-3</v>
      </c>
      <c r="H186" s="42">
        <v>-6.7000000000000004E-2</v>
      </c>
      <c r="I186" s="42">
        <v>0</v>
      </c>
    </row>
    <row r="187" spans="1:13" s="40" customFormat="1">
      <c r="A187" s="107" t="s">
        <v>128</v>
      </c>
      <c r="B187" s="132">
        <f>SUM(B183:B186)</f>
        <v>0.14100000000000001</v>
      </c>
      <c r="C187" s="132">
        <f t="shared" ref="C187:G187" si="1">SUM(C183:C186)</f>
        <v>4.5999999999999999E-2</v>
      </c>
      <c r="D187" s="132">
        <f t="shared" si="1"/>
        <v>4.8000000000000008E-2</v>
      </c>
      <c r="E187" s="132">
        <f t="shared" si="1"/>
        <v>0.10700000000000001</v>
      </c>
      <c r="F187" s="132">
        <f t="shared" si="1"/>
        <v>3.5000000000000003E-2</v>
      </c>
      <c r="G187" s="132">
        <f t="shared" si="1"/>
        <v>9.0000000000000011E-3</v>
      </c>
      <c r="H187" s="132">
        <f t="shared" ref="H187" si="2">SUM(H183:H186)</f>
        <v>-1.4831423305688193E-2</v>
      </c>
      <c r="I187" s="132">
        <f t="shared" ref="I187" si="3">SUM(I183:I186)</f>
        <v>2.6400000000000007E-2</v>
      </c>
    </row>
    <row r="188" spans="1:13" s="40" customFormat="1">
      <c r="A188" s="136" t="s">
        <v>365</v>
      </c>
      <c r="B188" s="137"/>
      <c r="C188" s="138">
        <f>C187*$B$182</f>
        <v>173.30959999999999</v>
      </c>
      <c r="D188" s="138">
        <f>D187*$C$182</f>
        <v>189.21120000000005</v>
      </c>
      <c r="E188" s="138">
        <f>E187*$D$182</f>
        <v>442.01700000000005</v>
      </c>
      <c r="F188" s="138">
        <f>F187*$E$182</f>
        <v>159.99200000000002</v>
      </c>
      <c r="G188" s="138">
        <f>G187*$F$182</f>
        <v>42.590700000000005</v>
      </c>
      <c r="H188" s="138"/>
      <c r="I188" s="137"/>
    </row>
    <row r="189" spans="1:13">
      <c r="A189" s="135" t="s">
        <v>133</v>
      </c>
      <c r="B189" s="3"/>
      <c r="C189" s="124">
        <f>C183*$B$182</f>
        <v>-11.3028</v>
      </c>
      <c r="D189" s="124">
        <f>D183*$C$182</f>
        <v>-232.57210000000001</v>
      </c>
      <c r="E189" s="124">
        <f>E183*$D$182</f>
        <v>41.31</v>
      </c>
      <c r="F189" s="124">
        <f>F183*$E$182</f>
        <v>127.9936</v>
      </c>
      <c r="G189" s="124">
        <f>G183*$F$182</f>
        <v>0</v>
      </c>
      <c r="H189" s="124"/>
      <c r="I189" s="3"/>
    </row>
    <row r="190" spans="1:13">
      <c r="A190" s="135" t="s">
        <v>115</v>
      </c>
      <c r="B190" s="3"/>
      <c r="C190" s="124">
        <f>C184*$B$182</f>
        <v>146.93639999999999</v>
      </c>
      <c r="D190" s="124">
        <f>D184*$C$182</f>
        <v>268.04920000000004</v>
      </c>
      <c r="E190" s="124">
        <f>E184*$D$182</f>
        <v>194.15700000000001</v>
      </c>
      <c r="F190" s="124">
        <f>F184*$E$182</f>
        <v>31.9984</v>
      </c>
      <c r="G190" s="124">
        <f>G184*$F$182</f>
        <v>-23.6615</v>
      </c>
      <c r="H190" s="124"/>
      <c r="I190" s="3"/>
    </row>
    <row r="191" spans="1:13">
      <c r="A191" s="135" t="s">
        <v>57</v>
      </c>
      <c r="B191" s="3"/>
      <c r="C191" s="124">
        <f>C185*$B$182</f>
        <v>37.676000000000002</v>
      </c>
      <c r="D191" s="124">
        <f>D185*$C$182</f>
        <v>153.73410000000001</v>
      </c>
      <c r="E191" s="124">
        <f>E185*$D$182</f>
        <v>206.55</v>
      </c>
      <c r="F191" s="124">
        <f>F185*$E$182</f>
        <v>0</v>
      </c>
      <c r="G191" s="124">
        <f>G185*$F$182</f>
        <v>104.11060000000002</v>
      </c>
      <c r="H191" s="124"/>
      <c r="I191" s="3"/>
    </row>
    <row r="192" spans="1:13">
      <c r="A192" s="135" t="s">
        <v>61</v>
      </c>
      <c r="B192" s="3"/>
      <c r="C192" s="124">
        <f>C186*$B$182</f>
        <v>0</v>
      </c>
      <c r="D192" s="124">
        <f>D186*$C$182</f>
        <v>0</v>
      </c>
      <c r="E192" s="124">
        <f>E186*$D$182</f>
        <v>0</v>
      </c>
      <c r="F192" s="124">
        <f>F186*$E$182</f>
        <v>0</v>
      </c>
      <c r="G192" s="124">
        <f>G186*$F$182</f>
        <v>-37.858400000000003</v>
      </c>
      <c r="H192" s="124"/>
      <c r="I192" s="3"/>
    </row>
    <row r="193" spans="1:13" s="139" customFormat="1">
      <c r="A193" s="139" t="s">
        <v>131</v>
      </c>
      <c r="C193" s="139">
        <f>C188-C189-C190-C191-C192</f>
        <v>-1.4210854715202004E-14</v>
      </c>
      <c r="D193" s="139">
        <f t="shared" ref="D193:G193" si="4">D188-D189-D190-D191-D192</f>
        <v>0</v>
      </c>
      <c r="E193" s="139">
        <f t="shared" si="4"/>
        <v>2.8421709430404007E-14</v>
      </c>
      <c r="F193" s="139">
        <f t="shared" si="4"/>
        <v>1.7763568394002505E-14</v>
      </c>
      <c r="G193" s="139">
        <f t="shared" si="4"/>
        <v>0</v>
      </c>
    </row>
    <row r="194" spans="1:13">
      <c r="A194" s="3"/>
      <c r="B194" s="3"/>
      <c r="C194" s="3"/>
      <c r="D194" s="3"/>
      <c r="G194" s="3"/>
    </row>
    <row r="195" spans="1:13">
      <c r="A195" s="3"/>
      <c r="B195" s="3"/>
      <c r="C195" s="3"/>
      <c r="D195" s="3"/>
      <c r="G195" s="3"/>
    </row>
    <row r="196" spans="1:13">
      <c r="A196" s="5" t="s">
        <v>366</v>
      </c>
      <c r="B196" s="44">
        <v>2020</v>
      </c>
      <c r="C196" s="44">
        <v>2021</v>
      </c>
      <c r="D196" s="44">
        <v>2022</v>
      </c>
      <c r="E196" s="44">
        <v>2023</v>
      </c>
      <c r="F196" s="45">
        <v>2024</v>
      </c>
      <c r="G196" s="36">
        <v>2025</v>
      </c>
      <c r="H196" s="127" t="s">
        <v>364</v>
      </c>
      <c r="I196" s="127" t="s">
        <v>44</v>
      </c>
    </row>
    <row r="197" spans="1:13">
      <c r="A197" s="106" t="s">
        <v>132</v>
      </c>
      <c r="B197" s="106">
        <v>828.2</v>
      </c>
      <c r="C197" s="106">
        <v>912.2</v>
      </c>
      <c r="D197" s="106">
        <v>896.1</v>
      </c>
      <c r="E197" s="106">
        <v>975.7</v>
      </c>
      <c r="F197" s="131">
        <v>1071.5</v>
      </c>
      <c r="G197" s="131">
        <v>1129.4000000000001</v>
      </c>
      <c r="H197" s="40"/>
    </row>
    <row r="198" spans="1:13">
      <c r="A198" s="134" t="s">
        <v>133</v>
      </c>
      <c r="B198" s="43">
        <v>7.6999999999999999E-2</v>
      </c>
      <c r="C198" s="43">
        <v>5.2999999999999999E-2</v>
      </c>
      <c r="D198" s="43">
        <v>-1.7000000000000001E-2</v>
      </c>
      <c r="E198" s="43">
        <v>3.4000000000000002E-2</v>
      </c>
      <c r="F198" s="43">
        <v>5.7000000000000002E-2</v>
      </c>
      <c r="G198" s="43">
        <v>4.9000000000000002E-2</v>
      </c>
      <c r="H198" s="42">
        <f>AVERAGE(C198:G198)</f>
        <v>3.5199999999999995E-2</v>
      </c>
      <c r="I198" s="42">
        <f>H198</f>
        <v>3.5199999999999995E-2</v>
      </c>
    </row>
    <row r="199" spans="1:13">
      <c r="A199" s="134" t="s">
        <v>115</v>
      </c>
      <c r="B199" s="43">
        <v>8.9999999999999993E-3</v>
      </c>
      <c r="C199" s="43">
        <v>-3.0000000000000001E-3</v>
      </c>
      <c r="D199" s="43">
        <v>4.4999999999999998E-2</v>
      </c>
      <c r="E199" s="43">
        <v>5.0999999999999997E-2</v>
      </c>
      <c r="F199" s="43">
        <v>3.3000000000000002E-2</v>
      </c>
      <c r="G199" s="43">
        <v>6.0000000000000001E-3</v>
      </c>
      <c r="H199" s="42">
        <f>AVERAGE(C199:G199)</f>
        <v>2.64E-2</v>
      </c>
      <c r="I199" s="42">
        <f>H199</f>
        <v>2.64E-2</v>
      </c>
    </row>
    <row r="200" spans="1:13">
      <c r="A200" s="134" t="s">
        <v>134</v>
      </c>
      <c r="B200" s="43">
        <v>-7.0000000000000001E-3</v>
      </c>
      <c r="C200" s="43">
        <v>5.0999999999999997E-2</v>
      </c>
      <c r="D200" s="43">
        <v>-5.5E-2</v>
      </c>
      <c r="E200" s="43">
        <v>1E-3</v>
      </c>
      <c r="F200" s="43">
        <v>-2E-3</v>
      </c>
      <c r="G200" s="43">
        <v>-2E-3</v>
      </c>
      <c r="H200" s="42">
        <v>0</v>
      </c>
      <c r="I200" s="42">
        <f>H200</f>
        <v>0</v>
      </c>
      <c r="K200" s="87"/>
      <c r="L200" s="87"/>
      <c r="M200" s="87"/>
    </row>
    <row r="201" spans="1:13">
      <c r="A201" s="134" t="s">
        <v>61</v>
      </c>
      <c r="B201" s="43">
        <v>0</v>
      </c>
      <c r="C201" s="43">
        <v>0</v>
      </c>
      <c r="D201" s="43">
        <v>0</v>
      </c>
      <c r="E201" s="43">
        <v>0</v>
      </c>
      <c r="F201" s="43">
        <v>0</v>
      </c>
      <c r="G201" s="43">
        <v>-9.0000000000000011E-3</v>
      </c>
      <c r="H201" s="42">
        <v>-3.5999999999999997E-2</v>
      </c>
      <c r="I201" s="42">
        <v>0</v>
      </c>
    </row>
    <row r="202" spans="1:13">
      <c r="A202" s="134" t="s">
        <v>57</v>
      </c>
      <c r="B202" s="43">
        <v>1.6E-2</v>
      </c>
      <c r="C202" s="43">
        <v>0</v>
      </c>
      <c r="D202" s="43">
        <v>8.9999999999999993E-3</v>
      </c>
      <c r="E202" s="43">
        <v>3.0000000000000001E-3</v>
      </c>
      <c r="F202" s="43">
        <v>0.01</v>
      </c>
      <c r="G202" s="43">
        <v>0.01</v>
      </c>
      <c r="H202" s="42">
        <f>((G202*F197)/5.5*6.5)/G197</f>
        <v>1.1212309029734212E-2</v>
      </c>
      <c r="I202" s="42">
        <v>0</v>
      </c>
    </row>
    <row r="203" spans="1:13" s="40" customFormat="1">
      <c r="A203" s="107" t="s">
        <v>128</v>
      </c>
      <c r="B203" s="132">
        <f>SUM(B198:B202)</f>
        <v>9.4999999999999987E-2</v>
      </c>
      <c r="C203" s="132">
        <f t="shared" ref="C203:H203" si="5">SUM(C198:C202)</f>
        <v>0.10099999999999999</v>
      </c>
      <c r="D203" s="132">
        <f t="shared" si="5"/>
        <v>-1.8000000000000002E-2</v>
      </c>
      <c r="E203" s="132">
        <f t="shared" si="5"/>
        <v>8.8999999999999996E-2</v>
      </c>
      <c r="F203" s="132">
        <f t="shared" si="5"/>
        <v>9.799999999999999E-2</v>
      </c>
      <c r="G203" s="132">
        <f t="shared" si="5"/>
        <v>5.3999999999999999E-2</v>
      </c>
      <c r="H203" s="132">
        <f t="shared" si="5"/>
        <v>3.681230902973421E-2</v>
      </c>
      <c r="I203" s="132">
        <f>SUM(I198:I202)</f>
        <v>6.1599999999999995E-2</v>
      </c>
    </row>
    <row r="204" spans="1:13" s="40" customFormat="1">
      <c r="A204" s="136" t="s">
        <v>365</v>
      </c>
      <c r="B204" s="132"/>
      <c r="C204" s="138">
        <f>C203*$B$197</f>
        <v>83.648200000000003</v>
      </c>
      <c r="D204" s="138">
        <f>D203*$C$197</f>
        <v>-16.419600000000003</v>
      </c>
      <c r="E204" s="138">
        <f>E203*$D$197</f>
        <v>79.752899999999997</v>
      </c>
      <c r="F204" s="138">
        <f>F203*$E$197</f>
        <v>95.618600000000001</v>
      </c>
      <c r="G204" s="138">
        <f>G203*$F$197</f>
        <v>57.860999999999997</v>
      </c>
      <c r="H204" s="108"/>
      <c r="I204" s="108"/>
      <c r="J204" s="108"/>
    </row>
    <row r="205" spans="1:13" s="40" customFormat="1">
      <c r="A205" s="134" t="s">
        <v>133</v>
      </c>
      <c r="B205" s="132"/>
      <c r="C205" s="124">
        <f>C198*$B$197</f>
        <v>43.894600000000004</v>
      </c>
      <c r="D205" s="124">
        <f>D198*$C$197</f>
        <v>-15.507400000000002</v>
      </c>
      <c r="E205" s="124">
        <f>E198*$D$197</f>
        <v>30.467400000000001</v>
      </c>
      <c r="F205" s="124">
        <f>F198*$E$197</f>
        <v>55.614900000000006</v>
      </c>
      <c r="G205" s="124">
        <f>G198*$F$197</f>
        <v>52.503500000000003</v>
      </c>
      <c r="H205" s="108"/>
      <c r="I205" s="108"/>
      <c r="J205" s="108"/>
    </row>
    <row r="206" spans="1:13" s="40" customFormat="1">
      <c r="A206" s="134" t="s">
        <v>115</v>
      </c>
      <c r="B206" s="132"/>
      <c r="C206" s="124">
        <f>C199*$B$197</f>
        <v>-2.4846000000000004</v>
      </c>
      <c r="D206" s="124">
        <f t="shared" ref="D206:D209" si="6">D199*$C$197</f>
        <v>41.048999999999999</v>
      </c>
      <c r="E206" s="124">
        <f t="shared" ref="E206:E209" si="7">E199*$D$197</f>
        <v>45.701099999999997</v>
      </c>
      <c r="F206" s="124">
        <f t="shared" ref="F206:F209" si="8">F199*$E$197</f>
        <v>32.198100000000004</v>
      </c>
      <c r="G206" s="124">
        <f t="shared" ref="G206:G209" si="9">G199*$F$197</f>
        <v>6.4290000000000003</v>
      </c>
      <c r="H206" s="108"/>
      <c r="I206" s="108"/>
      <c r="J206" s="108"/>
    </row>
    <row r="207" spans="1:13" s="40" customFormat="1">
      <c r="A207" s="134" t="s">
        <v>134</v>
      </c>
      <c r="B207" s="132"/>
      <c r="C207" s="124">
        <f>C200*$B$197</f>
        <v>42.238199999999999</v>
      </c>
      <c r="D207" s="124">
        <f t="shared" si="6"/>
        <v>-50.170999999999999</v>
      </c>
      <c r="E207" s="124">
        <f t="shared" si="7"/>
        <v>0.89610000000000001</v>
      </c>
      <c r="F207" s="124">
        <f t="shared" si="8"/>
        <v>-1.9514</v>
      </c>
      <c r="G207" s="124">
        <f t="shared" si="9"/>
        <v>-2.1430000000000002</v>
      </c>
      <c r="H207" s="108"/>
      <c r="I207" s="108"/>
      <c r="J207" s="108"/>
    </row>
    <row r="208" spans="1:13" s="40" customFormat="1">
      <c r="A208" s="134" t="s">
        <v>61</v>
      </c>
      <c r="B208" s="132"/>
      <c r="C208" s="124">
        <f>C201*$B$197</f>
        <v>0</v>
      </c>
      <c r="D208" s="124">
        <f t="shared" si="6"/>
        <v>0</v>
      </c>
      <c r="E208" s="124">
        <f t="shared" si="7"/>
        <v>0</v>
      </c>
      <c r="F208" s="124">
        <f t="shared" si="8"/>
        <v>0</v>
      </c>
      <c r="G208" s="124">
        <f t="shared" si="9"/>
        <v>-9.6435000000000013</v>
      </c>
      <c r="H208" s="108"/>
      <c r="I208" s="108"/>
      <c r="J208" s="108"/>
    </row>
    <row r="209" spans="1:13" s="40" customFormat="1">
      <c r="A209" s="134" t="s">
        <v>57</v>
      </c>
      <c r="B209" s="132"/>
      <c r="C209" s="124">
        <f>C202*$B$197</f>
        <v>0</v>
      </c>
      <c r="D209" s="124">
        <f t="shared" si="6"/>
        <v>8.2097999999999995</v>
      </c>
      <c r="E209" s="124">
        <f t="shared" si="7"/>
        <v>2.6882999999999999</v>
      </c>
      <c r="F209" s="124">
        <f t="shared" si="8"/>
        <v>9.7570000000000014</v>
      </c>
      <c r="G209" s="124">
        <f t="shared" si="9"/>
        <v>10.715</v>
      </c>
      <c r="H209" s="108"/>
      <c r="I209" s="108"/>
      <c r="J209" s="108"/>
    </row>
    <row r="210" spans="1:13" s="40" customFormat="1">
      <c r="A210" s="139" t="s">
        <v>131</v>
      </c>
      <c r="B210" s="132"/>
      <c r="C210" s="139">
        <f>C204-C205-C206-C207-C208-C209</f>
        <v>0</v>
      </c>
      <c r="D210" s="139">
        <f t="shared" ref="D210:G210" si="10">D204-D205-D206-D207-D208-D209</f>
        <v>0</v>
      </c>
      <c r="E210" s="139">
        <f t="shared" si="10"/>
        <v>0</v>
      </c>
      <c r="F210" s="139">
        <f t="shared" si="10"/>
        <v>0</v>
      </c>
      <c r="G210" s="139">
        <f t="shared" si="10"/>
        <v>0</v>
      </c>
      <c r="H210" s="108"/>
      <c r="I210" s="108"/>
      <c r="J210" s="108"/>
    </row>
    <row r="211" spans="1:13">
      <c r="A211" s="3"/>
      <c r="B211" s="3"/>
      <c r="C211" s="3"/>
      <c r="D211" s="3"/>
      <c r="G211" s="3"/>
    </row>
    <row r="213" spans="1:13">
      <c r="A213" s="5" t="s">
        <v>367</v>
      </c>
      <c r="B213" s="44">
        <v>2020</v>
      </c>
      <c r="C213" s="44">
        <v>2021</v>
      </c>
      <c r="D213" s="44">
        <v>2022</v>
      </c>
      <c r="E213" s="44">
        <v>2023</v>
      </c>
      <c r="F213" s="45">
        <v>2024</v>
      </c>
      <c r="G213" s="36">
        <v>2025</v>
      </c>
      <c r="H213" s="127" t="s">
        <v>31</v>
      </c>
      <c r="I213" s="127"/>
    </row>
    <row r="214" spans="1:13">
      <c r="A214" s="106" t="s">
        <v>135</v>
      </c>
      <c r="B214" s="106">
        <v>300</v>
      </c>
      <c r="C214" s="106">
        <v>336</v>
      </c>
      <c r="D214" s="106">
        <v>348.5</v>
      </c>
      <c r="E214" s="106">
        <v>321</v>
      </c>
      <c r="F214" s="131">
        <v>303.3</v>
      </c>
      <c r="G214" s="131">
        <v>299</v>
      </c>
      <c r="H214" s="40"/>
      <c r="I214" s="40"/>
    </row>
    <row r="215" spans="1:13">
      <c r="A215" s="134" t="s">
        <v>133</v>
      </c>
      <c r="B215" s="43">
        <v>8.0000000000000002E-3</v>
      </c>
      <c r="C215" s="43">
        <v>4.5999999999999999E-2</v>
      </c>
      <c r="D215" s="43">
        <v>-5.0999999999999997E-2</v>
      </c>
      <c r="E215" s="43">
        <v>-7.1999999999999995E-2</v>
      </c>
      <c r="F215" s="43">
        <v>0.04</v>
      </c>
      <c r="G215" s="43">
        <v>3.0000000000000001E-3</v>
      </c>
      <c r="H215" s="42">
        <f t="shared" ref="H215:H216" si="11">AVERAGE(C215:G215)</f>
        <v>-6.7999999999999962E-3</v>
      </c>
      <c r="I215" s="42"/>
    </row>
    <row r="216" spans="1:13">
      <c r="A216" s="134" t="s">
        <v>115</v>
      </c>
      <c r="B216" s="43">
        <v>-4.0000000000000001E-3</v>
      </c>
      <c r="C216" s="43">
        <v>7.3999999999999996E-2</v>
      </c>
      <c r="D216" s="43">
        <v>8.7999999999999995E-2</v>
      </c>
      <c r="E216" s="43">
        <v>-7.0000000000000001E-3</v>
      </c>
      <c r="F216" s="43">
        <v>3.1E-2</v>
      </c>
      <c r="G216" s="43">
        <v>2.3E-2</v>
      </c>
      <c r="H216" s="42">
        <f t="shared" si="11"/>
        <v>4.179999999999999E-2</v>
      </c>
      <c r="I216" s="42"/>
    </row>
    <row r="217" spans="1:13">
      <c r="A217" s="134" t="s">
        <v>134</v>
      </c>
      <c r="B217" s="43">
        <v>0</v>
      </c>
      <c r="C217" s="43">
        <v>0</v>
      </c>
      <c r="D217" s="43">
        <v>0</v>
      </c>
      <c r="E217" s="43">
        <v>0</v>
      </c>
      <c r="F217" s="43">
        <v>0</v>
      </c>
      <c r="G217" s="43">
        <v>3.0000000000000001E-3</v>
      </c>
      <c r="H217" s="42">
        <v>0</v>
      </c>
      <c r="I217" s="42"/>
      <c r="K217" s="87"/>
      <c r="L217" s="87"/>
      <c r="M217" s="87"/>
    </row>
    <row r="218" spans="1:13">
      <c r="A218" s="134" t="s">
        <v>368</v>
      </c>
      <c r="B218" s="43">
        <v>0</v>
      </c>
      <c r="C218" s="43">
        <v>0</v>
      </c>
      <c r="D218" s="43">
        <v>0</v>
      </c>
      <c r="E218" s="43">
        <v>0</v>
      </c>
      <c r="F218" s="43">
        <v>-0.126</v>
      </c>
      <c r="G218" s="43">
        <v>-4.2999999999999997E-2</v>
      </c>
      <c r="H218" s="42">
        <v>0</v>
      </c>
      <c r="I218" s="42"/>
    </row>
    <row r="219" spans="1:13" s="40" customFormat="1">
      <c r="A219" s="107" t="s">
        <v>128</v>
      </c>
      <c r="B219" s="132">
        <v>4.0000000000000001E-3</v>
      </c>
      <c r="C219" s="132">
        <v>0.12</v>
      </c>
      <c r="D219" s="132">
        <v>3.6999999999999998E-2</v>
      </c>
      <c r="E219" s="132">
        <v>-7.9000000000000001E-2</v>
      </c>
      <c r="F219" s="132">
        <v>-5.4999999999999993E-2</v>
      </c>
      <c r="G219" s="132">
        <v>-1.3999999999999999E-2</v>
      </c>
      <c r="H219" s="132">
        <f>SUM(H215:H218)</f>
        <v>3.4999999999999996E-2</v>
      </c>
      <c r="I219" s="132"/>
      <c r="J219"/>
    </row>
    <row r="220" spans="1:13" s="107" customFormat="1">
      <c r="A220" s="136" t="s">
        <v>365</v>
      </c>
      <c r="C220" s="138">
        <f>C219*$B$214</f>
        <v>36</v>
      </c>
      <c r="D220" s="138">
        <f>D219*$C$214</f>
        <v>12.431999999999999</v>
      </c>
      <c r="E220" s="138">
        <f>E219*$D$214</f>
        <v>-27.531500000000001</v>
      </c>
      <c r="F220" s="138">
        <f>F219*$E$214</f>
        <v>-17.654999999999998</v>
      </c>
      <c r="G220" s="138">
        <f>G219*$F$214</f>
        <v>-4.2462</v>
      </c>
      <c r="J220"/>
    </row>
    <row r="221" spans="1:13" s="107" customFormat="1">
      <c r="A221" s="134" t="s">
        <v>133</v>
      </c>
      <c r="C221" s="124">
        <f>C215*$B$214</f>
        <v>13.799999999999999</v>
      </c>
      <c r="D221" s="124">
        <f>D215*$C$214</f>
        <v>-17.135999999999999</v>
      </c>
      <c r="E221" s="124">
        <f>E215*$D$214</f>
        <v>-25.091999999999999</v>
      </c>
      <c r="F221" s="124">
        <f>F215*$E$214</f>
        <v>12.84</v>
      </c>
      <c r="G221" s="124">
        <f>G215*$F$214</f>
        <v>0.90990000000000004</v>
      </c>
      <c r="J221"/>
    </row>
    <row r="222" spans="1:13" s="107" customFormat="1">
      <c r="A222" s="134" t="s">
        <v>115</v>
      </c>
      <c r="C222" s="124">
        <f>C216*$B$214</f>
        <v>22.2</v>
      </c>
      <c r="D222" s="124">
        <f>D216*$C$214</f>
        <v>29.567999999999998</v>
      </c>
      <c r="E222" s="124">
        <f>E216*$D$214</f>
        <v>-2.4395000000000002</v>
      </c>
      <c r="F222" s="124">
        <f>F216*$E$214</f>
        <v>9.9510000000000005</v>
      </c>
      <c r="G222" s="124">
        <f>G216*$F$214</f>
        <v>6.9759000000000002</v>
      </c>
      <c r="J222"/>
    </row>
    <row r="223" spans="1:13" s="107" customFormat="1">
      <c r="A223" s="134" t="s">
        <v>134</v>
      </c>
      <c r="C223" s="124">
        <f>C217*$B$214</f>
        <v>0</v>
      </c>
      <c r="D223" s="124">
        <f>D217*$C$214</f>
        <v>0</v>
      </c>
      <c r="E223" s="124">
        <f>E217*$D$214</f>
        <v>0</v>
      </c>
      <c r="F223" s="124">
        <f>F217*$E$214</f>
        <v>0</v>
      </c>
      <c r="G223" s="124">
        <f>G217*$F$214</f>
        <v>0.90990000000000004</v>
      </c>
      <c r="J223"/>
    </row>
    <row r="224" spans="1:13" s="107" customFormat="1">
      <c r="A224" s="134" t="s">
        <v>368</v>
      </c>
      <c r="C224" s="124">
        <f>C218*$B$214</f>
        <v>0</v>
      </c>
      <c r="D224" s="124">
        <f>D218*$C$214</f>
        <v>0</v>
      </c>
      <c r="E224" s="124">
        <f>E218*$D$214</f>
        <v>0</v>
      </c>
      <c r="F224" s="124">
        <f>F218*$E$214</f>
        <v>-40.445999999999998</v>
      </c>
      <c r="G224" s="124">
        <f>G218*$F$214</f>
        <v>-13.0419</v>
      </c>
      <c r="J224"/>
    </row>
    <row r="225" spans="1:10" s="107" customFormat="1">
      <c r="A225" s="139" t="s">
        <v>131</v>
      </c>
      <c r="C225" s="139">
        <f>C220-C221-C222-C223-C224</f>
        <v>3.5527136788005009E-15</v>
      </c>
      <c r="D225" s="139">
        <f t="shared" ref="D225" si="12">D220-D221-D222-D223-D224</f>
        <v>0</v>
      </c>
      <c r="E225" s="139">
        <f t="shared" ref="E225" si="13">E220-E221-E222-E223-E224</f>
        <v>-2.2204460492503131E-15</v>
      </c>
      <c r="F225" s="139">
        <f t="shared" ref="F225" si="14">F220-F221-F222-F223-F224</f>
        <v>0</v>
      </c>
      <c r="G225" s="139">
        <f t="shared" ref="G225" si="15">G220-G221-G222-G223-G224</f>
        <v>0</v>
      </c>
      <c r="J225"/>
    </row>
    <row r="226" spans="1:10" s="107" customFormat="1">
      <c r="J226"/>
    </row>
    <row r="227" spans="1:10">
      <c r="A227" s="122" t="s">
        <v>137</v>
      </c>
      <c r="B227" s="126">
        <v>2020</v>
      </c>
      <c r="C227" s="126">
        <v>2021</v>
      </c>
      <c r="D227" s="126">
        <v>2022</v>
      </c>
      <c r="E227" s="126">
        <v>2023</v>
      </c>
      <c r="F227" s="127">
        <v>2024</v>
      </c>
      <c r="G227" s="127">
        <v>2025</v>
      </c>
      <c r="H227" s="127" t="s">
        <v>369</v>
      </c>
      <c r="I227" s="107"/>
    </row>
    <row r="228" spans="1:10" s="40" customFormat="1">
      <c r="A228" s="106" t="s">
        <v>127</v>
      </c>
      <c r="B228" s="106">
        <v>3767.6</v>
      </c>
      <c r="C228" s="106">
        <v>3941.9</v>
      </c>
      <c r="D228" s="106">
        <v>4131</v>
      </c>
      <c r="E228" s="106">
        <v>4571.2</v>
      </c>
      <c r="F228" s="131">
        <v>4732.3</v>
      </c>
      <c r="G228" s="131">
        <v>4774.8</v>
      </c>
      <c r="I228" s="107"/>
    </row>
    <row r="229" spans="1:10">
      <c r="A229" s="129" t="s">
        <v>78</v>
      </c>
      <c r="B229" s="1">
        <v>2038.5</v>
      </c>
      <c r="C229" s="1">
        <v>2103</v>
      </c>
      <c r="D229" s="1">
        <v>2272</v>
      </c>
      <c r="E229" s="1">
        <v>2484.1</v>
      </c>
      <c r="F229" s="8">
        <v>2584.3000000000002</v>
      </c>
      <c r="G229" s="8">
        <v>2556.9</v>
      </c>
      <c r="I229" s="107"/>
    </row>
    <row r="230" spans="1:10">
      <c r="A230" s="130" t="s">
        <v>370</v>
      </c>
      <c r="B230" s="42">
        <f t="shared" ref="B230:G230" si="16">B229/B228</f>
        <v>0.54106062214672468</v>
      </c>
      <c r="C230" s="42">
        <f t="shared" si="16"/>
        <v>0.53349907405058472</v>
      </c>
      <c r="D230" s="42">
        <f t="shared" si="16"/>
        <v>0.54998789639312518</v>
      </c>
      <c r="E230" s="42">
        <f t="shared" si="16"/>
        <v>0.54342404620231011</v>
      </c>
      <c r="F230" s="42">
        <f t="shared" si="16"/>
        <v>0.54609809183695035</v>
      </c>
      <c r="G230" s="42">
        <f t="shared" si="16"/>
        <v>0.53549886906257849</v>
      </c>
      <c r="H230" s="42">
        <f>AVERAGE(C230:G230)</f>
        <v>0.54170159550910979</v>
      </c>
      <c r="I230" s="107"/>
    </row>
    <row r="231" spans="1:10">
      <c r="A231" s="125" t="s">
        <v>81</v>
      </c>
      <c r="B231" s="1">
        <v>1729.1</v>
      </c>
      <c r="C231" s="1">
        <v>1838.9</v>
      </c>
      <c r="D231" s="1">
        <v>1859</v>
      </c>
      <c r="E231" s="1">
        <v>2087.1</v>
      </c>
      <c r="F231" s="8">
        <v>2148</v>
      </c>
      <c r="G231" s="8">
        <v>2217.9</v>
      </c>
      <c r="H231" s="42"/>
      <c r="I231" s="107"/>
    </row>
    <row r="232" spans="1:10">
      <c r="A232" s="130" t="s">
        <v>370</v>
      </c>
      <c r="B232" s="42">
        <f t="shared" ref="B232:G232" si="17">B231/B228</f>
        <v>0.45893937785327527</v>
      </c>
      <c r="C232" s="42">
        <f t="shared" si="17"/>
        <v>0.46650092594941528</v>
      </c>
      <c r="D232" s="42">
        <f t="shared" si="17"/>
        <v>0.45001210360687482</v>
      </c>
      <c r="E232" s="42">
        <f t="shared" si="17"/>
        <v>0.45657595379768989</v>
      </c>
      <c r="F232" s="42">
        <f t="shared" si="17"/>
        <v>0.45390190816304965</v>
      </c>
      <c r="G232" s="42">
        <f t="shared" si="17"/>
        <v>0.46450113093742146</v>
      </c>
      <c r="H232" s="42">
        <f>AVERAGE(C232:G232)</f>
        <v>0.45829840449089032</v>
      </c>
      <c r="I232" s="107"/>
    </row>
    <row r="233" spans="1:10" s="40" customFormat="1">
      <c r="A233" s="106" t="s">
        <v>132</v>
      </c>
      <c r="B233" s="106">
        <v>828.2</v>
      </c>
      <c r="C233" s="106">
        <v>912.2</v>
      </c>
      <c r="D233" s="106">
        <v>896.1</v>
      </c>
      <c r="E233" s="106">
        <v>975.7</v>
      </c>
      <c r="F233" s="131">
        <v>1071.5</v>
      </c>
      <c r="G233" s="131">
        <v>1129.4000000000001</v>
      </c>
      <c r="I233" s="107"/>
    </row>
    <row r="234" spans="1:10" s="40" customFormat="1">
      <c r="A234" s="106" t="s">
        <v>135</v>
      </c>
      <c r="B234" s="106">
        <v>300</v>
      </c>
      <c r="C234" s="106">
        <v>336</v>
      </c>
      <c r="D234" s="106">
        <v>348.5</v>
      </c>
      <c r="E234" s="106">
        <v>321</v>
      </c>
      <c r="F234" s="131">
        <v>303.3</v>
      </c>
      <c r="G234" s="131">
        <v>299</v>
      </c>
      <c r="I234" s="107"/>
    </row>
    <row r="235" spans="1:10" s="40" customFormat="1">
      <c r="A235" s="106" t="s">
        <v>137</v>
      </c>
      <c r="B235" s="106">
        <v>4895.8</v>
      </c>
      <c r="C235" s="106">
        <v>5190.1000000000004</v>
      </c>
      <c r="D235" s="106">
        <v>5375.6</v>
      </c>
      <c r="E235" s="106">
        <v>5867.9</v>
      </c>
      <c r="F235" s="131">
        <v>6107.1</v>
      </c>
      <c r="G235" s="131">
        <v>6203.2</v>
      </c>
      <c r="I235" s="107"/>
    </row>
    <row r="236" spans="1:10" s="40" customFormat="1">
      <c r="A236" s="107" t="s">
        <v>138</v>
      </c>
      <c r="B236" s="108">
        <v>0.123</v>
      </c>
      <c r="C236" s="108">
        <v>6.0000000000000005E-2</v>
      </c>
      <c r="D236" s="108">
        <v>3.5999999999999997E-2</v>
      </c>
      <c r="E236" s="108">
        <v>9.1999999999999998E-2</v>
      </c>
      <c r="F236" s="108">
        <v>4.1000000000000002E-2</v>
      </c>
      <c r="G236" s="108">
        <v>1.6E-2</v>
      </c>
      <c r="I236" s="107"/>
    </row>
    <row r="237" spans="1:10">
      <c r="A237" s="128" t="s">
        <v>133</v>
      </c>
      <c r="B237" s="42">
        <v>8.1000000000000003E-2</v>
      </c>
      <c r="C237" s="42">
        <v>0.01</v>
      </c>
      <c r="D237" s="42">
        <v>-5.0999999999999997E-2</v>
      </c>
      <c r="E237" s="42">
        <v>8.9999999999999993E-3</v>
      </c>
      <c r="F237" s="42">
        <v>3.3000000000000002E-2</v>
      </c>
      <c r="G237" s="42">
        <v>8.0000000000000002E-3</v>
      </c>
      <c r="I237" s="107"/>
    </row>
    <row r="238" spans="1:10">
      <c r="A238" s="128" t="s">
        <v>115</v>
      </c>
      <c r="B238" s="42">
        <v>1.4999999999999999E-2</v>
      </c>
      <c r="C238" s="42">
        <v>3.3000000000000002E-2</v>
      </c>
      <c r="D238" s="42">
        <v>6.5000000000000002E-2</v>
      </c>
      <c r="E238" s="42">
        <v>4.3999999999999997E-2</v>
      </c>
      <c r="F238" s="42">
        <v>1.2999999999999999E-2</v>
      </c>
      <c r="G238" s="42">
        <v>-1E-3</v>
      </c>
      <c r="I238" s="107"/>
    </row>
    <row r="239" spans="1:10" ht="28">
      <c r="A239" s="128" t="s">
        <v>65</v>
      </c>
      <c r="B239" s="42">
        <v>-1E-3</v>
      </c>
      <c r="C239" s="42">
        <v>8.9999999999999993E-3</v>
      </c>
      <c r="D239" s="42">
        <v>-0.01</v>
      </c>
      <c r="E239" s="42">
        <v>0</v>
      </c>
      <c r="F239" s="42">
        <v>0</v>
      </c>
      <c r="G239" s="42">
        <v>0</v>
      </c>
      <c r="I239" s="107"/>
    </row>
    <row r="240" spans="1:10">
      <c r="A240" s="128" t="s">
        <v>61</v>
      </c>
      <c r="B240" s="42">
        <v>0</v>
      </c>
      <c r="C240" s="42">
        <v>0</v>
      </c>
      <c r="D240" s="42">
        <v>0</v>
      </c>
      <c r="E240" s="42">
        <v>0</v>
      </c>
      <c r="F240" s="42">
        <v>-5.0000000000000001E-3</v>
      </c>
      <c r="G240" s="42">
        <v>-0.01</v>
      </c>
      <c r="I240" s="107"/>
    </row>
    <row r="241" spans="1:16">
      <c r="A241" s="128" t="s">
        <v>57</v>
      </c>
      <c r="B241" s="42">
        <v>2.8000000000000001E-2</v>
      </c>
      <c r="C241" s="42">
        <v>8.0000000000000002E-3</v>
      </c>
      <c r="D241" s="42">
        <v>3.2000000000000001E-2</v>
      </c>
      <c r="E241" s="42">
        <v>3.9E-2</v>
      </c>
      <c r="F241" s="42">
        <v>0</v>
      </c>
      <c r="G241" s="42">
        <v>1.9E-2</v>
      </c>
      <c r="I241" s="107"/>
    </row>
    <row r="242" spans="1:16" s="139" customFormat="1">
      <c r="A242" s="139" t="s">
        <v>131</v>
      </c>
      <c r="B242" s="139">
        <f>B236-B237-B238-B239-B240-B241</f>
        <v>0</v>
      </c>
      <c r="C242" s="139">
        <f t="shared" ref="C242:H242" si="18">C236-C237-C238-C239-C240-C241</f>
        <v>0</v>
      </c>
      <c r="D242" s="139">
        <f t="shared" si="18"/>
        <v>0</v>
      </c>
      <c r="E242" s="139">
        <f t="shared" si="18"/>
        <v>0</v>
      </c>
      <c r="F242" s="139">
        <f t="shared" si="18"/>
        <v>8.6736173798840355E-19</v>
      </c>
      <c r="G242" s="139">
        <f t="shared" si="18"/>
        <v>0</v>
      </c>
      <c r="H242" s="139">
        <f t="shared" si="18"/>
        <v>0</v>
      </c>
      <c r="I242" s="107"/>
    </row>
    <row r="243" spans="1:16">
      <c r="I243" s="107"/>
    </row>
    <row r="244" spans="1:16">
      <c r="I244" s="107"/>
    </row>
    <row r="245" spans="1:16">
      <c r="A245" s="3"/>
      <c r="B245" s="3"/>
      <c r="C245" s="3"/>
      <c r="D245" s="3"/>
      <c r="G245" s="3"/>
      <c r="I245" s="107"/>
    </row>
    <row r="246" spans="1:16">
      <c r="A246" s="161" t="s">
        <v>280</v>
      </c>
      <c r="B246" s="162">
        <v>2020</v>
      </c>
      <c r="C246" s="162">
        <v>2021</v>
      </c>
      <c r="D246" s="162">
        <v>2022</v>
      </c>
      <c r="E246" s="162">
        <v>2023</v>
      </c>
      <c r="F246" s="163">
        <v>2024</v>
      </c>
      <c r="G246" s="163">
        <v>2025</v>
      </c>
      <c r="H246" s="127" t="s">
        <v>369</v>
      </c>
      <c r="I246" s="107"/>
    </row>
    <row r="247" spans="1:16">
      <c r="A247" s="1" t="s">
        <v>139</v>
      </c>
      <c r="B247" s="8">
        <v>3767.6</v>
      </c>
      <c r="C247" s="8">
        <v>3941.9</v>
      </c>
      <c r="D247" s="8">
        <v>4131</v>
      </c>
      <c r="E247" s="8">
        <v>4571.2</v>
      </c>
      <c r="F247" s="8">
        <v>4732.3</v>
      </c>
      <c r="G247" s="8">
        <v>4774.8</v>
      </c>
      <c r="I247" s="107"/>
    </row>
    <row r="248" spans="1:16">
      <c r="A248" s="1" t="s">
        <v>140</v>
      </c>
      <c r="B248" s="8">
        <f t="shared" ref="B248:G248" si="19">B336</f>
        <v>1916.6667896678966</v>
      </c>
      <c r="C248" s="8">
        <f t="shared" si="19"/>
        <v>2092.2166590597899</v>
      </c>
      <c r="D248" s="8">
        <f t="shared" si="19"/>
        <v>2283.3305936073061</v>
      </c>
      <c r="E248" s="8">
        <f t="shared" si="19"/>
        <v>2374.5509769094137</v>
      </c>
      <c r="F248" s="8">
        <f t="shared" si="19"/>
        <v>2380.5752823086573</v>
      </c>
      <c r="G248" s="8">
        <f t="shared" si="19"/>
        <v>2467.8238884397738</v>
      </c>
      <c r="I248" s="107"/>
    </row>
    <row r="249" spans="1:16">
      <c r="A249" s="1" t="s">
        <v>141</v>
      </c>
      <c r="B249" s="159">
        <f t="shared" ref="B249:G249" si="20">B247-B248</f>
        <v>1850.9332103321033</v>
      </c>
      <c r="C249" s="159">
        <f t="shared" si="20"/>
        <v>1849.6833409402102</v>
      </c>
      <c r="D249" s="159">
        <f t="shared" si="20"/>
        <v>1847.6694063926939</v>
      </c>
      <c r="E249" s="159">
        <f t="shared" si="20"/>
        <v>2196.6490230905861</v>
      </c>
      <c r="F249" s="159">
        <f t="shared" si="20"/>
        <v>2351.7247176913429</v>
      </c>
      <c r="G249" s="159">
        <f t="shared" si="20"/>
        <v>2306.9761115602264</v>
      </c>
      <c r="I249" s="107"/>
      <c r="K249" s="88"/>
      <c r="L249" s="88"/>
      <c r="M249" s="88"/>
      <c r="N249" s="88"/>
      <c r="O249" s="88"/>
      <c r="P249" s="46"/>
    </row>
    <row r="250" spans="1:16">
      <c r="A250" s="130" t="s">
        <v>118</v>
      </c>
      <c r="B250" s="42">
        <f>B249/B247</f>
        <v>0.49127646521183332</v>
      </c>
      <c r="C250" s="42">
        <f t="shared" ref="C250:G250" si="21">C249/C247</f>
        <v>0.46923649532971667</v>
      </c>
      <c r="D250" s="42">
        <f t="shared" si="21"/>
        <v>0.44726928259324472</v>
      </c>
      <c r="E250" s="42">
        <f t="shared" si="21"/>
        <v>0.48054100085110829</v>
      </c>
      <c r="F250" s="42">
        <f t="shared" si="21"/>
        <v>0.49695173968077738</v>
      </c>
      <c r="G250" s="42">
        <f t="shared" si="21"/>
        <v>0.48315659536739264</v>
      </c>
      <c r="H250" s="42">
        <f>AVERAGE(C250,E250:G250)</f>
        <v>0.48247145780724876</v>
      </c>
      <c r="I250" s="42"/>
      <c r="P250" s="87"/>
    </row>
    <row r="251" spans="1:16">
      <c r="A251" s="1" t="s">
        <v>89</v>
      </c>
      <c r="B251" s="8">
        <v>460.6</v>
      </c>
      <c r="C251" s="8">
        <v>442.1</v>
      </c>
      <c r="D251" s="8">
        <v>412.9</v>
      </c>
      <c r="E251" s="8">
        <v>509.5</v>
      </c>
      <c r="F251" s="8">
        <v>538.5</v>
      </c>
      <c r="G251" s="8">
        <v>532.70000000000005</v>
      </c>
      <c r="P251" s="42"/>
    </row>
    <row r="252" spans="1:16">
      <c r="A252" s="130" t="s">
        <v>371</v>
      </c>
      <c r="B252" s="42">
        <f t="shared" ref="B252:C252" si="22">B251/B247</f>
        <v>0.12225289308843827</v>
      </c>
      <c r="C252" s="42">
        <f t="shared" si="22"/>
        <v>0.1121540373931353</v>
      </c>
      <c r="D252" s="42">
        <f>D251/D247</f>
        <v>9.9951585572500598E-2</v>
      </c>
      <c r="E252" s="42">
        <f t="shared" ref="E252:G252" si="23">E251/E247</f>
        <v>0.11145869793489675</v>
      </c>
      <c r="F252" s="42">
        <f t="shared" si="23"/>
        <v>0.11379244764702152</v>
      </c>
      <c r="G252" s="42">
        <f t="shared" si="23"/>
        <v>0.11156488229873503</v>
      </c>
      <c r="H252" s="42">
        <f>AVERAGE(C252:G252)</f>
        <v>0.10978433016925784</v>
      </c>
      <c r="I252" s="42"/>
      <c r="P252" s="87"/>
    </row>
    <row r="253" spans="1:16">
      <c r="A253" s="1" t="s">
        <v>90</v>
      </c>
      <c r="B253" s="8">
        <v>0</v>
      </c>
      <c r="C253" s="8">
        <v>0</v>
      </c>
      <c r="D253" s="8">
        <v>96.2</v>
      </c>
      <c r="E253" s="8">
        <v>107.1</v>
      </c>
      <c r="F253" s="8">
        <v>123.7</v>
      </c>
      <c r="G253" s="8">
        <v>129.1</v>
      </c>
    </row>
    <row r="254" spans="1:16">
      <c r="A254" s="130" t="s">
        <v>371</v>
      </c>
      <c r="B254" s="42"/>
      <c r="C254" s="42"/>
      <c r="D254" s="42">
        <f>D253/D247</f>
        <v>2.328733962720891E-2</v>
      </c>
      <c r="E254" s="42">
        <f t="shared" ref="E254:G254" si="24">E253/E247</f>
        <v>2.3429296464823241E-2</v>
      </c>
      <c r="F254" s="42">
        <f t="shared" si="24"/>
        <v>2.6139509329501511E-2</v>
      </c>
      <c r="G254" s="42">
        <f t="shared" si="24"/>
        <v>2.7037781687191086E-2</v>
      </c>
      <c r="H254" s="42">
        <f>AVERAGE(C254:G254)</f>
        <v>2.4973481777181186E-2</v>
      </c>
      <c r="I254" s="42"/>
    </row>
    <row r="255" spans="1:16">
      <c r="A255" s="1" t="s">
        <v>91</v>
      </c>
      <c r="B255" s="8">
        <f t="shared" ref="B255:G255" si="25">B361</f>
        <v>362.63321033210332</v>
      </c>
      <c r="C255" s="8">
        <f t="shared" si="25"/>
        <v>326.58334094020995</v>
      </c>
      <c r="D255" s="8">
        <f t="shared" si="25"/>
        <v>315.06940639269408</v>
      </c>
      <c r="E255" s="8">
        <f t="shared" si="25"/>
        <v>466.44902309058608</v>
      </c>
      <c r="F255" s="8">
        <f t="shared" si="25"/>
        <v>477.42471769134261</v>
      </c>
      <c r="G255" s="8">
        <f t="shared" si="25"/>
        <v>514.27611156022635</v>
      </c>
    </row>
    <row r="256" spans="1:16">
      <c r="A256" s="130" t="s">
        <v>371</v>
      </c>
      <c r="B256" s="42">
        <f>B255/B247</f>
        <v>9.6250453957984747E-2</v>
      </c>
      <c r="C256" s="42">
        <f t="shared" ref="C256:G256" si="26">C255/C247</f>
        <v>8.2849220157845183E-2</v>
      </c>
      <c r="D256" s="42">
        <f t="shared" si="26"/>
        <v>7.6269524665382255E-2</v>
      </c>
      <c r="E256" s="42">
        <f t="shared" si="26"/>
        <v>0.10204082584235782</v>
      </c>
      <c r="F256" s="42">
        <f t="shared" si="26"/>
        <v>0.10088640147314046</v>
      </c>
      <c r="G256" s="42">
        <f t="shared" si="26"/>
        <v>0.10770631472736582</v>
      </c>
      <c r="H256" s="42">
        <f>AVERAGE(C256:G256)</f>
        <v>9.3950457373218305E-2</v>
      </c>
      <c r="I256" s="42"/>
    </row>
    <row r="257" spans="1:3069 3076:6144 6151:7164 7171:10239 10246:11259 11266:14334 14341:15354 15361:16384">
      <c r="A257" s="1" t="s">
        <v>142</v>
      </c>
      <c r="B257" s="8">
        <f t="shared" ref="B257:G257" si="27">B380</f>
        <v>49.833210332103334</v>
      </c>
      <c r="C257" s="8">
        <f t="shared" si="27"/>
        <v>53.883340940209955</v>
      </c>
      <c r="D257" s="8">
        <f t="shared" si="27"/>
        <v>53.569406392694063</v>
      </c>
      <c r="E257" s="8">
        <f t="shared" si="27"/>
        <v>59.449023090586152</v>
      </c>
      <c r="F257" s="8">
        <f t="shared" si="27"/>
        <v>69.524717691342545</v>
      </c>
      <c r="G257" s="8">
        <f t="shared" si="27"/>
        <v>76.17611156022636</v>
      </c>
    </row>
    <row r="258" spans="1:3069 3076:6144 6151:7164 7171:10239 10246:11259 11266:14334 14341:15354 15361:16384">
      <c r="A258" s="1" t="s">
        <v>143</v>
      </c>
      <c r="B258" s="8">
        <f t="shared" ref="B258:G258" si="28">B386</f>
        <v>92.966789667896691</v>
      </c>
      <c r="C258" s="8">
        <f t="shared" si="28"/>
        <v>118.71665905979003</v>
      </c>
      <c r="D258" s="8">
        <f t="shared" si="28"/>
        <v>121.53059360730595</v>
      </c>
      <c r="E258" s="8">
        <f t="shared" si="28"/>
        <v>124.45097690941388</v>
      </c>
      <c r="F258" s="8">
        <f t="shared" si="28"/>
        <v>130.27528230865747</v>
      </c>
      <c r="G258" s="8">
        <f t="shared" si="28"/>
        <v>133.92388843977363</v>
      </c>
    </row>
    <row r="259" spans="1:3069 3076:6144 6151:7164 7171:10239 10246:11259 11266:14334 14341:15354 15361:16384">
      <c r="A259" s="1" t="s">
        <v>144</v>
      </c>
      <c r="B259" s="8">
        <v>0</v>
      </c>
      <c r="C259" s="8">
        <v>0</v>
      </c>
      <c r="D259" s="8">
        <v>349.3</v>
      </c>
      <c r="E259" s="8">
        <v>0</v>
      </c>
      <c r="F259" s="8">
        <v>327.39999999999998</v>
      </c>
      <c r="G259" s="8">
        <v>0</v>
      </c>
    </row>
    <row r="260" spans="1:3069 3076:6144 6151:7164 7171:10239 10246:11259 11266:14334 14341:15354 15361:16384">
      <c r="A260" s="1" t="s">
        <v>145</v>
      </c>
      <c r="B260" s="159">
        <f t="shared" ref="B260:G260" si="29">B249-B251-B253-B255-B257-B258-B259</f>
        <v>884.89999999999975</v>
      </c>
      <c r="C260" s="159">
        <f t="shared" si="29"/>
        <v>908.40000000000043</v>
      </c>
      <c r="D260" s="159">
        <f t="shared" si="29"/>
        <v>499.09999999999962</v>
      </c>
      <c r="E260" s="159">
        <f t="shared" si="29"/>
        <v>929.7</v>
      </c>
      <c r="F260" s="159">
        <f t="shared" si="29"/>
        <v>684.90000000000032</v>
      </c>
      <c r="G260" s="159">
        <f t="shared" si="29"/>
        <v>920.8</v>
      </c>
    </row>
    <row r="261" spans="1:3069 3076:6144 6151:7164 7171:10239 10246:11259 11266:14334 14341:15354 15361:16384">
      <c r="A261" s="1"/>
      <c r="B261" s="8"/>
      <c r="C261" s="8"/>
      <c r="D261" s="8"/>
      <c r="E261" s="8"/>
      <c r="F261" s="8"/>
      <c r="G261" s="27"/>
    </row>
    <row r="262" spans="1:3069 3076:6144 6151:7164 7171:10239 10246:11259 11266:14334 14341:15354 15361:16384">
      <c r="A262" s="1"/>
      <c r="B262" s="8"/>
      <c r="C262" s="8"/>
      <c r="D262" s="8"/>
      <c r="E262" s="8"/>
      <c r="F262" s="8"/>
      <c r="G262" s="27"/>
    </row>
    <row r="263" spans="1:3069 3076:6144 6151:7164 7171:10239 10246:11259 11266:14334 14341:15354 15361:16384">
      <c r="A263" s="161" t="s">
        <v>281</v>
      </c>
      <c r="B263" s="162">
        <v>2020</v>
      </c>
      <c r="C263" s="162">
        <v>2021</v>
      </c>
      <c r="D263" s="162">
        <v>2022</v>
      </c>
      <c r="E263" s="162">
        <v>2023</v>
      </c>
      <c r="F263" s="163">
        <v>2024</v>
      </c>
      <c r="G263" s="163">
        <v>2025</v>
      </c>
      <c r="H263" s="372" t="s">
        <v>369</v>
      </c>
    </row>
    <row r="264" spans="1:3069 3076:6144 6151:7164 7171:10239 10246:11259 11266:14334 14341:15354 15361:16384">
      <c r="A264" s="1" t="s">
        <v>139</v>
      </c>
      <c r="B264" s="8">
        <v>828.2</v>
      </c>
      <c r="C264" s="8">
        <v>912.2</v>
      </c>
      <c r="D264" s="8">
        <v>896.1</v>
      </c>
      <c r="E264" s="8">
        <v>975.7</v>
      </c>
      <c r="F264" s="8">
        <v>1071.5</v>
      </c>
      <c r="G264" s="8">
        <v>1129.4000000000001</v>
      </c>
    </row>
    <row r="265" spans="1:3069 3076:6144 6151:7164 7171:10239 10246:11259 11266:14334 14341:15354 15361:16384">
      <c r="A265" s="1" t="s">
        <v>140</v>
      </c>
      <c r="B265" s="8">
        <f t="shared" ref="B265:G265" si="30">B337</f>
        <v>449.07042698998424</v>
      </c>
      <c r="C265" s="8">
        <f t="shared" si="30"/>
        <v>500.39100867183936</v>
      </c>
      <c r="D265" s="8">
        <f t="shared" si="30"/>
        <v>514.49132420091325</v>
      </c>
      <c r="E265" s="8">
        <f t="shared" si="30"/>
        <v>559.74547069271762</v>
      </c>
      <c r="F265" s="8">
        <f t="shared" si="30"/>
        <v>595.37402760351313</v>
      </c>
      <c r="G265" s="8">
        <f t="shared" si="30"/>
        <v>616.14567502021021</v>
      </c>
    </row>
    <row r="266" spans="1:3069 3076:6144 6151:7164 7171:10239 10246:11259 11266:14334 14341:15354 15361:16384">
      <c r="A266" s="1" t="s">
        <v>141</v>
      </c>
      <c r="B266" s="159">
        <f t="shared" ref="B266:G266" si="31">B264-B265</f>
        <v>379.1295730100158</v>
      </c>
      <c r="C266" s="159">
        <f t="shared" si="31"/>
        <v>411.80899132816069</v>
      </c>
      <c r="D266" s="159">
        <f t="shared" si="31"/>
        <v>381.60867579908677</v>
      </c>
      <c r="E266" s="159">
        <f t="shared" si="31"/>
        <v>415.95452930728243</v>
      </c>
      <c r="F266" s="159">
        <f t="shared" si="31"/>
        <v>476.12597239648687</v>
      </c>
      <c r="G266" s="159">
        <f t="shared" si="31"/>
        <v>513.25432497978989</v>
      </c>
    </row>
    <row r="267" spans="1:3069 3076:6144 6151:7164 7171:10239 10246:11259 11266:14334 14341:15354 15361:16384" s="185" customFormat="1">
      <c r="A267" s="183" t="s">
        <v>118</v>
      </c>
      <c r="B267" s="184">
        <f t="shared" ref="B267:G267" si="32">B266/B264</f>
        <v>0.45777538397731921</v>
      </c>
      <c r="C267" s="184">
        <f t="shared" si="32"/>
        <v>0.45144594532795512</v>
      </c>
      <c r="D267" s="184">
        <f t="shared" si="32"/>
        <v>0.42585501149323374</v>
      </c>
      <c r="E267" s="184">
        <f t="shared" si="32"/>
        <v>0.42631395849880332</v>
      </c>
      <c r="F267" s="184">
        <f t="shared" si="32"/>
        <v>0.44435461726223691</v>
      </c>
      <c r="G267" s="184">
        <f t="shared" si="32"/>
        <v>0.45444866741614115</v>
      </c>
      <c r="H267" s="184">
        <f>AVERAGE(C267,E267:G267)</f>
        <v>0.44414079712628418</v>
      </c>
      <c r="I267" s="184"/>
      <c r="P267" s="186"/>
      <c r="Q267" s="183"/>
      <c r="R267" s="184"/>
      <c r="S267" s="184"/>
      <c r="T267" s="184"/>
      <c r="U267" s="184"/>
      <c r="V267" s="184"/>
      <c r="W267" s="184"/>
      <c r="X267" s="184"/>
      <c r="AE267" s="186"/>
      <c r="AF267" s="183"/>
      <c r="AG267" s="184"/>
      <c r="AH267" s="184"/>
      <c r="AI267" s="184"/>
      <c r="AJ267" s="184"/>
      <c r="AK267" s="184"/>
      <c r="AL267" s="184"/>
      <c r="AM267" s="184"/>
      <c r="AT267" s="186"/>
      <c r="AU267" s="183"/>
      <c r="AV267" s="184"/>
      <c r="AW267" s="184"/>
      <c r="AX267" s="184"/>
      <c r="AY267" s="184"/>
      <c r="AZ267" s="184"/>
      <c r="BA267" s="184"/>
      <c r="BB267" s="184"/>
      <c r="BI267" s="186"/>
      <c r="BJ267" s="183"/>
      <c r="BK267" s="184"/>
      <c r="BL267" s="184"/>
      <c r="BM267" s="184"/>
      <c r="BN267" s="184"/>
      <c r="BO267" s="184"/>
      <c r="BP267" s="184"/>
      <c r="BQ267" s="184"/>
      <c r="BX267" s="186"/>
      <c r="BY267" s="183"/>
      <c r="BZ267" s="184"/>
      <c r="CA267" s="184"/>
      <c r="CB267" s="184"/>
      <c r="CC267" s="184"/>
      <c r="CD267" s="184"/>
      <c r="CE267" s="184"/>
      <c r="CF267" s="184"/>
      <c r="CM267" s="186"/>
      <c r="CN267" s="183"/>
      <c r="CO267" s="184"/>
      <c r="CP267" s="184"/>
      <c r="CQ267" s="184"/>
      <c r="CR267" s="184"/>
      <c r="CS267" s="184"/>
      <c r="CT267" s="184"/>
      <c r="CU267" s="184"/>
      <c r="DB267" s="186"/>
      <c r="DC267" s="183"/>
      <c r="DD267" s="184"/>
      <c r="DE267" s="184"/>
      <c r="DF267" s="184"/>
      <c r="DG267" s="184"/>
      <c r="DH267" s="184"/>
      <c r="DI267" s="184"/>
      <c r="DJ267" s="184"/>
      <c r="DQ267" s="186"/>
      <c r="DR267" s="183"/>
      <c r="DS267" s="184"/>
      <c r="DT267" s="184"/>
      <c r="DU267" s="184"/>
      <c r="DV267" s="184"/>
      <c r="DW267" s="184"/>
      <c r="DX267" s="184"/>
      <c r="DY267" s="184"/>
      <c r="EF267" s="186"/>
      <c r="EG267" s="183"/>
      <c r="EH267" s="184"/>
      <c r="EI267" s="184"/>
      <c r="EJ267" s="184"/>
      <c r="EK267" s="184"/>
      <c r="EL267" s="184"/>
      <c r="EM267" s="184"/>
      <c r="EN267" s="184"/>
      <c r="EU267" s="186"/>
      <c r="EV267" s="183"/>
      <c r="EW267" s="184"/>
      <c r="EX267" s="184"/>
      <c r="EY267" s="184"/>
      <c r="EZ267" s="184"/>
      <c r="FA267" s="184"/>
      <c r="FB267" s="184"/>
      <c r="FC267" s="184"/>
      <c r="FJ267" s="186"/>
      <c r="FK267" s="183"/>
      <c r="FL267" s="184"/>
      <c r="FM267" s="184"/>
      <c r="FN267" s="184"/>
      <c r="FO267" s="184"/>
      <c r="FP267" s="184"/>
      <c r="FQ267" s="184"/>
      <c r="FR267" s="184"/>
      <c r="FY267" s="186"/>
      <c r="FZ267" s="183"/>
      <c r="GA267" s="184"/>
      <c r="GB267" s="184"/>
      <c r="GC267" s="184"/>
      <c r="GD267" s="184"/>
      <c r="GE267" s="184"/>
      <c r="GF267" s="184"/>
      <c r="GG267" s="184"/>
      <c r="GN267" s="186"/>
      <c r="GO267" s="183"/>
      <c r="GP267" s="184"/>
      <c r="GQ267" s="184"/>
      <c r="GR267" s="184"/>
      <c r="GS267" s="184"/>
      <c r="GT267" s="184"/>
      <c r="GU267" s="184"/>
      <c r="GV267" s="184"/>
      <c r="HC267" s="186"/>
      <c r="HD267" s="183"/>
      <c r="HE267" s="184"/>
      <c r="HF267" s="184"/>
      <c r="HG267" s="184"/>
      <c r="HH267" s="184"/>
      <c r="HI267" s="184"/>
      <c r="HJ267" s="184"/>
      <c r="HK267" s="184"/>
      <c r="HR267" s="186"/>
      <c r="HS267" s="183"/>
      <c r="HT267" s="184"/>
      <c r="HU267" s="184"/>
      <c r="HV267" s="184"/>
      <c r="HW267" s="184"/>
      <c r="HX267" s="184"/>
      <c r="HY267" s="184"/>
      <c r="HZ267" s="184"/>
      <c r="IG267" s="186"/>
      <c r="IH267" s="183"/>
      <c r="II267" s="184"/>
      <c r="IJ267" s="184"/>
      <c r="IK267" s="184"/>
      <c r="IL267" s="184"/>
      <c r="IM267" s="184"/>
      <c r="IN267" s="184"/>
      <c r="IO267" s="184"/>
      <c r="IV267" s="186"/>
      <c r="IW267" s="183"/>
      <c r="IX267" s="184"/>
      <c r="IY267" s="184"/>
      <c r="IZ267" s="184"/>
      <c r="JA267" s="184"/>
      <c r="JB267" s="184"/>
      <c r="JC267" s="184"/>
      <c r="JD267" s="184"/>
      <c r="JK267" s="186"/>
      <c r="JL267" s="183"/>
      <c r="JM267" s="184"/>
      <c r="JN267" s="184"/>
      <c r="JO267" s="184"/>
      <c r="JP267" s="184"/>
      <c r="JQ267" s="184"/>
      <c r="JR267" s="184"/>
      <c r="JS267" s="184"/>
      <c r="JZ267" s="186"/>
      <c r="KA267" s="183"/>
      <c r="KB267" s="184"/>
      <c r="KC267" s="184"/>
      <c r="KD267" s="184"/>
      <c r="KE267" s="184"/>
      <c r="KF267" s="184"/>
      <c r="KG267" s="184"/>
      <c r="KH267" s="184"/>
      <c r="KO267" s="186"/>
      <c r="KP267" s="183"/>
      <c r="KQ267" s="184"/>
      <c r="KR267" s="184"/>
      <c r="KS267" s="184"/>
      <c r="KT267" s="184"/>
      <c r="KU267" s="184"/>
      <c r="KV267" s="184"/>
      <c r="KW267" s="184"/>
      <c r="LD267" s="186"/>
      <c r="LE267" s="183"/>
      <c r="LF267" s="184"/>
      <c r="LG267" s="184"/>
      <c r="LH267" s="184"/>
      <c r="LI267" s="184"/>
      <c r="LJ267" s="184"/>
      <c r="LK267" s="184"/>
      <c r="LL267" s="184"/>
      <c r="LS267" s="186"/>
      <c r="LT267" s="183"/>
      <c r="LU267" s="184"/>
      <c r="LV267" s="184"/>
      <c r="LW267" s="184"/>
      <c r="LX267" s="184"/>
      <c r="LY267" s="184"/>
      <c r="LZ267" s="184"/>
      <c r="MA267" s="184"/>
      <c r="MH267" s="186"/>
      <c r="MI267" s="183"/>
      <c r="MJ267" s="184"/>
      <c r="MK267" s="184"/>
      <c r="ML267" s="184"/>
      <c r="MM267" s="184"/>
      <c r="MN267" s="184"/>
      <c r="MO267" s="184"/>
      <c r="MP267" s="184"/>
      <c r="MW267" s="186"/>
      <c r="MX267" s="183"/>
      <c r="MY267" s="184"/>
      <c r="MZ267" s="184"/>
      <c r="NA267" s="184"/>
      <c r="NB267" s="184"/>
      <c r="NC267" s="184"/>
      <c r="ND267" s="184"/>
      <c r="NE267" s="184"/>
      <c r="NL267" s="186"/>
      <c r="NM267" s="183"/>
      <c r="NN267" s="184"/>
      <c r="NO267" s="184"/>
      <c r="NP267" s="184"/>
      <c r="NQ267" s="184"/>
      <c r="NR267" s="184"/>
      <c r="NS267" s="184"/>
      <c r="NT267" s="184"/>
      <c r="OA267" s="186"/>
      <c r="OB267" s="183"/>
      <c r="OC267" s="184"/>
      <c r="OD267" s="184"/>
      <c r="OE267" s="184"/>
      <c r="OF267" s="184"/>
      <c r="OG267" s="184"/>
      <c r="OH267" s="184"/>
      <c r="OI267" s="184"/>
      <c r="OP267" s="186"/>
      <c r="OQ267" s="183"/>
      <c r="OR267" s="184"/>
      <c r="OS267" s="184"/>
      <c r="OT267" s="184"/>
      <c r="OU267" s="184"/>
      <c r="OV267" s="184"/>
      <c r="OW267" s="184"/>
      <c r="OX267" s="184"/>
      <c r="PE267" s="186"/>
      <c r="PF267" s="183"/>
      <c r="PG267" s="184"/>
      <c r="PH267" s="184"/>
      <c r="PI267" s="184"/>
      <c r="PJ267" s="184"/>
      <c r="PK267" s="184"/>
      <c r="PL267" s="184"/>
      <c r="PM267" s="184"/>
      <c r="PT267" s="186"/>
      <c r="PU267" s="183"/>
      <c r="PV267" s="184"/>
      <c r="PW267" s="184"/>
      <c r="PX267" s="184"/>
      <c r="PY267" s="184"/>
      <c r="PZ267" s="184"/>
      <c r="QA267" s="184"/>
      <c r="QB267" s="184"/>
      <c r="QI267" s="186"/>
      <c r="QJ267" s="183"/>
      <c r="QK267" s="184"/>
      <c r="QL267" s="184"/>
      <c r="QM267" s="184"/>
      <c r="QN267" s="184"/>
      <c r="QO267" s="184"/>
      <c r="QP267" s="184"/>
      <c r="QQ267" s="184"/>
      <c r="QX267" s="186"/>
      <c r="QY267" s="183"/>
      <c r="QZ267" s="184"/>
      <c r="RA267" s="184"/>
      <c r="RB267" s="184"/>
      <c r="RC267" s="184"/>
      <c r="RD267" s="184"/>
      <c r="RE267" s="184"/>
      <c r="RF267" s="184"/>
      <c r="RM267" s="186"/>
      <c r="RN267" s="183"/>
      <c r="RO267" s="184"/>
      <c r="RP267" s="184"/>
      <c r="RQ267" s="184"/>
      <c r="RR267" s="184"/>
      <c r="RS267" s="184"/>
      <c r="RT267" s="184"/>
      <c r="RU267" s="184"/>
      <c r="SB267" s="186"/>
      <c r="SC267" s="183"/>
      <c r="SD267" s="184"/>
      <c r="SE267" s="184"/>
      <c r="SF267" s="184"/>
      <c r="SG267" s="184"/>
      <c r="SH267" s="184"/>
      <c r="SI267" s="184"/>
      <c r="SJ267" s="184"/>
      <c r="SQ267" s="186"/>
      <c r="SR267" s="183"/>
      <c r="SS267" s="184"/>
      <c r="ST267" s="184"/>
      <c r="SU267" s="184"/>
      <c r="SV267" s="184"/>
      <c r="SW267" s="184"/>
      <c r="SX267" s="184"/>
      <c r="SY267" s="184"/>
      <c r="TF267" s="186"/>
      <c r="TG267" s="183"/>
      <c r="TH267" s="184"/>
      <c r="TI267" s="184"/>
      <c r="TJ267" s="184"/>
      <c r="TK267" s="184"/>
      <c r="TL267" s="184"/>
      <c r="TM267" s="184"/>
      <c r="TN267" s="184"/>
      <c r="TU267" s="186"/>
      <c r="TV267" s="183"/>
      <c r="TW267" s="184"/>
      <c r="TX267" s="184"/>
      <c r="TY267" s="184"/>
      <c r="TZ267" s="184"/>
      <c r="UA267" s="184"/>
      <c r="UB267" s="184"/>
      <c r="UC267" s="184"/>
      <c r="UJ267" s="186"/>
      <c r="UK267" s="183"/>
      <c r="UL267" s="184"/>
      <c r="UM267" s="184"/>
      <c r="UN267" s="184"/>
      <c r="UO267" s="184"/>
      <c r="UP267" s="184"/>
      <c r="UQ267" s="184"/>
      <c r="UR267" s="184"/>
      <c r="UY267" s="186"/>
      <c r="UZ267" s="183"/>
      <c r="VA267" s="184"/>
      <c r="VB267" s="184"/>
      <c r="VC267" s="184"/>
      <c r="VD267" s="184"/>
      <c r="VE267" s="184"/>
      <c r="VF267" s="184"/>
      <c r="VG267" s="184"/>
      <c r="VN267" s="186"/>
      <c r="VO267" s="183"/>
      <c r="VP267" s="184"/>
      <c r="VQ267" s="184"/>
      <c r="VR267" s="184"/>
      <c r="VS267" s="184"/>
      <c r="VT267" s="184"/>
      <c r="VU267" s="184"/>
      <c r="VV267" s="184"/>
      <c r="WC267" s="186"/>
      <c r="WD267" s="183"/>
      <c r="WE267" s="184"/>
      <c r="WF267" s="184"/>
      <c r="WG267" s="184"/>
      <c r="WH267" s="184"/>
      <c r="WI267" s="184"/>
      <c r="WJ267" s="184"/>
      <c r="WK267" s="184"/>
      <c r="WR267" s="186"/>
      <c r="WS267" s="183"/>
      <c r="WT267" s="184"/>
      <c r="WU267" s="184"/>
      <c r="WV267" s="184"/>
      <c r="WW267" s="184"/>
      <c r="WX267" s="184"/>
      <c r="WY267" s="184"/>
      <c r="WZ267" s="184"/>
      <c r="XG267" s="186"/>
      <c r="XH267" s="183"/>
      <c r="XI267" s="184"/>
      <c r="XJ267" s="184"/>
      <c r="XK267" s="184"/>
      <c r="XL267" s="184"/>
      <c r="XM267" s="184"/>
      <c r="XN267" s="184"/>
      <c r="XO267" s="184"/>
      <c r="XV267" s="186"/>
      <c r="XW267" s="183"/>
      <c r="XX267" s="184"/>
      <c r="XY267" s="184"/>
      <c r="XZ267" s="184"/>
      <c r="YA267" s="184"/>
      <c r="YB267" s="184"/>
      <c r="YC267" s="184"/>
      <c r="YD267" s="184"/>
      <c r="YK267" s="186"/>
      <c r="YL267" s="183"/>
      <c r="YM267" s="184"/>
      <c r="YN267" s="184"/>
      <c r="YO267" s="184"/>
      <c r="YP267" s="184"/>
      <c r="YQ267" s="184"/>
      <c r="YR267" s="184"/>
      <c r="YS267" s="184"/>
      <c r="YZ267" s="186"/>
      <c r="ZA267" s="183"/>
      <c r="ZB267" s="184"/>
      <c r="ZC267" s="184"/>
      <c r="ZD267" s="184"/>
      <c r="ZE267" s="184"/>
      <c r="ZF267" s="184"/>
      <c r="ZG267" s="184"/>
      <c r="ZH267" s="184"/>
      <c r="ZO267" s="186"/>
      <c r="ZP267" s="183"/>
      <c r="ZQ267" s="184"/>
      <c r="ZR267" s="184"/>
      <c r="ZS267" s="184"/>
      <c r="ZT267" s="184"/>
      <c r="ZU267" s="184"/>
      <c r="ZV267" s="184"/>
      <c r="ZW267" s="184"/>
      <c r="AAD267" s="186"/>
      <c r="AAE267" s="183"/>
      <c r="AAF267" s="184"/>
      <c r="AAG267" s="184"/>
      <c r="AAH267" s="184"/>
      <c r="AAI267" s="184"/>
      <c r="AAJ267" s="184"/>
      <c r="AAK267" s="184"/>
      <c r="AAL267" s="184"/>
      <c r="AAS267" s="186"/>
      <c r="AAT267" s="183"/>
      <c r="AAU267" s="184"/>
      <c r="AAV267" s="184"/>
      <c r="AAW267" s="184"/>
      <c r="AAX267" s="184"/>
      <c r="AAY267" s="184"/>
      <c r="AAZ267" s="184"/>
      <c r="ABA267" s="184"/>
      <c r="ABH267" s="186"/>
      <c r="ABI267" s="183"/>
      <c r="ABJ267" s="184"/>
      <c r="ABK267" s="184"/>
      <c r="ABL267" s="184"/>
      <c r="ABM267" s="184"/>
      <c r="ABN267" s="184"/>
      <c r="ABO267" s="184"/>
      <c r="ABP267" s="184"/>
      <c r="ABW267" s="186"/>
      <c r="ABX267" s="183"/>
      <c r="ABY267" s="184"/>
      <c r="ABZ267" s="184"/>
      <c r="ACA267" s="184"/>
      <c r="ACB267" s="184"/>
      <c r="ACC267" s="184"/>
      <c r="ACD267" s="184"/>
      <c r="ACE267" s="184"/>
      <c r="ACL267" s="186"/>
      <c r="ACM267" s="183"/>
      <c r="ACN267" s="184"/>
      <c r="ACO267" s="184"/>
      <c r="ACP267" s="184"/>
      <c r="ACQ267" s="184"/>
      <c r="ACR267" s="184"/>
      <c r="ACS267" s="184"/>
      <c r="ACT267" s="184"/>
      <c r="ADA267" s="186"/>
      <c r="ADB267" s="183"/>
      <c r="ADC267" s="184"/>
      <c r="ADD267" s="184"/>
      <c r="ADE267" s="184"/>
      <c r="ADF267" s="184"/>
      <c r="ADG267" s="184"/>
      <c r="ADH267" s="184"/>
      <c r="ADI267" s="184"/>
      <c r="ADP267" s="186"/>
      <c r="ADQ267" s="183"/>
      <c r="ADR267" s="184"/>
      <c r="ADS267" s="184"/>
      <c r="ADT267" s="184"/>
      <c r="ADU267" s="184"/>
      <c r="ADV267" s="184"/>
      <c r="ADW267" s="184"/>
      <c r="ADX267" s="184"/>
      <c r="AEE267" s="186"/>
      <c r="AEF267" s="183"/>
      <c r="AEG267" s="184"/>
      <c r="AEH267" s="184"/>
      <c r="AEI267" s="184"/>
      <c r="AEJ267" s="184"/>
      <c r="AEK267" s="184"/>
      <c r="AEL267" s="184"/>
      <c r="AEM267" s="184"/>
      <c r="AET267" s="186"/>
      <c r="AEU267" s="183"/>
      <c r="AEV267" s="184"/>
      <c r="AEW267" s="184"/>
      <c r="AEX267" s="184"/>
      <c r="AEY267" s="184"/>
      <c r="AEZ267" s="184"/>
      <c r="AFA267" s="184"/>
      <c r="AFB267" s="184"/>
      <c r="AFI267" s="186"/>
      <c r="AFJ267" s="183"/>
      <c r="AFK267" s="184"/>
      <c r="AFL267" s="184"/>
      <c r="AFM267" s="184"/>
      <c r="AFN267" s="184"/>
      <c r="AFO267" s="184"/>
      <c r="AFP267" s="184"/>
      <c r="AFQ267" s="184"/>
      <c r="AFX267" s="186"/>
      <c r="AFY267" s="183"/>
      <c r="AFZ267" s="184"/>
      <c r="AGA267" s="184"/>
      <c r="AGB267" s="184"/>
      <c r="AGC267" s="184"/>
      <c r="AGD267" s="184"/>
      <c r="AGE267" s="184"/>
      <c r="AGF267" s="184"/>
      <c r="AGM267" s="186"/>
      <c r="AGN267" s="183"/>
      <c r="AGO267" s="184"/>
      <c r="AGP267" s="184"/>
      <c r="AGQ267" s="184"/>
      <c r="AGR267" s="184"/>
      <c r="AGS267" s="184"/>
      <c r="AGT267" s="184"/>
      <c r="AGU267" s="184"/>
      <c r="AHB267" s="186"/>
      <c r="AHC267" s="183"/>
      <c r="AHD267" s="184"/>
      <c r="AHE267" s="184"/>
      <c r="AHF267" s="184"/>
      <c r="AHG267" s="184"/>
      <c r="AHH267" s="184"/>
      <c r="AHI267" s="184"/>
      <c r="AHJ267" s="184"/>
      <c r="AHQ267" s="186"/>
      <c r="AHR267" s="183"/>
      <c r="AHS267" s="184"/>
      <c r="AHT267" s="184"/>
      <c r="AHU267" s="184"/>
      <c r="AHV267" s="184"/>
      <c r="AHW267" s="184"/>
      <c r="AHX267" s="184"/>
      <c r="AHY267" s="184"/>
      <c r="AIF267" s="186"/>
      <c r="AIG267" s="183"/>
      <c r="AIH267" s="184"/>
      <c r="AII267" s="184"/>
      <c r="AIJ267" s="184"/>
      <c r="AIK267" s="184"/>
      <c r="AIL267" s="184"/>
      <c r="AIM267" s="184"/>
      <c r="AIN267" s="184"/>
      <c r="AIU267" s="186"/>
      <c r="AIV267" s="183"/>
      <c r="AIW267" s="184"/>
      <c r="AIX267" s="184"/>
      <c r="AIY267" s="184"/>
      <c r="AIZ267" s="184"/>
      <c r="AJA267" s="184"/>
      <c r="AJB267" s="184"/>
      <c r="AJC267" s="184"/>
      <c r="AJJ267" s="186"/>
      <c r="AJK267" s="183"/>
      <c r="AJL267" s="184"/>
      <c r="AJM267" s="184"/>
      <c r="AJN267" s="184"/>
      <c r="AJO267" s="184"/>
      <c r="AJP267" s="184"/>
      <c r="AJQ267" s="184"/>
      <c r="AJR267" s="184"/>
      <c r="AJY267" s="186"/>
      <c r="AJZ267" s="183"/>
      <c r="AKA267" s="184"/>
      <c r="AKB267" s="184"/>
      <c r="AKC267" s="184"/>
      <c r="AKD267" s="184"/>
      <c r="AKE267" s="184"/>
      <c r="AKF267" s="184"/>
      <c r="AKG267" s="184"/>
      <c r="AKN267" s="186"/>
      <c r="AKO267" s="183"/>
      <c r="AKP267" s="184"/>
      <c r="AKQ267" s="184"/>
      <c r="AKR267" s="184"/>
      <c r="AKS267" s="184"/>
      <c r="AKT267" s="184"/>
      <c r="AKU267" s="184"/>
      <c r="AKV267" s="184"/>
      <c r="ALC267" s="186"/>
      <c r="ALD267" s="183"/>
      <c r="ALE267" s="184"/>
      <c r="ALF267" s="184"/>
      <c r="ALG267" s="184"/>
      <c r="ALH267" s="184"/>
      <c r="ALI267" s="184"/>
      <c r="ALJ267" s="184"/>
      <c r="ALK267" s="184"/>
      <c r="ALR267" s="186"/>
      <c r="ALS267" s="183"/>
      <c r="ALT267" s="184"/>
      <c r="ALU267" s="184"/>
      <c r="ALV267" s="184"/>
      <c r="ALW267" s="184"/>
      <c r="ALX267" s="184"/>
      <c r="ALY267" s="184"/>
      <c r="ALZ267" s="184"/>
      <c r="AMG267" s="186"/>
      <c r="AMH267" s="183"/>
      <c r="AMI267" s="184"/>
      <c r="AMJ267" s="184"/>
      <c r="AMK267" s="184"/>
      <c r="AML267" s="184"/>
      <c r="AMM267" s="184"/>
      <c r="AMN267" s="184"/>
      <c r="AMO267" s="184"/>
      <c r="AMV267" s="186"/>
      <c r="AMW267" s="183"/>
      <c r="AMX267" s="184"/>
      <c r="AMY267" s="184"/>
      <c r="AMZ267" s="184"/>
      <c r="ANA267" s="184"/>
      <c r="ANB267" s="184"/>
      <c r="ANC267" s="184"/>
      <c r="AND267" s="184"/>
      <c r="ANK267" s="186"/>
      <c r="ANL267" s="183"/>
      <c r="ANM267" s="184"/>
      <c r="ANN267" s="184"/>
      <c r="ANO267" s="184"/>
      <c r="ANP267" s="184"/>
      <c r="ANQ267" s="184"/>
      <c r="ANR267" s="184"/>
      <c r="ANS267" s="184"/>
      <c r="ANZ267" s="186"/>
      <c r="AOA267" s="183"/>
      <c r="AOB267" s="184"/>
      <c r="AOC267" s="184"/>
      <c r="AOD267" s="184"/>
      <c r="AOE267" s="184"/>
      <c r="AOF267" s="184"/>
      <c r="AOG267" s="184"/>
      <c r="AOH267" s="184"/>
      <c r="AOO267" s="186"/>
      <c r="AOP267" s="183"/>
      <c r="AOQ267" s="184"/>
      <c r="AOR267" s="184"/>
      <c r="AOS267" s="184"/>
      <c r="AOT267" s="184"/>
      <c r="AOU267" s="184"/>
      <c r="AOV267" s="184"/>
      <c r="AOW267" s="184"/>
      <c r="APD267" s="186"/>
      <c r="APE267" s="183"/>
      <c r="APF267" s="184"/>
      <c r="APG267" s="184"/>
      <c r="APH267" s="184"/>
      <c r="API267" s="184"/>
      <c r="APJ267" s="184"/>
      <c r="APK267" s="184"/>
      <c r="APL267" s="184"/>
      <c r="APS267" s="186"/>
      <c r="APT267" s="183"/>
      <c r="APU267" s="184"/>
      <c r="APV267" s="184"/>
      <c r="APW267" s="184"/>
      <c r="APX267" s="184"/>
      <c r="APY267" s="184"/>
      <c r="APZ267" s="184"/>
      <c r="AQA267" s="184"/>
      <c r="AQH267" s="186"/>
      <c r="AQI267" s="183"/>
      <c r="AQJ267" s="184"/>
      <c r="AQK267" s="184"/>
      <c r="AQL267" s="184"/>
      <c r="AQM267" s="184"/>
      <c r="AQN267" s="184"/>
      <c r="AQO267" s="184"/>
      <c r="AQP267" s="184"/>
      <c r="AQW267" s="186"/>
      <c r="AQX267" s="183"/>
      <c r="AQY267" s="184"/>
      <c r="AQZ267" s="184"/>
      <c r="ARA267" s="184"/>
      <c r="ARB267" s="184"/>
      <c r="ARC267" s="184"/>
      <c r="ARD267" s="184"/>
      <c r="ARE267" s="184"/>
      <c r="ARL267" s="186"/>
      <c r="ARM267" s="183"/>
      <c r="ARN267" s="184"/>
      <c r="ARO267" s="184"/>
      <c r="ARP267" s="184"/>
      <c r="ARQ267" s="184"/>
      <c r="ARR267" s="184"/>
      <c r="ARS267" s="184"/>
      <c r="ART267" s="184"/>
      <c r="ASA267" s="186"/>
      <c r="ASB267" s="183"/>
      <c r="ASC267" s="184"/>
      <c r="ASD267" s="184"/>
      <c r="ASE267" s="184"/>
      <c r="ASF267" s="184"/>
      <c r="ASG267" s="184"/>
      <c r="ASH267" s="184"/>
      <c r="ASI267" s="184"/>
      <c r="ASP267" s="186"/>
      <c r="ASQ267" s="183"/>
      <c r="ASR267" s="184"/>
      <c r="ASS267" s="184"/>
      <c r="AST267" s="184"/>
      <c r="ASU267" s="184"/>
      <c r="ASV267" s="184"/>
      <c r="ASW267" s="184"/>
      <c r="ASX267" s="184"/>
      <c r="ATE267" s="186"/>
      <c r="ATF267" s="183"/>
      <c r="ATG267" s="184"/>
      <c r="ATH267" s="184"/>
      <c r="ATI267" s="184"/>
      <c r="ATJ267" s="184"/>
      <c r="ATK267" s="184"/>
      <c r="ATL267" s="184"/>
      <c r="ATM267" s="184"/>
      <c r="ATT267" s="186"/>
      <c r="ATU267" s="183"/>
      <c r="ATV267" s="184"/>
      <c r="ATW267" s="184"/>
      <c r="ATX267" s="184"/>
      <c r="ATY267" s="184"/>
      <c r="ATZ267" s="184"/>
      <c r="AUA267" s="184"/>
      <c r="AUB267" s="184"/>
      <c r="AUI267" s="186"/>
      <c r="AUJ267" s="183"/>
      <c r="AUK267" s="184"/>
      <c r="AUL267" s="184"/>
      <c r="AUM267" s="184"/>
      <c r="AUN267" s="184"/>
      <c r="AUO267" s="184"/>
      <c r="AUP267" s="184"/>
      <c r="AUQ267" s="184"/>
      <c r="AUX267" s="186"/>
      <c r="AUY267" s="183"/>
      <c r="AUZ267" s="184"/>
      <c r="AVA267" s="184"/>
      <c r="AVB267" s="184"/>
      <c r="AVC267" s="184"/>
      <c r="AVD267" s="184"/>
      <c r="AVE267" s="184"/>
      <c r="AVF267" s="184"/>
      <c r="AVM267" s="186"/>
      <c r="AVN267" s="183"/>
      <c r="AVO267" s="184"/>
      <c r="AVP267" s="184"/>
      <c r="AVQ267" s="184"/>
      <c r="AVR267" s="184"/>
      <c r="AVS267" s="184"/>
      <c r="AVT267" s="184"/>
      <c r="AVU267" s="184"/>
      <c r="AWB267" s="186"/>
      <c r="AWC267" s="183"/>
      <c r="AWD267" s="184"/>
      <c r="AWE267" s="184"/>
      <c r="AWF267" s="184"/>
      <c r="AWG267" s="184"/>
      <c r="AWH267" s="184"/>
      <c r="AWI267" s="184"/>
      <c r="AWJ267" s="184"/>
      <c r="AWQ267" s="186"/>
      <c r="AWR267" s="183"/>
      <c r="AWS267" s="184"/>
      <c r="AWT267" s="184"/>
      <c r="AWU267" s="184"/>
      <c r="AWV267" s="184"/>
      <c r="AWW267" s="184"/>
      <c r="AWX267" s="184"/>
      <c r="AWY267" s="184"/>
      <c r="AXF267" s="186"/>
      <c r="AXG267" s="183"/>
      <c r="AXH267" s="184"/>
      <c r="AXI267" s="184"/>
      <c r="AXJ267" s="184"/>
      <c r="AXK267" s="184"/>
      <c r="AXL267" s="184"/>
      <c r="AXM267" s="184"/>
      <c r="AXN267" s="184"/>
      <c r="AXU267" s="186"/>
      <c r="AXV267" s="183"/>
      <c r="AXW267" s="184"/>
      <c r="AXX267" s="184"/>
      <c r="AXY267" s="184"/>
      <c r="AXZ267" s="184"/>
      <c r="AYA267" s="184"/>
      <c r="AYB267" s="184"/>
      <c r="AYC267" s="184"/>
      <c r="AYJ267" s="186"/>
      <c r="AYK267" s="183"/>
      <c r="AYL267" s="184"/>
      <c r="AYM267" s="184"/>
      <c r="AYN267" s="184"/>
      <c r="AYO267" s="184"/>
      <c r="AYP267" s="184"/>
      <c r="AYQ267" s="184"/>
      <c r="AYR267" s="184"/>
      <c r="AYY267" s="186"/>
      <c r="AYZ267" s="183"/>
      <c r="AZA267" s="184"/>
      <c r="AZB267" s="184"/>
      <c r="AZC267" s="184"/>
      <c r="AZD267" s="184"/>
      <c r="AZE267" s="184"/>
      <c r="AZF267" s="184"/>
      <c r="AZG267" s="184"/>
      <c r="AZN267" s="186"/>
      <c r="AZO267" s="183"/>
      <c r="AZP267" s="184"/>
      <c r="AZQ267" s="184"/>
      <c r="AZR267" s="184"/>
      <c r="AZS267" s="184"/>
      <c r="AZT267" s="184"/>
      <c r="AZU267" s="184"/>
      <c r="AZV267" s="184"/>
      <c r="BAC267" s="186"/>
      <c r="BAD267" s="183"/>
      <c r="BAE267" s="184"/>
      <c r="BAF267" s="184"/>
      <c r="BAG267" s="184"/>
      <c r="BAH267" s="184"/>
      <c r="BAI267" s="184"/>
      <c r="BAJ267" s="184"/>
      <c r="BAK267" s="184"/>
      <c r="BAR267" s="186"/>
      <c r="BAS267" s="183"/>
      <c r="BAT267" s="184"/>
      <c r="BAU267" s="184"/>
      <c r="BAV267" s="184"/>
      <c r="BAW267" s="184"/>
      <c r="BAX267" s="184"/>
      <c r="BAY267" s="184"/>
      <c r="BAZ267" s="184"/>
      <c r="BBG267" s="186"/>
      <c r="BBH267" s="183"/>
      <c r="BBI267" s="184"/>
      <c r="BBJ267" s="184"/>
      <c r="BBK267" s="184"/>
      <c r="BBL267" s="184"/>
      <c r="BBM267" s="184"/>
      <c r="BBN267" s="184"/>
      <c r="BBO267" s="184"/>
      <c r="BBV267" s="186"/>
      <c r="BBW267" s="183"/>
      <c r="BBX267" s="184"/>
      <c r="BBY267" s="184"/>
      <c r="BBZ267" s="184"/>
      <c r="BCA267" s="184"/>
      <c r="BCB267" s="184"/>
      <c r="BCC267" s="184"/>
      <c r="BCD267" s="184"/>
      <c r="BCK267" s="186"/>
      <c r="BCL267" s="183"/>
      <c r="BCM267" s="184"/>
      <c r="BCN267" s="184"/>
      <c r="BCO267" s="184"/>
      <c r="BCP267" s="184"/>
      <c r="BCQ267" s="184"/>
      <c r="BCR267" s="184"/>
      <c r="BCS267" s="184"/>
      <c r="BCZ267" s="186"/>
      <c r="BDA267" s="183"/>
      <c r="BDB267" s="184"/>
      <c r="BDC267" s="184"/>
      <c r="BDD267" s="184"/>
      <c r="BDE267" s="184"/>
      <c r="BDF267" s="184"/>
      <c r="BDG267" s="184"/>
      <c r="BDH267" s="184"/>
      <c r="BDO267" s="186"/>
      <c r="BDP267" s="183"/>
      <c r="BDQ267" s="184"/>
      <c r="BDR267" s="184"/>
      <c r="BDS267" s="184"/>
      <c r="BDT267" s="184"/>
      <c r="BDU267" s="184"/>
      <c r="BDV267" s="184"/>
      <c r="BDW267" s="184"/>
      <c r="BED267" s="186"/>
      <c r="BEE267" s="183"/>
      <c r="BEF267" s="184"/>
      <c r="BEG267" s="184"/>
      <c r="BEH267" s="184"/>
      <c r="BEI267" s="184"/>
      <c r="BEJ267" s="184"/>
      <c r="BEK267" s="184"/>
      <c r="BEL267" s="184"/>
      <c r="BES267" s="186"/>
      <c r="BET267" s="183"/>
      <c r="BEU267" s="184"/>
      <c r="BEV267" s="184"/>
      <c r="BEW267" s="184"/>
      <c r="BEX267" s="184"/>
      <c r="BEY267" s="184"/>
      <c r="BEZ267" s="184"/>
      <c r="BFA267" s="184"/>
      <c r="BFH267" s="186"/>
      <c r="BFI267" s="183"/>
      <c r="BFJ267" s="184"/>
      <c r="BFK267" s="184"/>
      <c r="BFL267" s="184"/>
      <c r="BFM267" s="184"/>
      <c r="BFN267" s="184"/>
      <c r="BFO267" s="184"/>
      <c r="BFP267" s="184"/>
      <c r="BFW267" s="186"/>
      <c r="BFX267" s="183"/>
      <c r="BFY267" s="184"/>
      <c r="BFZ267" s="184"/>
      <c r="BGA267" s="184"/>
      <c r="BGB267" s="184"/>
      <c r="BGC267" s="184"/>
      <c r="BGD267" s="184"/>
      <c r="BGE267" s="184"/>
      <c r="BGL267" s="186"/>
      <c r="BGM267" s="183"/>
      <c r="BGN267" s="184"/>
      <c r="BGO267" s="184"/>
      <c r="BGP267" s="184"/>
      <c r="BGQ267" s="184"/>
      <c r="BGR267" s="184"/>
      <c r="BGS267" s="184"/>
      <c r="BGT267" s="184"/>
      <c r="BHA267" s="186"/>
      <c r="BHB267" s="183"/>
      <c r="BHC267" s="184"/>
      <c r="BHD267" s="184"/>
      <c r="BHE267" s="184"/>
      <c r="BHF267" s="184"/>
      <c r="BHG267" s="184"/>
      <c r="BHH267" s="184"/>
      <c r="BHI267" s="184"/>
      <c r="BHP267" s="186"/>
      <c r="BHQ267" s="183"/>
      <c r="BHR267" s="184"/>
      <c r="BHS267" s="184"/>
      <c r="BHT267" s="184"/>
      <c r="BHU267" s="184"/>
      <c r="BHV267" s="184"/>
      <c r="BHW267" s="184"/>
      <c r="BHX267" s="184"/>
      <c r="BIE267" s="186"/>
      <c r="BIF267" s="183"/>
      <c r="BIG267" s="184"/>
      <c r="BIH267" s="184"/>
      <c r="BII267" s="184"/>
      <c r="BIJ267" s="184"/>
      <c r="BIK267" s="184"/>
      <c r="BIL267" s="184"/>
      <c r="BIM267" s="184"/>
      <c r="BIT267" s="186"/>
      <c r="BIU267" s="183"/>
      <c r="BIV267" s="184"/>
      <c r="BIW267" s="184"/>
      <c r="BIX267" s="184"/>
      <c r="BIY267" s="184"/>
      <c r="BIZ267" s="184"/>
      <c r="BJA267" s="184"/>
      <c r="BJB267" s="184"/>
      <c r="BJI267" s="186"/>
      <c r="BJJ267" s="183"/>
      <c r="BJK267" s="184"/>
      <c r="BJL267" s="184"/>
      <c r="BJM267" s="184"/>
      <c r="BJN267" s="184"/>
      <c r="BJO267" s="184"/>
      <c r="BJP267" s="184"/>
      <c r="BJQ267" s="184"/>
      <c r="BJX267" s="186"/>
      <c r="BJY267" s="183"/>
      <c r="BJZ267" s="184"/>
      <c r="BKA267" s="184"/>
      <c r="BKB267" s="184"/>
      <c r="BKC267" s="184"/>
      <c r="BKD267" s="184"/>
      <c r="BKE267" s="184"/>
      <c r="BKF267" s="184"/>
      <c r="BKM267" s="186"/>
      <c r="BKN267" s="183"/>
      <c r="BKO267" s="184"/>
      <c r="BKP267" s="184"/>
      <c r="BKQ267" s="184"/>
      <c r="BKR267" s="184"/>
      <c r="BKS267" s="184"/>
      <c r="BKT267" s="184"/>
      <c r="BKU267" s="184"/>
      <c r="BLB267" s="186"/>
      <c r="BLC267" s="183"/>
      <c r="BLD267" s="184"/>
      <c r="BLE267" s="184"/>
      <c r="BLF267" s="184"/>
      <c r="BLG267" s="184"/>
      <c r="BLH267" s="184"/>
      <c r="BLI267" s="184"/>
      <c r="BLJ267" s="184"/>
      <c r="BLQ267" s="186"/>
      <c r="BLR267" s="183"/>
      <c r="BLS267" s="184"/>
      <c r="BLT267" s="184"/>
      <c r="BLU267" s="184"/>
      <c r="BLV267" s="184"/>
      <c r="BLW267" s="184"/>
      <c r="BLX267" s="184"/>
      <c r="BLY267" s="184"/>
      <c r="BMF267" s="186"/>
      <c r="BMG267" s="183"/>
      <c r="BMH267" s="184"/>
      <c r="BMI267" s="184"/>
      <c r="BMJ267" s="184"/>
      <c r="BMK267" s="184"/>
      <c r="BML267" s="184"/>
      <c r="BMM267" s="184"/>
      <c r="BMN267" s="184"/>
      <c r="BMU267" s="186"/>
      <c r="BMV267" s="183"/>
      <c r="BMW267" s="184"/>
      <c r="BMX267" s="184"/>
      <c r="BMY267" s="184"/>
      <c r="BMZ267" s="184"/>
      <c r="BNA267" s="184"/>
      <c r="BNB267" s="184"/>
      <c r="BNC267" s="184"/>
      <c r="BNJ267" s="186"/>
      <c r="BNK267" s="183"/>
      <c r="BNL267" s="184"/>
      <c r="BNM267" s="184"/>
      <c r="BNN267" s="184"/>
      <c r="BNO267" s="184"/>
      <c r="BNP267" s="184"/>
      <c r="BNQ267" s="184"/>
      <c r="BNR267" s="184"/>
      <c r="BNY267" s="186"/>
      <c r="BNZ267" s="183"/>
      <c r="BOA267" s="184"/>
      <c r="BOB267" s="184"/>
      <c r="BOC267" s="184"/>
      <c r="BOD267" s="184"/>
      <c r="BOE267" s="184"/>
      <c r="BOF267" s="184"/>
      <c r="BOG267" s="184"/>
      <c r="BON267" s="186"/>
      <c r="BOO267" s="183"/>
      <c r="BOP267" s="184"/>
      <c r="BOQ267" s="184"/>
      <c r="BOR267" s="184"/>
      <c r="BOS267" s="184"/>
      <c r="BOT267" s="184"/>
      <c r="BOU267" s="184"/>
      <c r="BOV267" s="184"/>
      <c r="BPC267" s="186"/>
      <c r="BPD267" s="183"/>
      <c r="BPE267" s="184"/>
      <c r="BPF267" s="184"/>
      <c r="BPG267" s="184"/>
      <c r="BPH267" s="184"/>
      <c r="BPI267" s="184"/>
      <c r="BPJ267" s="184"/>
      <c r="BPK267" s="184"/>
      <c r="BPR267" s="186"/>
      <c r="BPS267" s="183"/>
      <c r="BPT267" s="184"/>
      <c r="BPU267" s="184"/>
      <c r="BPV267" s="184"/>
      <c r="BPW267" s="184"/>
      <c r="BPX267" s="184"/>
      <c r="BPY267" s="184"/>
      <c r="BPZ267" s="184"/>
      <c r="BQG267" s="186"/>
      <c r="BQH267" s="183"/>
      <c r="BQI267" s="184"/>
      <c r="BQJ267" s="184"/>
      <c r="BQK267" s="184"/>
      <c r="BQL267" s="184"/>
      <c r="BQM267" s="184"/>
      <c r="BQN267" s="184"/>
      <c r="BQO267" s="184"/>
      <c r="BQV267" s="186"/>
      <c r="BQW267" s="183"/>
      <c r="BQX267" s="184"/>
      <c r="BQY267" s="184"/>
      <c r="BQZ267" s="184"/>
      <c r="BRA267" s="184"/>
      <c r="BRB267" s="184"/>
      <c r="BRC267" s="184"/>
      <c r="BRD267" s="184"/>
      <c r="BRK267" s="186"/>
      <c r="BRL267" s="183"/>
      <c r="BRM267" s="184"/>
      <c r="BRN267" s="184"/>
      <c r="BRO267" s="184"/>
      <c r="BRP267" s="184"/>
      <c r="BRQ267" s="184"/>
      <c r="BRR267" s="184"/>
      <c r="BRS267" s="184"/>
      <c r="BRZ267" s="186"/>
      <c r="BSA267" s="183"/>
      <c r="BSB267" s="184"/>
      <c r="BSC267" s="184"/>
      <c r="BSD267" s="184"/>
      <c r="BSE267" s="184"/>
      <c r="BSF267" s="184"/>
      <c r="BSG267" s="184"/>
      <c r="BSH267" s="184"/>
      <c r="BSO267" s="186"/>
      <c r="BSP267" s="183"/>
      <c r="BSQ267" s="184"/>
      <c r="BSR267" s="184"/>
      <c r="BSS267" s="184"/>
      <c r="BST267" s="184"/>
      <c r="BSU267" s="184"/>
      <c r="BSV267" s="184"/>
      <c r="BSW267" s="184"/>
      <c r="BTD267" s="186"/>
      <c r="BTE267" s="183"/>
      <c r="BTF267" s="184"/>
      <c r="BTG267" s="184"/>
      <c r="BTH267" s="184"/>
      <c r="BTI267" s="184"/>
      <c r="BTJ267" s="184"/>
      <c r="BTK267" s="184"/>
      <c r="BTL267" s="184"/>
      <c r="BTS267" s="186"/>
      <c r="BTT267" s="183"/>
      <c r="BTU267" s="184"/>
      <c r="BTV267" s="184"/>
      <c r="BTW267" s="184"/>
      <c r="BTX267" s="184"/>
      <c r="BTY267" s="184"/>
      <c r="BTZ267" s="184"/>
      <c r="BUA267" s="184"/>
      <c r="BUH267" s="186"/>
      <c r="BUI267" s="183"/>
      <c r="BUJ267" s="184"/>
      <c r="BUK267" s="184"/>
      <c r="BUL267" s="184"/>
      <c r="BUM267" s="184"/>
      <c r="BUN267" s="184"/>
      <c r="BUO267" s="184"/>
      <c r="BUP267" s="184"/>
      <c r="BUW267" s="186"/>
      <c r="BUX267" s="183"/>
      <c r="BUY267" s="184"/>
      <c r="BUZ267" s="184"/>
      <c r="BVA267" s="184"/>
      <c r="BVB267" s="184"/>
      <c r="BVC267" s="184"/>
      <c r="BVD267" s="184"/>
      <c r="BVE267" s="184"/>
      <c r="BVL267" s="186"/>
      <c r="BVM267" s="183"/>
      <c r="BVN267" s="184"/>
      <c r="BVO267" s="184"/>
      <c r="BVP267" s="184"/>
      <c r="BVQ267" s="184"/>
      <c r="BVR267" s="184"/>
      <c r="BVS267" s="184"/>
      <c r="BVT267" s="184"/>
      <c r="BWA267" s="186"/>
      <c r="BWB267" s="183"/>
      <c r="BWC267" s="184"/>
      <c r="BWD267" s="184"/>
      <c r="BWE267" s="184"/>
      <c r="BWF267" s="184"/>
      <c r="BWG267" s="184"/>
      <c r="BWH267" s="184"/>
      <c r="BWI267" s="184"/>
      <c r="BWP267" s="186"/>
      <c r="BWQ267" s="183"/>
      <c r="BWR267" s="184"/>
      <c r="BWS267" s="184"/>
      <c r="BWT267" s="184"/>
      <c r="BWU267" s="184"/>
      <c r="BWV267" s="184"/>
      <c r="BWW267" s="184"/>
      <c r="BWX267" s="184"/>
      <c r="BXE267" s="186"/>
      <c r="BXF267" s="183"/>
      <c r="BXG267" s="184"/>
      <c r="BXH267" s="184"/>
      <c r="BXI267" s="184"/>
      <c r="BXJ267" s="184"/>
      <c r="BXK267" s="184"/>
      <c r="BXL267" s="184"/>
      <c r="BXM267" s="184"/>
      <c r="BXT267" s="186"/>
      <c r="BXU267" s="183"/>
      <c r="BXV267" s="184"/>
      <c r="BXW267" s="184"/>
      <c r="BXX267" s="184"/>
      <c r="BXY267" s="184"/>
      <c r="BXZ267" s="184"/>
      <c r="BYA267" s="184"/>
      <c r="BYB267" s="184"/>
      <c r="BYI267" s="186"/>
      <c r="BYJ267" s="183"/>
      <c r="BYK267" s="184"/>
      <c r="BYL267" s="184"/>
      <c r="BYM267" s="184"/>
      <c r="BYN267" s="184"/>
      <c r="BYO267" s="184"/>
      <c r="BYP267" s="184"/>
      <c r="BYQ267" s="184"/>
      <c r="BYX267" s="186"/>
      <c r="BYY267" s="183"/>
      <c r="BYZ267" s="184"/>
      <c r="BZA267" s="184"/>
      <c r="BZB267" s="184"/>
      <c r="BZC267" s="184"/>
      <c r="BZD267" s="184"/>
      <c r="BZE267" s="184"/>
      <c r="BZF267" s="184"/>
      <c r="BZM267" s="186"/>
      <c r="BZN267" s="183"/>
      <c r="BZO267" s="184"/>
      <c r="BZP267" s="184"/>
      <c r="BZQ267" s="184"/>
      <c r="BZR267" s="184"/>
      <c r="BZS267" s="184"/>
      <c r="BZT267" s="184"/>
      <c r="BZU267" s="184"/>
      <c r="CAB267" s="186"/>
      <c r="CAC267" s="183"/>
      <c r="CAD267" s="184"/>
      <c r="CAE267" s="184"/>
      <c r="CAF267" s="184"/>
      <c r="CAG267" s="184"/>
      <c r="CAH267" s="184"/>
      <c r="CAI267" s="184"/>
      <c r="CAJ267" s="184"/>
      <c r="CAQ267" s="186"/>
      <c r="CAR267" s="183"/>
      <c r="CAS267" s="184"/>
      <c r="CAT267" s="184"/>
      <c r="CAU267" s="184"/>
      <c r="CAV267" s="184"/>
      <c r="CAW267" s="184"/>
      <c r="CAX267" s="184"/>
      <c r="CAY267" s="184"/>
      <c r="CBF267" s="186"/>
      <c r="CBG267" s="183"/>
      <c r="CBH267" s="184"/>
      <c r="CBI267" s="184"/>
      <c r="CBJ267" s="184"/>
      <c r="CBK267" s="184"/>
      <c r="CBL267" s="184"/>
      <c r="CBM267" s="184"/>
      <c r="CBN267" s="184"/>
      <c r="CBU267" s="186"/>
      <c r="CBV267" s="183"/>
      <c r="CBW267" s="184"/>
      <c r="CBX267" s="184"/>
      <c r="CBY267" s="184"/>
      <c r="CBZ267" s="184"/>
      <c r="CCA267" s="184"/>
      <c r="CCB267" s="184"/>
      <c r="CCC267" s="184"/>
      <c r="CCJ267" s="186"/>
      <c r="CCK267" s="183"/>
      <c r="CCL267" s="184"/>
      <c r="CCM267" s="184"/>
      <c r="CCN267" s="184"/>
      <c r="CCO267" s="184"/>
      <c r="CCP267" s="184"/>
      <c r="CCQ267" s="184"/>
      <c r="CCR267" s="184"/>
      <c r="CCY267" s="186"/>
      <c r="CCZ267" s="183"/>
      <c r="CDA267" s="184"/>
      <c r="CDB267" s="184"/>
      <c r="CDC267" s="184"/>
      <c r="CDD267" s="184"/>
      <c r="CDE267" s="184"/>
      <c r="CDF267" s="184"/>
      <c r="CDG267" s="184"/>
      <c r="CDN267" s="186"/>
      <c r="CDO267" s="183"/>
      <c r="CDP267" s="184"/>
      <c r="CDQ267" s="184"/>
      <c r="CDR267" s="184"/>
      <c r="CDS267" s="184"/>
      <c r="CDT267" s="184"/>
      <c r="CDU267" s="184"/>
      <c r="CDV267" s="184"/>
      <c r="CEC267" s="186"/>
      <c r="CED267" s="183"/>
      <c r="CEE267" s="184"/>
      <c r="CEF267" s="184"/>
      <c r="CEG267" s="184"/>
      <c r="CEH267" s="184"/>
      <c r="CEI267" s="184"/>
      <c r="CEJ267" s="184"/>
      <c r="CEK267" s="184"/>
      <c r="CER267" s="186"/>
      <c r="CES267" s="183"/>
      <c r="CET267" s="184"/>
      <c r="CEU267" s="184"/>
      <c r="CEV267" s="184"/>
      <c r="CEW267" s="184"/>
      <c r="CEX267" s="184"/>
      <c r="CEY267" s="184"/>
      <c r="CEZ267" s="184"/>
      <c r="CFG267" s="186"/>
      <c r="CFH267" s="183"/>
      <c r="CFI267" s="184"/>
      <c r="CFJ267" s="184"/>
      <c r="CFK267" s="184"/>
      <c r="CFL267" s="184"/>
      <c r="CFM267" s="184"/>
      <c r="CFN267" s="184"/>
      <c r="CFO267" s="184"/>
      <c r="CFV267" s="186"/>
      <c r="CFW267" s="183"/>
      <c r="CFX267" s="184"/>
      <c r="CFY267" s="184"/>
      <c r="CFZ267" s="184"/>
      <c r="CGA267" s="184"/>
      <c r="CGB267" s="184"/>
      <c r="CGC267" s="184"/>
      <c r="CGD267" s="184"/>
      <c r="CGK267" s="186"/>
      <c r="CGL267" s="183"/>
      <c r="CGM267" s="184"/>
      <c r="CGN267" s="184"/>
      <c r="CGO267" s="184"/>
      <c r="CGP267" s="184"/>
      <c r="CGQ267" s="184"/>
      <c r="CGR267" s="184"/>
      <c r="CGS267" s="184"/>
      <c r="CGZ267" s="186"/>
      <c r="CHA267" s="183"/>
      <c r="CHB267" s="184"/>
      <c r="CHC267" s="184"/>
      <c r="CHD267" s="184"/>
      <c r="CHE267" s="184"/>
      <c r="CHF267" s="184"/>
      <c r="CHG267" s="184"/>
      <c r="CHH267" s="184"/>
      <c r="CHO267" s="186"/>
      <c r="CHP267" s="183"/>
      <c r="CHQ267" s="184"/>
      <c r="CHR267" s="184"/>
      <c r="CHS267" s="184"/>
      <c r="CHT267" s="184"/>
      <c r="CHU267" s="184"/>
      <c r="CHV267" s="184"/>
      <c r="CHW267" s="184"/>
      <c r="CID267" s="186"/>
      <c r="CIE267" s="183"/>
      <c r="CIF267" s="184"/>
      <c r="CIG267" s="184"/>
      <c r="CIH267" s="184"/>
      <c r="CII267" s="184"/>
      <c r="CIJ267" s="184"/>
      <c r="CIK267" s="184"/>
      <c r="CIL267" s="184"/>
      <c r="CIS267" s="186"/>
      <c r="CIT267" s="183"/>
      <c r="CIU267" s="184"/>
      <c r="CIV267" s="184"/>
      <c r="CIW267" s="184"/>
      <c r="CIX267" s="184"/>
      <c r="CIY267" s="184"/>
      <c r="CIZ267" s="184"/>
      <c r="CJA267" s="184"/>
      <c r="CJH267" s="186"/>
      <c r="CJI267" s="183"/>
      <c r="CJJ267" s="184"/>
      <c r="CJK267" s="184"/>
      <c r="CJL267" s="184"/>
      <c r="CJM267" s="184"/>
      <c r="CJN267" s="184"/>
      <c r="CJO267" s="184"/>
      <c r="CJP267" s="184"/>
      <c r="CJW267" s="186"/>
      <c r="CJX267" s="183"/>
      <c r="CJY267" s="184"/>
      <c r="CJZ267" s="184"/>
      <c r="CKA267" s="184"/>
      <c r="CKB267" s="184"/>
      <c r="CKC267" s="184"/>
      <c r="CKD267" s="184"/>
      <c r="CKE267" s="184"/>
      <c r="CKL267" s="186"/>
      <c r="CKM267" s="183"/>
      <c r="CKN267" s="184"/>
      <c r="CKO267" s="184"/>
      <c r="CKP267" s="184"/>
      <c r="CKQ267" s="184"/>
      <c r="CKR267" s="184"/>
      <c r="CKS267" s="184"/>
      <c r="CKT267" s="184"/>
      <c r="CLA267" s="186"/>
      <c r="CLB267" s="183"/>
      <c r="CLC267" s="184"/>
      <c r="CLD267" s="184"/>
      <c r="CLE267" s="184"/>
      <c r="CLF267" s="184"/>
      <c r="CLG267" s="184"/>
      <c r="CLH267" s="184"/>
      <c r="CLI267" s="184"/>
      <c r="CLP267" s="186"/>
      <c r="CLQ267" s="183"/>
      <c r="CLR267" s="184"/>
      <c r="CLS267" s="184"/>
      <c r="CLT267" s="184"/>
      <c r="CLU267" s="184"/>
      <c r="CLV267" s="184"/>
      <c r="CLW267" s="184"/>
      <c r="CLX267" s="184"/>
      <c r="CME267" s="186"/>
      <c r="CMF267" s="183"/>
      <c r="CMG267" s="184"/>
      <c r="CMH267" s="184"/>
      <c r="CMI267" s="184"/>
      <c r="CMJ267" s="184"/>
      <c r="CMK267" s="184"/>
      <c r="CML267" s="184"/>
      <c r="CMM267" s="184"/>
      <c r="CMT267" s="186"/>
      <c r="CMU267" s="183"/>
      <c r="CMV267" s="184"/>
      <c r="CMW267" s="184"/>
      <c r="CMX267" s="184"/>
      <c r="CMY267" s="184"/>
      <c r="CMZ267" s="184"/>
      <c r="CNA267" s="184"/>
      <c r="CNB267" s="184"/>
      <c r="CNI267" s="186"/>
      <c r="CNJ267" s="183"/>
      <c r="CNK267" s="184"/>
      <c r="CNL267" s="184"/>
      <c r="CNM267" s="184"/>
      <c r="CNN267" s="184"/>
      <c r="CNO267" s="184"/>
      <c r="CNP267" s="184"/>
      <c r="CNQ267" s="184"/>
      <c r="CNX267" s="186"/>
      <c r="CNY267" s="183"/>
      <c r="CNZ267" s="184"/>
      <c r="COA267" s="184"/>
      <c r="COB267" s="184"/>
      <c r="COC267" s="184"/>
      <c r="COD267" s="184"/>
      <c r="COE267" s="184"/>
      <c r="COF267" s="184"/>
      <c r="COM267" s="186"/>
      <c r="CON267" s="183"/>
      <c r="COO267" s="184"/>
      <c r="COP267" s="184"/>
      <c r="COQ267" s="184"/>
      <c r="COR267" s="184"/>
      <c r="COS267" s="184"/>
      <c r="COT267" s="184"/>
      <c r="COU267" s="184"/>
      <c r="CPB267" s="186"/>
      <c r="CPC267" s="183"/>
      <c r="CPD267" s="184"/>
      <c r="CPE267" s="184"/>
      <c r="CPF267" s="184"/>
      <c r="CPG267" s="184"/>
      <c r="CPH267" s="184"/>
      <c r="CPI267" s="184"/>
      <c r="CPJ267" s="184"/>
      <c r="CPQ267" s="186"/>
      <c r="CPR267" s="183"/>
      <c r="CPS267" s="184"/>
      <c r="CPT267" s="184"/>
      <c r="CPU267" s="184"/>
      <c r="CPV267" s="184"/>
      <c r="CPW267" s="184"/>
      <c r="CPX267" s="184"/>
      <c r="CPY267" s="184"/>
      <c r="CQF267" s="186"/>
      <c r="CQG267" s="183"/>
      <c r="CQH267" s="184"/>
      <c r="CQI267" s="184"/>
      <c r="CQJ267" s="184"/>
      <c r="CQK267" s="184"/>
      <c r="CQL267" s="184"/>
      <c r="CQM267" s="184"/>
      <c r="CQN267" s="184"/>
      <c r="CQU267" s="186"/>
      <c r="CQV267" s="183"/>
      <c r="CQW267" s="184"/>
      <c r="CQX267" s="184"/>
      <c r="CQY267" s="184"/>
      <c r="CQZ267" s="184"/>
      <c r="CRA267" s="184"/>
      <c r="CRB267" s="184"/>
      <c r="CRC267" s="184"/>
      <c r="CRJ267" s="186"/>
      <c r="CRK267" s="183"/>
      <c r="CRL267" s="184"/>
      <c r="CRM267" s="184"/>
      <c r="CRN267" s="184"/>
      <c r="CRO267" s="184"/>
      <c r="CRP267" s="184"/>
      <c r="CRQ267" s="184"/>
      <c r="CRR267" s="184"/>
      <c r="CRY267" s="186"/>
      <c r="CRZ267" s="183"/>
      <c r="CSA267" s="184"/>
      <c r="CSB267" s="184"/>
      <c r="CSC267" s="184"/>
      <c r="CSD267" s="184"/>
      <c r="CSE267" s="184"/>
      <c r="CSF267" s="184"/>
      <c r="CSG267" s="184"/>
      <c r="CSN267" s="186"/>
      <c r="CSO267" s="183"/>
      <c r="CSP267" s="184"/>
      <c r="CSQ267" s="184"/>
      <c r="CSR267" s="184"/>
      <c r="CSS267" s="184"/>
      <c r="CST267" s="184"/>
      <c r="CSU267" s="184"/>
      <c r="CSV267" s="184"/>
      <c r="CTC267" s="186"/>
      <c r="CTD267" s="183"/>
      <c r="CTE267" s="184"/>
      <c r="CTF267" s="184"/>
      <c r="CTG267" s="184"/>
      <c r="CTH267" s="184"/>
      <c r="CTI267" s="184"/>
      <c r="CTJ267" s="184"/>
      <c r="CTK267" s="184"/>
      <c r="CTR267" s="186"/>
      <c r="CTS267" s="183"/>
      <c r="CTT267" s="184"/>
      <c r="CTU267" s="184"/>
      <c r="CTV267" s="184"/>
      <c r="CTW267" s="184"/>
      <c r="CTX267" s="184"/>
      <c r="CTY267" s="184"/>
      <c r="CTZ267" s="184"/>
      <c r="CUG267" s="186"/>
      <c r="CUH267" s="183"/>
      <c r="CUI267" s="184"/>
      <c r="CUJ267" s="184"/>
      <c r="CUK267" s="184"/>
      <c r="CUL267" s="184"/>
      <c r="CUM267" s="184"/>
      <c r="CUN267" s="184"/>
      <c r="CUO267" s="184"/>
      <c r="CUV267" s="186"/>
      <c r="CUW267" s="183"/>
      <c r="CUX267" s="184"/>
      <c r="CUY267" s="184"/>
      <c r="CUZ267" s="184"/>
      <c r="CVA267" s="184"/>
      <c r="CVB267" s="184"/>
      <c r="CVC267" s="184"/>
      <c r="CVD267" s="184"/>
      <c r="CVK267" s="186"/>
      <c r="CVL267" s="183"/>
      <c r="CVM267" s="184"/>
      <c r="CVN267" s="184"/>
      <c r="CVO267" s="184"/>
      <c r="CVP267" s="184"/>
      <c r="CVQ267" s="184"/>
      <c r="CVR267" s="184"/>
      <c r="CVS267" s="184"/>
      <c r="CVZ267" s="186"/>
      <c r="CWA267" s="183"/>
      <c r="CWB267" s="184"/>
      <c r="CWC267" s="184"/>
      <c r="CWD267" s="184"/>
      <c r="CWE267" s="184"/>
      <c r="CWF267" s="184"/>
      <c r="CWG267" s="184"/>
      <c r="CWH267" s="184"/>
      <c r="CWO267" s="186"/>
      <c r="CWP267" s="183"/>
      <c r="CWQ267" s="184"/>
      <c r="CWR267" s="184"/>
      <c r="CWS267" s="184"/>
      <c r="CWT267" s="184"/>
      <c r="CWU267" s="184"/>
      <c r="CWV267" s="184"/>
      <c r="CWW267" s="184"/>
      <c r="CXD267" s="186"/>
      <c r="CXE267" s="183"/>
      <c r="CXF267" s="184"/>
      <c r="CXG267" s="184"/>
      <c r="CXH267" s="184"/>
      <c r="CXI267" s="184"/>
      <c r="CXJ267" s="184"/>
      <c r="CXK267" s="184"/>
      <c r="CXL267" s="184"/>
      <c r="CXS267" s="186"/>
      <c r="CXT267" s="183"/>
      <c r="CXU267" s="184"/>
      <c r="CXV267" s="184"/>
      <c r="CXW267" s="184"/>
      <c r="CXX267" s="184"/>
      <c r="CXY267" s="184"/>
      <c r="CXZ267" s="184"/>
      <c r="CYA267" s="184"/>
      <c r="CYH267" s="186"/>
      <c r="CYI267" s="183"/>
      <c r="CYJ267" s="184"/>
      <c r="CYK267" s="184"/>
      <c r="CYL267" s="184"/>
      <c r="CYM267" s="184"/>
      <c r="CYN267" s="184"/>
      <c r="CYO267" s="184"/>
      <c r="CYP267" s="184"/>
      <c r="CYW267" s="186"/>
      <c r="CYX267" s="183"/>
      <c r="CYY267" s="184"/>
      <c r="CYZ267" s="184"/>
      <c r="CZA267" s="184"/>
      <c r="CZB267" s="184"/>
      <c r="CZC267" s="184"/>
      <c r="CZD267" s="184"/>
      <c r="CZE267" s="184"/>
      <c r="CZL267" s="186"/>
      <c r="CZM267" s="183"/>
      <c r="CZN267" s="184"/>
      <c r="CZO267" s="184"/>
      <c r="CZP267" s="184"/>
      <c r="CZQ267" s="184"/>
      <c r="CZR267" s="184"/>
      <c r="CZS267" s="184"/>
      <c r="CZT267" s="184"/>
      <c r="DAA267" s="186"/>
      <c r="DAB267" s="183"/>
      <c r="DAC267" s="184"/>
      <c r="DAD267" s="184"/>
      <c r="DAE267" s="184"/>
      <c r="DAF267" s="184"/>
      <c r="DAG267" s="184"/>
      <c r="DAH267" s="184"/>
      <c r="DAI267" s="184"/>
      <c r="DAP267" s="186"/>
      <c r="DAQ267" s="183"/>
      <c r="DAR267" s="184"/>
      <c r="DAS267" s="184"/>
      <c r="DAT267" s="184"/>
      <c r="DAU267" s="184"/>
      <c r="DAV267" s="184"/>
      <c r="DAW267" s="184"/>
      <c r="DAX267" s="184"/>
      <c r="DBE267" s="186"/>
      <c r="DBF267" s="183"/>
      <c r="DBG267" s="184"/>
      <c r="DBH267" s="184"/>
      <c r="DBI267" s="184"/>
      <c r="DBJ267" s="184"/>
      <c r="DBK267" s="184"/>
      <c r="DBL267" s="184"/>
      <c r="DBM267" s="184"/>
      <c r="DBT267" s="186"/>
      <c r="DBU267" s="183"/>
      <c r="DBV267" s="184"/>
      <c r="DBW267" s="184"/>
      <c r="DBX267" s="184"/>
      <c r="DBY267" s="184"/>
      <c r="DBZ267" s="184"/>
      <c r="DCA267" s="184"/>
      <c r="DCB267" s="184"/>
      <c r="DCI267" s="186"/>
      <c r="DCJ267" s="183"/>
      <c r="DCK267" s="184"/>
      <c r="DCL267" s="184"/>
      <c r="DCM267" s="184"/>
      <c r="DCN267" s="184"/>
      <c r="DCO267" s="184"/>
      <c r="DCP267" s="184"/>
      <c r="DCQ267" s="184"/>
      <c r="DCX267" s="186"/>
      <c r="DCY267" s="183"/>
      <c r="DCZ267" s="184"/>
      <c r="DDA267" s="184"/>
      <c r="DDB267" s="184"/>
      <c r="DDC267" s="184"/>
      <c r="DDD267" s="184"/>
      <c r="DDE267" s="184"/>
      <c r="DDF267" s="184"/>
      <c r="DDM267" s="186"/>
      <c r="DDN267" s="183"/>
      <c r="DDO267" s="184"/>
      <c r="DDP267" s="184"/>
      <c r="DDQ267" s="184"/>
      <c r="DDR267" s="184"/>
      <c r="DDS267" s="184"/>
      <c r="DDT267" s="184"/>
      <c r="DDU267" s="184"/>
      <c r="DEB267" s="186"/>
      <c r="DEC267" s="183"/>
      <c r="DED267" s="184"/>
      <c r="DEE267" s="184"/>
      <c r="DEF267" s="184"/>
      <c r="DEG267" s="184"/>
      <c r="DEH267" s="184"/>
      <c r="DEI267" s="184"/>
      <c r="DEJ267" s="184"/>
      <c r="DEQ267" s="186"/>
      <c r="DER267" s="183"/>
      <c r="DES267" s="184"/>
      <c r="DET267" s="184"/>
      <c r="DEU267" s="184"/>
      <c r="DEV267" s="184"/>
      <c r="DEW267" s="184"/>
      <c r="DEX267" s="184"/>
      <c r="DEY267" s="184"/>
      <c r="DFF267" s="186"/>
      <c r="DFG267" s="183"/>
      <c r="DFH267" s="184"/>
      <c r="DFI267" s="184"/>
      <c r="DFJ267" s="184"/>
      <c r="DFK267" s="184"/>
      <c r="DFL267" s="184"/>
      <c r="DFM267" s="184"/>
      <c r="DFN267" s="184"/>
      <c r="DFU267" s="186"/>
      <c r="DFV267" s="183"/>
      <c r="DFW267" s="184"/>
      <c r="DFX267" s="184"/>
      <c r="DFY267" s="184"/>
      <c r="DFZ267" s="184"/>
      <c r="DGA267" s="184"/>
      <c r="DGB267" s="184"/>
      <c r="DGC267" s="184"/>
      <c r="DGJ267" s="186"/>
      <c r="DGK267" s="183"/>
      <c r="DGL267" s="184"/>
      <c r="DGM267" s="184"/>
      <c r="DGN267" s="184"/>
      <c r="DGO267" s="184"/>
      <c r="DGP267" s="184"/>
      <c r="DGQ267" s="184"/>
      <c r="DGR267" s="184"/>
      <c r="DGY267" s="186"/>
      <c r="DGZ267" s="183"/>
      <c r="DHA267" s="184"/>
      <c r="DHB267" s="184"/>
      <c r="DHC267" s="184"/>
      <c r="DHD267" s="184"/>
      <c r="DHE267" s="184"/>
      <c r="DHF267" s="184"/>
      <c r="DHG267" s="184"/>
      <c r="DHN267" s="186"/>
      <c r="DHO267" s="183"/>
      <c r="DHP267" s="184"/>
      <c r="DHQ267" s="184"/>
      <c r="DHR267" s="184"/>
      <c r="DHS267" s="184"/>
      <c r="DHT267" s="184"/>
      <c r="DHU267" s="184"/>
      <c r="DHV267" s="184"/>
      <c r="DIC267" s="186"/>
      <c r="DID267" s="183"/>
      <c r="DIE267" s="184"/>
      <c r="DIF267" s="184"/>
      <c r="DIG267" s="184"/>
      <c r="DIH267" s="184"/>
      <c r="DII267" s="184"/>
      <c r="DIJ267" s="184"/>
      <c r="DIK267" s="184"/>
      <c r="DIR267" s="186"/>
      <c r="DIS267" s="183"/>
      <c r="DIT267" s="184"/>
      <c r="DIU267" s="184"/>
      <c r="DIV267" s="184"/>
      <c r="DIW267" s="184"/>
      <c r="DIX267" s="184"/>
      <c r="DIY267" s="184"/>
      <c r="DIZ267" s="184"/>
      <c r="DJG267" s="186"/>
      <c r="DJH267" s="183"/>
      <c r="DJI267" s="184"/>
      <c r="DJJ267" s="184"/>
      <c r="DJK267" s="184"/>
      <c r="DJL267" s="184"/>
      <c r="DJM267" s="184"/>
      <c r="DJN267" s="184"/>
      <c r="DJO267" s="184"/>
      <c r="DJV267" s="186"/>
      <c r="DJW267" s="183"/>
      <c r="DJX267" s="184"/>
      <c r="DJY267" s="184"/>
      <c r="DJZ267" s="184"/>
      <c r="DKA267" s="184"/>
      <c r="DKB267" s="184"/>
      <c r="DKC267" s="184"/>
      <c r="DKD267" s="184"/>
      <c r="DKK267" s="186"/>
      <c r="DKL267" s="183"/>
      <c r="DKM267" s="184"/>
      <c r="DKN267" s="184"/>
      <c r="DKO267" s="184"/>
      <c r="DKP267" s="184"/>
      <c r="DKQ267" s="184"/>
      <c r="DKR267" s="184"/>
      <c r="DKS267" s="184"/>
      <c r="DKZ267" s="186"/>
      <c r="DLA267" s="183"/>
      <c r="DLB267" s="184"/>
      <c r="DLC267" s="184"/>
      <c r="DLD267" s="184"/>
      <c r="DLE267" s="184"/>
      <c r="DLF267" s="184"/>
      <c r="DLG267" s="184"/>
      <c r="DLH267" s="184"/>
      <c r="DLO267" s="186"/>
      <c r="DLP267" s="183"/>
      <c r="DLQ267" s="184"/>
      <c r="DLR267" s="184"/>
      <c r="DLS267" s="184"/>
      <c r="DLT267" s="184"/>
      <c r="DLU267" s="184"/>
      <c r="DLV267" s="184"/>
      <c r="DLW267" s="184"/>
      <c r="DMD267" s="186"/>
      <c r="DME267" s="183"/>
      <c r="DMF267" s="184"/>
      <c r="DMG267" s="184"/>
      <c r="DMH267" s="184"/>
      <c r="DMI267" s="184"/>
      <c r="DMJ267" s="184"/>
      <c r="DMK267" s="184"/>
      <c r="DML267" s="184"/>
      <c r="DMS267" s="186"/>
      <c r="DMT267" s="183"/>
      <c r="DMU267" s="184"/>
      <c r="DMV267" s="184"/>
      <c r="DMW267" s="184"/>
      <c r="DMX267" s="184"/>
      <c r="DMY267" s="184"/>
      <c r="DMZ267" s="184"/>
      <c r="DNA267" s="184"/>
      <c r="DNH267" s="186"/>
      <c r="DNI267" s="183"/>
      <c r="DNJ267" s="184"/>
      <c r="DNK267" s="184"/>
      <c r="DNL267" s="184"/>
      <c r="DNM267" s="184"/>
      <c r="DNN267" s="184"/>
      <c r="DNO267" s="184"/>
      <c r="DNP267" s="184"/>
      <c r="DNW267" s="186"/>
      <c r="DNX267" s="183"/>
      <c r="DNY267" s="184"/>
      <c r="DNZ267" s="184"/>
      <c r="DOA267" s="184"/>
      <c r="DOB267" s="184"/>
      <c r="DOC267" s="184"/>
      <c r="DOD267" s="184"/>
      <c r="DOE267" s="184"/>
      <c r="DOL267" s="186"/>
      <c r="DOM267" s="183"/>
      <c r="DON267" s="184"/>
      <c r="DOO267" s="184"/>
      <c r="DOP267" s="184"/>
      <c r="DOQ267" s="184"/>
      <c r="DOR267" s="184"/>
      <c r="DOS267" s="184"/>
      <c r="DOT267" s="184"/>
      <c r="DPA267" s="186"/>
      <c r="DPB267" s="183"/>
      <c r="DPC267" s="184"/>
      <c r="DPD267" s="184"/>
      <c r="DPE267" s="184"/>
      <c r="DPF267" s="184"/>
      <c r="DPG267" s="184"/>
      <c r="DPH267" s="184"/>
      <c r="DPI267" s="184"/>
      <c r="DPP267" s="186"/>
      <c r="DPQ267" s="183"/>
      <c r="DPR267" s="184"/>
      <c r="DPS267" s="184"/>
      <c r="DPT267" s="184"/>
      <c r="DPU267" s="184"/>
      <c r="DPV267" s="184"/>
      <c r="DPW267" s="184"/>
      <c r="DPX267" s="184"/>
      <c r="DQE267" s="186"/>
      <c r="DQF267" s="183"/>
      <c r="DQG267" s="184"/>
      <c r="DQH267" s="184"/>
      <c r="DQI267" s="184"/>
      <c r="DQJ267" s="184"/>
      <c r="DQK267" s="184"/>
      <c r="DQL267" s="184"/>
      <c r="DQM267" s="184"/>
      <c r="DQT267" s="186"/>
      <c r="DQU267" s="183"/>
      <c r="DQV267" s="184"/>
      <c r="DQW267" s="184"/>
      <c r="DQX267" s="184"/>
      <c r="DQY267" s="184"/>
      <c r="DQZ267" s="184"/>
      <c r="DRA267" s="184"/>
      <c r="DRB267" s="184"/>
      <c r="DRI267" s="186"/>
      <c r="DRJ267" s="183"/>
      <c r="DRK267" s="184"/>
      <c r="DRL267" s="184"/>
      <c r="DRM267" s="184"/>
      <c r="DRN267" s="184"/>
      <c r="DRO267" s="184"/>
      <c r="DRP267" s="184"/>
      <c r="DRQ267" s="184"/>
      <c r="DRX267" s="186"/>
      <c r="DRY267" s="183"/>
      <c r="DRZ267" s="184"/>
      <c r="DSA267" s="184"/>
      <c r="DSB267" s="184"/>
      <c r="DSC267" s="184"/>
      <c r="DSD267" s="184"/>
      <c r="DSE267" s="184"/>
      <c r="DSF267" s="184"/>
      <c r="DSM267" s="186"/>
      <c r="DSN267" s="183"/>
      <c r="DSO267" s="184"/>
      <c r="DSP267" s="184"/>
      <c r="DSQ267" s="184"/>
      <c r="DSR267" s="184"/>
      <c r="DSS267" s="184"/>
      <c r="DST267" s="184"/>
      <c r="DSU267" s="184"/>
      <c r="DTB267" s="186"/>
      <c r="DTC267" s="183"/>
      <c r="DTD267" s="184"/>
      <c r="DTE267" s="184"/>
      <c r="DTF267" s="184"/>
      <c r="DTG267" s="184"/>
      <c r="DTH267" s="184"/>
      <c r="DTI267" s="184"/>
      <c r="DTJ267" s="184"/>
      <c r="DTQ267" s="186"/>
      <c r="DTR267" s="183"/>
      <c r="DTS267" s="184"/>
      <c r="DTT267" s="184"/>
      <c r="DTU267" s="184"/>
      <c r="DTV267" s="184"/>
      <c r="DTW267" s="184"/>
      <c r="DTX267" s="184"/>
      <c r="DTY267" s="184"/>
      <c r="DUF267" s="186"/>
      <c r="DUG267" s="183"/>
      <c r="DUH267" s="184"/>
      <c r="DUI267" s="184"/>
      <c r="DUJ267" s="184"/>
      <c r="DUK267" s="184"/>
      <c r="DUL267" s="184"/>
      <c r="DUM267" s="184"/>
      <c r="DUN267" s="184"/>
      <c r="DUU267" s="186"/>
      <c r="DUV267" s="183"/>
      <c r="DUW267" s="184"/>
      <c r="DUX267" s="184"/>
      <c r="DUY267" s="184"/>
      <c r="DUZ267" s="184"/>
      <c r="DVA267" s="184"/>
      <c r="DVB267" s="184"/>
      <c r="DVC267" s="184"/>
      <c r="DVJ267" s="186"/>
      <c r="DVK267" s="183"/>
      <c r="DVL267" s="184"/>
      <c r="DVM267" s="184"/>
      <c r="DVN267" s="184"/>
      <c r="DVO267" s="184"/>
      <c r="DVP267" s="184"/>
      <c r="DVQ267" s="184"/>
      <c r="DVR267" s="184"/>
      <c r="DVY267" s="186"/>
      <c r="DVZ267" s="183"/>
      <c r="DWA267" s="184"/>
      <c r="DWB267" s="184"/>
      <c r="DWC267" s="184"/>
      <c r="DWD267" s="184"/>
      <c r="DWE267" s="184"/>
      <c r="DWF267" s="184"/>
      <c r="DWG267" s="184"/>
      <c r="DWN267" s="186"/>
      <c r="DWO267" s="183"/>
      <c r="DWP267" s="184"/>
      <c r="DWQ267" s="184"/>
      <c r="DWR267" s="184"/>
      <c r="DWS267" s="184"/>
      <c r="DWT267" s="184"/>
      <c r="DWU267" s="184"/>
      <c r="DWV267" s="184"/>
      <c r="DXC267" s="186"/>
      <c r="DXD267" s="183"/>
      <c r="DXE267" s="184"/>
      <c r="DXF267" s="184"/>
      <c r="DXG267" s="184"/>
      <c r="DXH267" s="184"/>
      <c r="DXI267" s="184"/>
      <c r="DXJ267" s="184"/>
      <c r="DXK267" s="184"/>
      <c r="DXR267" s="186"/>
      <c r="DXS267" s="183"/>
      <c r="DXT267" s="184"/>
      <c r="DXU267" s="184"/>
      <c r="DXV267" s="184"/>
      <c r="DXW267" s="184"/>
      <c r="DXX267" s="184"/>
      <c r="DXY267" s="184"/>
      <c r="DXZ267" s="184"/>
      <c r="DYG267" s="186"/>
      <c r="DYH267" s="183"/>
      <c r="DYI267" s="184"/>
      <c r="DYJ267" s="184"/>
      <c r="DYK267" s="184"/>
      <c r="DYL267" s="184"/>
      <c r="DYM267" s="184"/>
      <c r="DYN267" s="184"/>
      <c r="DYO267" s="184"/>
      <c r="DYV267" s="186"/>
      <c r="DYW267" s="183"/>
      <c r="DYX267" s="184"/>
      <c r="DYY267" s="184"/>
      <c r="DYZ267" s="184"/>
      <c r="DZA267" s="184"/>
      <c r="DZB267" s="184"/>
      <c r="DZC267" s="184"/>
      <c r="DZD267" s="184"/>
      <c r="DZK267" s="186"/>
      <c r="DZL267" s="183"/>
      <c r="DZM267" s="184"/>
      <c r="DZN267" s="184"/>
      <c r="DZO267" s="184"/>
      <c r="DZP267" s="184"/>
      <c r="DZQ267" s="184"/>
      <c r="DZR267" s="184"/>
      <c r="DZS267" s="184"/>
      <c r="DZZ267" s="186"/>
      <c r="EAA267" s="183"/>
      <c r="EAB267" s="184"/>
      <c r="EAC267" s="184"/>
      <c r="EAD267" s="184"/>
      <c r="EAE267" s="184"/>
      <c r="EAF267" s="184"/>
      <c r="EAG267" s="184"/>
      <c r="EAH267" s="184"/>
      <c r="EAO267" s="186"/>
      <c r="EAP267" s="183"/>
      <c r="EAQ267" s="184"/>
      <c r="EAR267" s="184"/>
      <c r="EAS267" s="184"/>
      <c r="EAT267" s="184"/>
      <c r="EAU267" s="184"/>
      <c r="EAV267" s="184"/>
      <c r="EAW267" s="184"/>
      <c r="EBD267" s="186"/>
      <c r="EBE267" s="183"/>
      <c r="EBF267" s="184"/>
      <c r="EBG267" s="184"/>
      <c r="EBH267" s="184"/>
      <c r="EBI267" s="184"/>
      <c r="EBJ267" s="184"/>
      <c r="EBK267" s="184"/>
      <c r="EBL267" s="184"/>
      <c r="EBS267" s="186"/>
      <c r="EBT267" s="183"/>
      <c r="EBU267" s="184"/>
      <c r="EBV267" s="184"/>
      <c r="EBW267" s="184"/>
      <c r="EBX267" s="184"/>
      <c r="EBY267" s="184"/>
      <c r="EBZ267" s="184"/>
      <c r="ECA267" s="184"/>
      <c r="ECH267" s="186"/>
      <c r="ECI267" s="183"/>
      <c r="ECJ267" s="184"/>
      <c r="ECK267" s="184"/>
      <c r="ECL267" s="184"/>
      <c r="ECM267" s="184"/>
      <c r="ECN267" s="184"/>
      <c r="ECO267" s="184"/>
      <c r="ECP267" s="184"/>
      <c r="ECW267" s="186"/>
      <c r="ECX267" s="183"/>
      <c r="ECY267" s="184"/>
      <c r="ECZ267" s="184"/>
      <c r="EDA267" s="184"/>
      <c r="EDB267" s="184"/>
      <c r="EDC267" s="184"/>
      <c r="EDD267" s="184"/>
      <c r="EDE267" s="184"/>
      <c r="EDL267" s="186"/>
      <c r="EDM267" s="183"/>
      <c r="EDN267" s="184"/>
      <c r="EDO267" s="184"/>
      <c r="EDP267" s="184"/>
      <c r="EDQ267" s="184"/>
      <c r="EDR267" s="184"/>
      <c r="EDS267" s="184"/>
      <c r="EDT267" s="184"/>
      <c r="EEA267" s="186"/>
      <c r="EEB267" s="183"/>
      <c r="EEC267" s="184"/>
      <c r="EED267" s="184"/>
      <c r="EEE267" s="184"/>
      <c r="EEF267" s="184"/>
      <c r="EEG267" s="184"/>
      <c r="EEH267" s="184"/>
      <c r="EEI267" s="184"/>
      <c r="EEP267" s="186"/>
      <c r="EEQ267" s="183"/>
      <c r="EER267" s="184"/>
      <c r="EES267" s="184"/>
      <c r="EET267" s="184"/>
      <c r="EEU267" s="184"/>
      <c r="EEV267" s="184"/>
      <c r="EEW267" s="184"/>
      <c r="EEX267" s="184"/>
      <c r="EFE267" s="186"/>
      <c r="EFF267" s="183"/>
      <c r="EFG267" s="184"/>
      <c r="EFH267" s="184"/>
      <c r="EFI267" s="184"/>
      <c r="EFJ267" s="184"/>
      <c r="EFK267" s="184"/>
      <c r="EFL267" s="184"/>
      <c r="EFM267" s="184"/>
      <c r="EFT267" s="186"/>
      <c r="EFU267" s="183"/>
      <c r="EFV267" s="184"/>
      <c r="EFW267" s="184"/>
      <c r="EFX267" s="184"/>
      <c r="EFY267" s="184"/>
      <c r="EFZ267" s="184"/>
      <c r="EGA267" s="184"/>
      <c r="EGB267" s="184"/>
      <c r="EGI267" s="186"/>
      <c r="EGJ267" s="183"/>
      <c r="EGK267" s="184"/>
      <c r="EGL267" s="184"/>
      <c r="EGM267" s="184"/>
      <c r="EGN267" s="184"/>
      <c r="EGO267" s="184"/>
      <c r="EGP267" s="184"/>
      <c r="EGQ267" s="184"/>
      <c r="EGX267" s="186"/>
      <c r="EGY267" s="183"/>
      <c r="EGZ267" s="184"/>
      <c r="EHA267" s="184"/>
      <c r="EHB267" s="184"/>
      <c r="EHC267" s="184"/>
      <c r="EHD267" s="184"/>
      <c r="EHE267" s="184"/>
      <c r="EHF267" s="184"/>
      <c r="EHM267" s="186"/>
      <c r="EHN267" s="183"/>
      <c r="EHO267" s="184"/>
      <c r="EHP267" s="184"/>
      <c r="EHQ267" s="184"/>
      <c r="EHR267" s="184"/>
      <c r="EHS267" s="184"/>
      <c r="EHT267" s="184"/>
      <c r="EHU267" s="184"/>
      <c r="EIB267" s="186"/>
      <c r="EIC267" s="183"/>
      <c r="EID267" s="184"/>
      <c r="EIE267" s="184"/>
      <c r="EIF267" s="184"/>
      <c r="EIG267" s="184"/>
      <c r="EIH267" s="184"/>
      <c r="EII267" s="184"/>
      <c r="EIJ267" s="184"/>
      <c r="EIQ267" s="186"/>
      <c r="EIR267" s="183"/>
      <c r="EIS267" s="184"/>
      <c r="EIT267" s="184"/>
      <c r="EIU267" s="184"/>
      <c r="EIV267" s="184"/>
      <c r="EIW267" s="184"/>
      <c r="EIX267" s="184"/>
      <c r="EIY267" s="184"/>
      <c r="EJF267" s="186"/>
      <c r="EJG267" s="183"/>
      <c r="EJH267" s="184"/>
      <c r="EJI267" s="184"/>
      <c r="EJJ267" s="184"/>
      <c r="EJK267" s="184"/>
      <c r="EJL267" s="184"/>
      <c r="EJM267" s="184"/>
      <c r="EJN267" s="184"/>
      <c r="EJU267" s="186"/>
      <c r="EJV267" s="183"/>
      <c r="EJW267" s="184"/>
      <c r="EJX267" s="184"/>
      <c r="EJY267" s="184"/>
      <c r="EJZ267" s="184"/>
      <c r="EKA267" s="184"/>
      <c r="EKB267" s="184"/>
      <c r="EKC267" s="184"/>
      <c r="EKJ267" s="186"/>
      <c r="EKK267" s="183"/>
      <c r="EKL267" s="184"/>
      <c r="EKM267" s="184"/>
      <c r="EKN267" s="184"/>
      <c r="EKO267" s="184"/>
      <c r="EKP267" s="184"/>
      <c r="EKQ267" s="184"/>
      <c r="EKR267" s="184"/>
      <c r="EKY267" s="186"/>
      <c r="EKZ267" s="183"/>
      <c r="ELA267" s="184"/>
      <c r="ELB267" s="184"/>
      <c r="ELC267" s="184"/>
      <c r="ELD267" s="184"/>
      <c r="ELE267" s="184"/>
      <c r="ELF267" s="184"/>
      <c r="ELG267" s="184"/>
      <c r="ELN267" s="186"/>
      <c r="ELO267" s="183"/>
      <c r="ELP267" s="184"/>
      <c r="ELQ267" s="184"/>
      <c r="ELR267" s="184"/>
      <c r="ELS267" s="184"/>
      <c r="ELT267" s="184"/>
      <c r="ELU267" s="184"/>
      <c r="ELV267" s="184"/>
      <c r="EMC267" s="186"/>
      <c r="EMD267" s="183"/>
      <c r="EME267" s="184"/>
      <c r="EMF267" s="184"/>
      <c r="EMG267" s="184"/>
      <c r="EMH267" s="184"/>
      <c r="EMI267" s="184"/>
      <c r="EMJ267" s="184"/>
      <c r="EMK267" s="184"/>
      <c r="EMR267" s="186"/>
      <c r="EMS267" s="183"/>
      <c r="EMT267" s="184"/>
      <c r="EMU267" s="184"/>
      <c r="EMV267" s="184"/>
      <c r="EMW267" s="184"/>
      <c r="EMX267" s="184"/>
      <c r="EMY267" s="184"/>
      <c r="EMZ267" s="184"/>
      <c r="ENG267" s="186"/>
      <c r="ENH267" s="183"/>
      <c r="ENI267" s="184"/>
      <c r="ENJ267" s="184"/>
      <c r="ENK267" s="184"/>
      <c r="ENL267" s="184"/>
      <c r="ENM267" s="184"/>
      <c r="ENN267" s="184"/>
      <c r="ENO267" s="184"/>
      <c r="ENV267" s="186"/>
      <c r="ENW267" s="183"/>
      <c r="ENX267" s="184"/>
      <c r="ENY267" s="184"/>
      <c r="ENZ267" s="184"/>
      <c r="EOA267" s="184"/>
      <c r="EOB267" s="184"/>
      <c r="EOC267" s="184"/>
      <c r="EOD267" s="184"/>
      <c r="EOK267" s="186"/>
      <c r="EOL267" s="183"/>
      <c r="EOM267" s="184"/>
      <c r="EON267" s="184"/>
      <c r="EOO267" s="184"/>
      <c r="EOP267" s="184"/>
      <c r="EOQ267" s="184"/>
      <c r="EOR267" s="184"/>
      <c r="EOS267" s="184"/>
      <c r="EOZ267" s="186"/>
      <c r="EPA267" s="183"/>
      <c r="EPB267" s="184"/>
      <c r="EPC267" s="184"/>
      <c r="EPD267" s="184"/>
      <c r="EPE267" s="184"/>
      <c r="EPF267" s="184"/>
      <c r="EPG267" s="184"/>
      <c r="EPH267" s="184"/>
      <c r="EPO267" s="186"/>
      <c r="EPP267" s="183"/>
      <c r="EPQ267" s="184"/>
      <c r="EPR267" s="184"/>
      <c r="EPS267" s="184"/>
      <c r="EPT267" s="184"/>
      <c r="EPU267" s="184"/>
      <c r="EPV267" s="184"/>
      <c r="EPW267" s="184"/>
      <c r="EQD267" s="186"/>
      <c r="EQE267" s="183"/>
      <c r="EQF267" s="184"/>
      <c r="EQG267" s="184"/>
      <c r="EQH267" s="184"/>
      <c r="EQI267" s="184"/>
      <c r="EQJ267" s="184"/>
      <c r="EQK267" s="184"/>
      <c r="EQL267" s="184"/>
      <c r="EQS267" s="186"/>
      <c r="EQT267" s="183"/>
      <c r="EQU267" s="184"/>
      <c r="EQV267" s="184"/>
      <c r="EQW267" s="184"/>
      <c r="EQX267" s="184"/>
      <c r="EQY267" s="184"/>
      <c r="EQZ267" s="184"/>
      <c r="ERA267" s="184"/>
      <c r="ERH267" s="186"/>
      <c r="ERI267" s="183"/>
      <c r="ERJ267" s="184"/>
      <c r="ERK267" s="184"/>
      <c r="ERL267" s="184"/>
      <c r="ERM267" s="184"/>
      <c r="ERN267" s="184"/>
      <c r="ERO267" s="184"/>
      <c r="ERP267" s="184"/>
      <c r="ERW267" s="186"/>
      <c r="ERX267" s="183"/>
      <c r="ERY267" s="184"/>
      <c r="ERZ267" s="184"/>
      <c r="ESA267" s="184"/>
      <c r="ESB267" s="184"/>
      <c r="ESC267" s="184"/>
      <c r="ESD267" s="184"/>
      <c r="ESE267" s="184"/>
      <c r="ESL267" s="186"/>
      <c r="ESM267" s="183"/>
      <c r="ESN267" s="184"/>
      <c r="ESO267" s="184"/>
      <c r="ESP267" s="184"/>
      <c r="ESQ267" s="184"/>
      <c r="ESR267" s="184"/>
      <c r="ESS267" s="184"/>
      <c r="EST267" s="184"/>
      <c r="ETA267" s="186"/>
      <c r="ETB267" s="183"/>
      <c r="ETC267" s="184"/>
      <c r="ETD267" s="184"/>
      <c r="ETE267" s="184"/>
      <c r="ETF267" s="184"/>
      <c r="ETG267" s="184"/>
      <c r="ETH267" s="184"/>
      <c r="ETI267" s="184"/>
      <c r="ETP267" s="186"/>
      <c r="ETQ267" s="183"/>
      <c r="ETR267" s="184"/>
      <c r="ETS267" s="184"/>
      <c r="ETT267" s="184"/>
      <c r="ETU267" s="184"/>
      <c r="ETV267" s="184"/>
      <c r="ETW267" s="184"/>
      <c r="ETX267" s="184"/>
      <c r="EUE267" s="186"/>
      <c r="EUF267" s="183"/>
      <c r="EUG267" s="184"/>
      <c r="EUH267" s="184"/>
      <c r="EUI267" s="184"/>
      <c r="EUJ267" s="184"/>
      <c r="EUK267" s="184"/>
      <c r="EUL267" s="184"/>
      <c r="EUM267" s="184"/>
      <c r="EUT267" s="186"/>
      <c r="EUU267" s="183"/>
      <c r="EUV267" s="184"/>
      <c r="EUW267" s="184"/>
      <c r="EUX267" s="184"/>
      <c r="EUY267" s="184"/>
      <c r="EUZ267" s="184"/>
      <c r="EVA267" s="184"/>
      <c r="EVB267" s="184"/>
      <c r="EVI267" s="186"/>
      <c r="EVJ267" s="183"/>
      <c r="EVK267" s="184"/>
      <c r="EVL267" s="184"/>
      <c r="EVM267" s="184"/>
      <c r="EVN267" s="184"/>
      <c r="EVO267" s="184"/>
      <c r="EVP267" s="184"/>
      <c r="EVQ267" s="184"/>
      <c r="EVX267" s="186"/>
      <c r="EVY267" s="183"/>
      <c r="EVZ267" s="184"/>
      <c r="EWA267" s="184"/>
      <c r="EWB267" s="184"/>
      <c r="EWC267" s="184"/>
      <c r="EWD267" s="184"/>
      <c r="EWE267" s="184"/>
      <c r="EWF267" s="184"/>
      <c r="EWM267" s="186"/>
      <c r="EWN267" s="183"/>
      <c r="EWO267" s="184"/>
      <c r="EWP267" s="184"/>
      <c r="EWQ267" s="184"/>
      <c r="EWR267" s="184"/>
      <c r="EWS267" s="184"/>
      <c r="EWT267" s="184"/>
      <c r="EWU267" s="184"/>
      <c r="EXB267" s="186"/>
      <c r="EXC267" s="183"/>
      <c r="EXD267" s="184"/>
      <c r="EXE267" s="184"/>
      <c r="EXF267" s="184"/>
      <c r="EXG267" s="184"/>
      <c r="EXH267" s="184"/>
      <c r="EXI267" s="184"/>
      <c r="EXJ267" s="184"/>
      <c r="EXQ267" s="186"/>
      <c r="EXR267" s="183"/>
      <c r="EXS267" s="184"/>
      <c r="EXT267" s="184"/>
      <c r="EXU267" s="184"/>
      <c r="EXV267" s="184"/>
      <c r="EXW267" s="184"/>
      <c r="EXX267" s="184"/>
      <c r="EXY267" s="184"/>
      <c r="EYF267" s="186"/>
      <c r="EYG267" s="183"/>
      <c r="EYH267" s="184"/>
      <c r="EYI267" s="184"/>
      <c r="EYJ267" s="184"/>
      <c r="EYK267" s="184"/>
      <c r="EYL267" s="184"/>
      <c r="EYM267" s="184"/>
      <c r="EYN267" s="184"/>
      <c r="EYU267" s="186"/>
      <c r="EYV267" s="183"/>
      <c r="EYW267" s="184"/>
      <c r="EYX267" s="184"/>
      <c r="EYY267" s="184"/>
      <c r="EYZ267" s="184"/>
      <c r="EZA267" s="184"/>
      <c r="EZB267" s="184"/>
      <c r="EZC267" s="184"/>
      <c r="EZJ267" s="186"/>
      <c r="EZK267" s="183"/>
      <c r="EZL267" s="184"/>
      <c r="EZM267" s="184"/>
      <c r="EZN267" s="184"/>
      <c r="EZO267" s="184"/>
      <c r="EZP267" s="184"/>
      <c r="EZQ267" s="184"/>
      <c r="EZR267" s="184"/>
      <c r="EZY267" s="186"/>
      <c r="EZZ267" s="183"/>
      <c r="FAA267" s="184"/>
      <c r="FAB267" s="184"/>
      <c r="FAC267" s="184"/>
      <c r="FAD267" s="184"/>
      <c r="FAE267" s="184"/>
      <c r="FAF267" s="184"/>
      <c r="FAG267" s="184"/>
      <c r="FAN267" s="186"/>
      <c r="FAO267" s="183"/>
      <c r="FAP267" s="184"/>
      <c r="FAQ267" s="184"/>
      <c r="FAR267" s="184"/>
      <c r="FAS267" s="184"/>
      <c r="FAT267" s="184"/>
      <c r="FAU267" s="184"/>
      <c r="FAV267" s="184"/>
      <c r="FBC267" s="186"/>
      <c r="FBD267" s="183"/>
      <c r="FBE267" s="184"/>
      <c r="FBF267" s="184"/>
      <c r="FBG267" s="184"/>
      <c r="FBH267" s="184"/>
      <c r="FBI267" s="184"/>
      <c r="FBJ267" s="184"/>
      <c r="FBK267" s="184"/>
      <c r="FBR267" s="186"/>
      <c r="FBS267" s="183"/>
      <c r="FBT267" s="184"/>
      <c r="FBU267" s="184"/>
      <c r="FBV267" s="184"/>
      <c r="FBW267" s="184"/>
      <c r="FBX267" s="184"/>
      <c r="FBY267" s="184"/>
      <c r="FBZ267" s="184"/>
      <c r="FCG267" s="186"/>
      <c r="FCH267" s="183"/>
      <c r="FCI267" s="184"/>
      <c r="FCJ267" s="184"/>
      <c r="FCK267" s="184"/>
      <c r="FCL267" s="184"/>
      <c r="FCM267" s="184"/>
      <c r="FCN267" s="184"/>
      <c r="FCO267" s="184"/>
      <c r="FCV267" s="186"/>
      <c r="FCW267" s="183"/>
      <c r="FCX267" s="184"/>
      <c r="FCY267" s="184"/>
      <c r="FCZ267" s="184"/>
      <c r="FDA267" s="184"/>
      <c r="FDB267" s="184"/>
      <c r="FDC267" s="184"/>
      <c r="FDD267" s="184"/>
      <c r="FDK267" s="186"/>
      <c r="FDL267" s="183"/>
      <c r="FDM267" s="184"/>
      <c r="FDN267" s="184"/>
      <c r="FDO267" s="184"/>
      <c r="FDP267" s="184"/>
      <c r="FDQ267" s="184"/>
      <c r="FDR267" s="184"/>
      <c r="FDS267" s="184"/>
      <c r="FDZ267" s="186"/>
      <c r="FEA267" s="183"/>
      <c r="FEB267" s="184"/>
      <c r="FEC267" s="184"/>
      <c r="FED267" s="184"/>
      <c r="FEE267" s="184"/>
      <c r="FEF267" s="184"/>
      <c r="FEG267" s="184"/>
      <c r="FEH267" s="184"/>
      <c r="FEO267" s="186"/>
      <c r="FEP267" s="183"/>
      <c r="FEQ267" s="184"/>
      <c r="FER267" s="184"/>
      <c r="FES267" s="184"/>
      <c r="FET267" s="184"/>
      <c r="FEU267" s="184"/>
      <c r="FEV267" s="184"/>
      <c r="FEW267" s="184"/>
      <c r="FFD267" s="186"/>
      <c r="FFE267" s="183"/>
      <c r="FFF267" s="184"/>
      <c r="FFG267" s="184"/>
      <c r="FFH267" s="184"/>
      <c r="FFI267" s="184"/>
      <c r="FFJ267" s="184"/>
      <c r="FFK267" s="184"/>
      <c r="FFL267" s="184"/>
      <c r="FFS267" s="186"/>
      <c r="FFT267" s="183"/>
      <c r="FFU267" s="184"/>
      <c r="FFV267" s="184"/>
      <c r="FFW267" s="184"/>
      <c r="FFX267" s="184"/>
      <c r="FFY267" s="184"/>
      <c r="FFZ267" s="184"/>
      <c r="FGA267" s="184"/>
      <c r="FGH267" s="186"/>
      <c r="FGI267" s="183"/>
      <c r="FGJ267" s="184"/>
      <c r="FGK267" s="184"/>
      <c r="FGL267" s="184"/>
      <c r="FGM267" s="184"/>
      <c r="FGN267" s="184"/>
      <c r="FGO267" s="184"/>
      <c r="FGP267" s="184"/>
      <c r="FGW267" s="186"/>
      <c r="FGX267" s="183"/>
      <c r="FGY267" s="184"/>
      <c r="FGZ267" s="184"/>
      <c r="FHA267" s="184"/>
      <c r="FHB267" s="184"/>
      <c r="FHC267" s="184"/>
      <c r="FHD267" s="184"/>
      <c r="FHE267" s="184"/>
      <c r="FHL267" s="186"/>
      <c r="FHM267" s="183"/>
      <c r="FHN267" s="184"/>
      <c r="FHO267" s="184"/>
      <c r="FHP267" s="184"/>
      <c r="FHQ267" s="184"/>
      <c r="FHR267" s="184"/>
      <c r="FHS267" s="184"/>
      <c r="FHT267" s="184"/>
      <c r="FIA267" s="186"/>
      <c r="FIB267" s="183"/>
      <c r="FIC267" s="184"/>
      <c r="FID267" s="184"/>
      <c r="FIE267" s="184"/>
      <c r="FIF267" s="184"/>
      <c r="FIG267" s="184"/>
      <c r="FIH267" s="184"/>
      <c r="FII267" s="184"/>
      <c r="FIP267" s="186"/>
      <c r="FIQ267" s="183"/>
      <c r="FIR267" s="184"/>
      <c r="FIS267" s="184"/>
      <c r="FIT267" s="184"/>
      <c r="FIU267" s="184"/>
      <c r="FIV267" s="184"/>
      <c r="FIW267" s="184"/>
      <c r="FIX267" s="184"/>
      <c r="FJE267" s="186"/>
      <c r="FJF267" s="183"/>
      <c r="FJG267" s="184"/>
      <c r="FJH267" s="184"/>
      <c r="FJI267" s="184"/>
      <c r="FJJ267" s="184"/>
      <c r="FJK267" s="184"/>
      <c r="FJL267" s="184"/>
      <c r="FJM267" s="184"/>
      <c r="FJT267" s="186"/>
      <c r="FJU267" s="183"/>
      <c r="FJV267" s="184"/>
      <c r="FJW267" s="184"/>
      <c r="FJX267" s="184"/>
      <c r="FJY267" s="184"/>
      <c r="FJZ267" s="184"/>
      <c r="FKA267" s="184"/>
      <c r="FKB267" s="184"/>
      <c r="FKI267" s="186"/>
      <c r="FKJ267" s="183"/>
      <c r="FKK267" s="184"/>
      <c r="FKL267" s="184"/>
      <c r="FKM267" s="184"/>
      <c r="FKN267" s="184"/>
      <c r="FKO267" s="184"/>
      <c r="FKP267" s="184"/>
      <c r="FKQ267" s="184"/>
      <c r="FKX267" s="186"/>
      <c r="FKY267" s="183"/>
      <c r="FKZ267" s="184"/>
      <c r="FLA267" s="184"/>
      <c r="FLB267" s="184"/>
      <c r="FLC267" s="184"/>
      <c r="FLD267" s="184"/>
      <c r="FLE267" s="184"/>
      <c r="FLF267" s="184"/>
      <c r="FLM267" s="186"/>
      <c r="FLN267" s="183"/>
      <c r="FLO267" s="184"/>
      <c r="FLP267" s="184"/>
      <c r="FLQ267" s="184"/>
      <c r="FLR267" s="184"/>
      <c r="FLS267" s="184"/>
      <c r="FLT267" s="184"/>
      <c r="FLU267" s="184"/>
      <c r="FMB267" s="186"/>
      <c r="FMC267" s="183"/>
      <c r="FMD267" s="184"/>
      <c r="FME267" s="184"/>
      <c r="FMF267" s="184"/>
      <c r="FMG267" s="184"/>
      <c r="FMH267" s="184"/>
      <c r="FMI267" s="184"/>
      <c r="FMJ267" s="184"/>
      <c r="FMQ267" s="186"/>
      <c r="FMR267" s="183"/>
      <c r="FMS267" s="184"/>
      <c r="FMT267" s="184"/>
      <c r="FMU267" s="184"/>
      <c r="FMV267" s="184"/>
      <c r="FMW267" s="184"/>
      <c r="FMX267" s="184"/>
      <c r="FMY267" s="184"/>
      <c r="FNF267" s="186"/>
      <c r="FNG267" s="183"/>
      <c r="FNH267" s="184"/>
      <c r="FNI267" s="184"/>
      <c r="FNJ267" s="184"/>
      <c r="FNK267" s="184"/>
      <c r="FNL267" s="184"/>
      <c r="FNM267" s="184"/>
      <c r="FNN267" s="184"/>
      <c r="FNU267" s="186"/>
      <c r="FNV267" s="183"/>
      <c r="FNW267" s="184"/>
      <c r="FNX267" s="184"/>
      <c r="FNY267" s="184"/>
      <c r="FNZ267" s="184"/>
      <c r="FOA267" s="184"/>
      <c r="FOB267" s="184"/>
      <c r="FOC267" s="184"/>
      <c r="FOJ267" s="186"/>
      <c r="FOK267" s="183"/>
      <c r="FOL267" s="184"/>
      <c r="FOM267" s="184"/>
      <c r="FON267" s="184"/>
      <c r="FOO267" s="184"/>
      <c r="FOP267" s="184"/>
      <c r="FOQ267" s="184"/>
      <c r="FOR267" s="184"/>
      <c r="FOY267" s="186"/>
      <c r="FOZ267" s="183"/>
      <c r="FPA267" s="184"/>
      <c r="FPB267" s="184"/>
      <c r="FPC267" s="184"/>
      <c r="FPD267" s="184"/>
      <c r="FPE267" s="184"/>
      <c r="FPF267" s="184"/>
      <c r="FPG267" s="184"/>
      <c r="FPN267" s="186"/>
      <c r="FPO267" s="183"/>
      <c r="FPP267" s="184"/>
      <c r="FPQ267" s="184"/>
      <c r="FPR267" s="184"/>
      <c r="FPS267" s="184"/>
      <c r="FPT267" s="184"/>
      <c r="FPU267" s="184"/>
      <c r="FPV267" s="184"/>
      <c r="FQC267" s="186"/>
      <c r="FQD267" s="183"/>
      <c r="FQE267" s="184"/>
      <c r="FQF267" s="184"/>
      <c r="FQG267" s="184"/>
      <c r="FQH267" s="184"/>
      <c r="FQI267" s="184"/>
      <c r="FQJ267" s="184"/>
      <c r="FQK267" s="184"/>
      <c r="FQR267" s="186"/>
      <c r="FQS267" s="183"/>
      <c r="FQT267" s="184"/>
      <c r="FQU267" s="184"/>
      <c r="FQV267" s="184"/>
      <c r="FQW267" s="184"/>
      <c r="FQX267" s="184"/>
      <c r="FQY267" s="184"/>
      <c r="FQZ267" s="184"/>
      <c r="FRG267" s="186"/>
      <c r="FRH267" s="183"/>
      <c r="FRI267" s="184"/>
      <c r="FRJ267" s="184"/>
      <c r="FRK267" s="184"/>
      <c r="FRL267" s="184"/>
      <c r="FRM267" s="184"/>
      <c r="FRN267" s="184"/>
      <c r="FRO267" s="184"/>
      <c r="FRV267" s="186"/>
      <c r="FRW267" s="183"/>
      <c r="FRX267" s="184"/>
      <c r="FRY267" s="184"/>
      <c r="FRZ267" s="184"/>
      <c r="FSA267" s="184"/>
      <c r="FSB267" s="184"/>
      <c r="FSC267" s="184"/>
      <c r="FSD267" s="184"/>
      <c r="FSK267" s="186"/>
      <c r="FSL267" s="183"/>
      <c r="FSM267" s="184"/>
      <c r="FSN267" s="184"/>
      <c r="FSO267" s="184"/>
      <c r="FSP267" s="184"/>
      <c r="FSQ267" s="184"/>
      <c r="FSR267" s="184"/>
      <c r="FSS267" s="184"/>
      <c r="FSZ267" s="186"/>
      <c r="FTA267" s="183"/>
      <c r="FTB267" s="184"/>
      <c r="FTC267" s="184"/>
      <c r="FTD267" s="184"/>
      <c r="FTE267" s="184"/>
      <c r="FTF267" s="184"/>
      <c r="FTG267" s="184"/>
      <c r="FTH267" s="184"/>
      <c r="FTO267" s="186"/>
      <c r="FTP267" s="183"/>
      <c r="FTQ267" s="184"/>
      <c r="FTR267" s="184"/>
      <c r="FTS267" s="184"/>
      <c r="FTT267" s="184"/>
      <c r="FTU267" s="184"/>
      <c r="FTV267" s="184"/>
      <c r="FTW267" s="184"/>
      <c r="FUD267" s="186"/>
      <c r="FUE267" s="183"/>
      <c r="FUF267" s="184"/>
      <c r="FUG267" s="184"/>
      <c r="FUH267" s="184"/>
      <c r="FUI267" s="184"/>
      <c r="FUJ267" s="184"/>
      <c r="FUK267" s="184"/>
      <c r="FUL267" s="184"/>
      <c r="FUS267" s="186"/>
      <c r="FUT267" s="183"/>
      <c r="FUU267" s="184"/>
      <c r="FUV267" s="184"/>
      <c r="FUW267" s="184"/>
      <c r="FUX267" s="184"/>
      <c r="FUY267" s="184"/>
      <c r="FUZ267" s="184"/>
      <c r="FVA267" s="184"/>
      <c r="FVH267" s="186"/>
      <c r="FVI267" s="183"/>
      <c r="FVJ267" s="184"/>
      <c r="FVK267" s="184"/>
      <c r="FVL267" s="184"/>
      <c r="FVM267" s="184"/>
      <c r="FVN267" s="184"/>
      <c r="FVO267" s="184"/>
      <c r="FVP267" s="184"/>
      <c r="FVW267" s="186"/>
      <c r="FVX267" s="183"/>
      <c r="FVY267" s="184"/>
      <c r="FVZ267" s="184"/>
      <c r="FWA267" s="184"/>
      <c r="FWB267" s="184"/>
      <c r="FWC267" s="184"/>
      <c r="FWD267" s="184"/>
      <c r="FWE267" s="184"/>
      <c r="FWL267" s="186"/>
      <c r="FWM267" s="183"/>
      <c r="FWN267" s="184"/>
      <c r="FWO267" s="184"/>
      <c r="FWP267" s="184"/>
      <c r="FWQ267" s="184"/>
      <c r="FWR267" s="184"/>
      <c r="FWS267" s="184"/>
      <c r="FWT267" s="184"/>
      <c r="FXA267" s="186"/>
      <c r="FXB267" s="183"/>
      <c r="FXC267" s="184"/>
      <c r="FXD267" s="184"/>
      <c r="FXE267" s="184"/>
      <c r="FXF267" s="184"/>
      <c r="FXG267" s="184"/>
      <c r="FXH267" s="184"/>
      <c r="FXI267" s="184"/>
      <c r="FXP267" s="186"/>
      <c r="FXQ267" s="183"/>
      <c r="FXR267" s="184"/>
      <c r="FXS267" s="184"/>
      <c r="FXT267" s="184"/>
      <c r="FXU267" s="184"/>
      <c r="FXV267" s="184"/>
      <c r="FXW267" s="184"/>
      <c r="FXX267" s="184"/>
      <c r="FYE267" s="186"/>
      <c r="FYF267" s="183"/>
      <c r="FYG267" s="184"/>
      <c r="FYH267" s="184"/>
      <c r="FYI267" s="184"/>
      <c r="FYJ267" s="184"/>
      <c r="FYK267" s="184"/>
      <c r="FYL267" s="184"/>
      <c r="FYM267" s="184"/>
      <c r="FYT267" s="186"/>
      <c r="FYU267" s="183"/>
      <c r="FYV267" s="184"/>
      <c r="FYW267" s="184"/>
      <c r="FYX267" s="184"/>
      <c r="FYY267" s="184"/>
      <c r="FYZ267" s="184"/>
      <c r="FZA267" s="184"/>
      <c r="FZB267" s="184"/>
      <c r="FZI267" s="186"/>
      <c r="FZJ267" s="183"/>
      <c r="FZK267" s="184"/>
      <c r="FZL267" s="184"/>
      <c r="FZM267" s="184"/>
      <c r="FZN267" s="184"/>
      <c r="FZO267" s="184"/>
      <c r="FZP267" s="184"/>
      <c r="FZQ267" s="184"/>
      <c r="FZX267" s="186"/>
      <c r="FZY267" s="183"/>
      <c r="FZZ267" s="184"/>
      <c r="GAA267" s="184"/>
      <c r="GAB267" s="184"/>
      <c r="GAC267" s="184"/>
      <c r="GAD267" s="184"/>
      <c r="GAE267" s="184"/>
      <c r="GAF267" s="184"/>
      <c r="GAM267" s="186"/>
      <c r="GAN267" s="183"/>
      <c r="GAO267" s="184"/>
      <c r="GAP267" s="184"/>
      <c r="GAQ267" s="184"/>
      <c r="GAR267" s="184"/>
      <c r="GAS267" s="184"/>
      <c r="GAT267" s="184"/>
      <c r="GAU267" s="184"/>
      <c r="GBB267" s="186"/>
      <c r="GBC267" s="183"/>
      <c r="GBD267" s="184"/>
      <c r="GBE267" s="184"/>
      <c r="GBF267" s="184"/>
      <c r="GBG267" s="184"/>
      <c r="GBH267" s="184"/>
      <c r="GBI267" s="184"/>
      <c r="GBJ267" s="184"/>
      <c r="GBQ267" s="186"/>
      <c r="GBR267" s="183"/>
      <c r="GBS267" s="184"/>
      <c r="GBT267" s="184"/>
      <c r="GBU267" s="184"/>
      <c r="GBV267" s="184"/>
      <c r="GBW267" s="184"/>
      <c r="GBX267" s="184"/>
      <c r="GBY267" s="184"/>
      <c r="GCF267" s="186"/>
      <c r="GCG267" s="183"/>
      <c r="GCH267" s="184"/>
      <c r="GCI267" s="184"/>
      <c r="GCJ267" s="184"/>
      <c r="GCK267" s="184"/>
      <c r="GCL267" s="184"/>
      <c r="GCM267" s="184"/>
      <c r="GCN267" s="184"/>
      <c r="GCU267" s="186"/>
      <c r="GCV267" s="183"/>
      <c r="GCW267" s="184"/>
      <c r="GCX267" s="184"/>
      <c r="GCY267" s="184"/>
      <c r="GCZ267" s="184"/>
      <c r="GDA267" s="184"/>
      <c r="GDB267" s="184"/>
      <c r="GDC267" s="184"/>
      <c r="GDJ267" s="186"/>
      <c r="GDK267" s="183"/>
      <c r="GDL267" s="184"/>
      <c r="GDM267" s="184"/>
      <c r="GDN267" s="184"/>
      <c r="GDO267" s="184"/>
      <c r="GDP267" s="184"/>
      <c r="GDQ267" s="184"/>
      <c r="GDR267" s="184"/>
      <c r="GDY267" s="186"/>
      <c r="GDZ267" s="183"/>
      <c r="GEA267" s="184"/>
      <c r="GEB267" s="184"/>
      <c r="GEC267" s="184"/>
      <c r="GED267" s="184"/>
      <c r="GEE267" s="184"/>
      <c r="GEF267" s="184"/>
      <c r="GEG267" s="184"/>
      <c r="GEN267" s="186"/>
      <c r="GEO267" s="183"/>
      <c r="GEP267" s="184"/>
      <c r="GEQ267" s="184"/>
      <c r="GER267" s="184"/>
      <c r="GES267" s="184"/>
      <c r="GET267" s="184"/>
      <c r="GEU267" s="184"/>
      <c r="GEV267" s="184"/>
      <c r="GFC267" s="186"/>
      <c r="GFD267" s="183"/>
      <c r="GFE267" s="184"/>
      <c r="GFF267" s="184"/>
      <c r="GFG267" s="184"/>
      <c r="GFH267" s="184"/>
      <c r="GFI267" s="184"/>
      <c r="GFJ267" s="184"/>
      <c r="GFK267" s="184"/>
      <c r="GFR267" s="186"/>
      <c r="GFS267" s="183"/>
      <c r="GFT267" s="184"/>
      <c r="GFU267" s="184"/>
      <c r="GFV267" s="184"/>
      <c r="GFW267" s="184"/>
      <c r="GFX267" s="184"/>
      <c r="GFY267" s="184"/>
      <c r="GFZ267" s="184"/>
      <c r="GGG267" s="186"/>
      <c r="GGH267" s="183"/>
      <c r="GGI267" s="184"/>
      <c r="GGJ267" s="184"/>
      <c r="GGK267" s="184"/>
      <c r="GGL267" s="184"/>
      <c r="GGM267" s="184"/>
      <c r="GGN267" s="184"/>
      <c r="GGO267" s="184"/>
      <c r="GGV267" s="186"/>
      <c r="GGW267" s="183"/>
      <c r="GGX267" s="184"/>
      <c r="GGY267" s="184"/>
      <c r="GGZ267" s="184"/>
      <c r="GHA267" s="184"/>
      <c r="GHB267" s="184"/>
      <c r="GHC267" s="184"/>
      <c r="GHD267" s="184"/>
      <c r="GHK267" s="186"/>
      <c r="GHL267" s="183"/>
      <c r="GHM267" s="184"/>
      <c r="GHN267" s="184"/>
      <c r="GHO267" s="184"/>
      <c r="GHP267" s="184"/>
      <c r="GHQ267" s="184"/>
      <c r="GHR267" s="184"/>
      <c r="GHS267" s="184"/>
      <c r="GHZ267" s="186"/>
      <c r="GIA267" s="183"/>
      <c r="GIB267" s="184"/>
      <c r="GIC267" s="184"/>
      <c r="GID267" s="184"/>
      <c r="GIE267" s="184"/>
      <c r="GIF267" s="184"/>
      <c r="GIG267" s="184"/>
      <c r="GIH267" s="184"/>
      <c r="GIO267" s="186"/>
      <c r="GIP267" s="183"/>
      <c r="GIQ267" s="184"/>
      <c r="GIR267" s="184"/>
      <c r="GIS267" s="184"/>
      <c r="GIT267" s="184"/>
      <c r="GIU267" s="184"/>
      <c r="GIV267" s="184"/>
      <c r="GIW267" s="184"/>
      <c r="GJD267" s="186"/>
      <c r="GJE267" s="183"/>
      <c r="GJF267" s="184"/>
      <c r="GJG267" s="184"/>
      <c r="GJH267" s="184"/>
      <c r="GJI267" s="184"/>
      <c r="GJJ267" s="184"/>
      <c r="GJK267" s="184"/>
      <c r="GJL267" s="184"/>
      <c r="GJS267" s="186"/>
      <c r="GJT267" s="183"/>
      <c r="GJU267" s="184"/>
      <c r="GJV267" s="184"/>
      <c r="GJW267" s="184"/>
      <c r="GJX267" s="184"/>
      <c r="GJY267" s="184"/>
      <c r="GJZ267" s="184"/>
      <c r="GKA267" s="184"/>
      <c r="GKH267" s="186"/>
      <c r="GKI267" s="183"/>
      <c r="GKJ267" s="184"/>
      <c r="GKK267" s="184"/>
      <c r="GKL267" s="184"/>
      <c r="GKM267" s="184"/>
      <c r="GKN267" s="184"/>
      <c r="GKO267" s="184"/>
      <c r="GKP267" s="184"/>
      <c r="GKW267" s="186"/>
      <c r="GKX267" s="183"/>
      <c r="GKY267" s="184"/>
      <c r="GKZ267" s="184"/>
      <c r="GLA267" s="184"/>
      <c r="GLB267" s="184"/>
      <c r="GLC267" s="184"/>
      <c r="GLD267" s="184"/>
      <c r="GLE267" s="184"/>
      <c r="GLL267" s="186"/>
      <c r="GLM267" s="183"/>
      <c r="GLN267" s="184"/>
      <c r="GLO267" s="184"/>
      <c r="GLP267" s="184"/>
      <c r="GLQ267" s="184"/>
      <c r="GLR267" s="184"/>
      <c r="GLS267" s="184"/>
      <c r="GLT267" s="184"/>
      <c r="GMA267" s="186"/>
      <c r="GMB267" s="183"/>
      <c r="GMC267" s="184"/>
      <c r="GMD267" s="184"/>
      <c r="GME267" s="184"/>
      <c r="GMF267" s="184"/>
      <c r="GMG267" s="184"/>
      <c r="GMH267" s="184"/>
      <c r="GMI267" s="184"/>
      <c r="GMP267" s="186"/>
      <c r="GMQ267" s="183"/>
      <c r="GMR267" s="184"/>
      <c r="GMS267" s="184"/>
      <c r="GMT267" s="184"/>
      <c r="GMU267" s="184"/>
      <c r="GMV267" s="184"/>
      <c r="GMW267" s="184"/>
      <c r="GMX267" s="184"/>
      <c r="GNE267" s="186"/>
      <c r="GNF267" s="183"/>
      <c r="GNG267" s="184"/>
      <c r="GNH267" s="184"/>
      <c r="GNI267" s="184"/>
      <c r="GNJ267" s="184"/>
      <c r="GNK267" s="184"/>
      <c r="GNL267" s="184"/>
      <c r="GNM267" s="184"/>
      <c r="GNT267" s="186"/>
      <c r="GNU267" s="183"/>
      <c r="GNV267" s="184"/>
      <c r="GNW267" s="184"/>
      <c r="GNX267" s="184"/>
      <c r="GNY267" s="184"/>
      <c r="GNZ267" s="184"/>
      <c r="GOA267" s="184"/>
      <c r="GOB267" s="184"/>
      <c r="GOI267" s="186"/>
      <c r="GOJ267" s="183"/>
      <c r="GOK267" s="184"/>
      <c r="GOL267" s="184"/>
      <c r="GOM267" s="184"/>
      <c r="GON267" s="184"/>
      <c r="GOO267" s="184"/>
      <c r="GOP267" s="184"/>
      <c r="GOQ267" s="184"/>
      <c r="GOX267" s="186"/>
      <c r="GOY267" s="183"/>
      <c r="GOZ267" s="184"/>
      <c r="GPA267" s="184"/>
      <c r="GPB267" s="184"/>
      <c r="GPC267" s="184"/>
      <c r="GPD267" s="184"/>
      <c r="GPE267" s="184"/>
      <c r="GPF267" s="184"/>
      <c r="GPM267" s="186"/>
      <c r="GPN267" s="183"/>
      <c r="GPO267" s="184"/>
      <c r="GPP267" s="184"/>
      <c r="GPQ267" s="184"/>
      <c r="GPR267" s="184"/>
      <c r="GPS267" s="184"/>
      <c r="GPT267" s="184"/>
      <c r="GPU267" s="184"/>
      <c r="GQB267" s="186"/>
      <c r="GQC267" s="183"/>
      <c r="GQD267" s="184"/>
      <c r="GQE267" s="184"/>
      <c r="GQF267" s="184"/>
      <c r="GQG267" s="184"/>
      <c r="GQH267" s="184"/>
      <c r="GQI267" s="184"/>
      <c r="GQJ267" s="184"/>
      <c r="GQQ267" s="186"/>
      <c r="GQR267" s="183"/>
      <c r="GQS267" s="184"/>
      <c r="GQT267" s="184"/>
      <c r="GQU267" s="184"/>
      <c r="GQV267" s="184"/>
      <c r="GQW267" s="184"/>
      <c r="GQX267" s="184"/>
      <c r="GQY267" s="184"/>
      <c r="GRF267" s="186"/>
      <c r="GRG267" s="183"/>
      <c r="GRH267" s="184"/>
      <c r="GRI267" s="184"/>
      <c r="GRJ267" s="184"/>
      <c r="GRK267" s="184"/>
      <c r="GRL267" s="184"/>
      <c r="GRM267" s="184"/>
      <c r="GRN267" s="184"/>
      <c r="GRU267" s="186"/>
      <c r="GRV267" s="183"/>
      <c r="GRW267" s="184"/>
      <c r="GRX267" s="184"/>
      <c r="GRY267" s="184"/>
      <c r="GRZ267" s="184"/>
      <c r="GSA267" s="184"/>
      <c r="GSB267" s="184"/>
      <c r="GSC267" s="184"/>
      <c r="GSJ267" s="186"/>
      <c r="GSK267" s="183"/>
      <c r="GSL267" s="184"/>
      <c r="GSM267" s="184"/>
      <c r="GSN267" s="184"/>
      <c r="GSO267" s="184"/>
      <c r="GSP267" s="184"/>
      <c r="GSQ267" s="184"/>
      <c r="GSR267" s="184"/>
      <c r="GSY267" s="186"/>
      <c r="GSZ267" s="183"/>
      <c r="GTA267" s="184"/>
      <c r="GTB267" s="184"/>
      <c r="GTC267" s="184"/>
      <c r="GTD267" s="184"/>
      <c r="GTE267" s="184"/>
      <c r="GTF267" s="184"/>
      <c r="GTG267" s="184"/>
      <c r="GTN267" s="186"/>
      <c r="GTO267" s="183"/>
      <c r="GTP267" s="184"/>
      <c r="GTQ267" s="184"/>
      <c r="GTR267" s="184"/>
      <c r="GTS267" s="184"/>
      <c r="GTT267" s="184"/>
      <c r="GTU267" s="184"/>
      <c r="GTV267" s="184"/>
      <c r="GUC267" s="186"/>
      <c r="GUD267" s="183"/>
      <c r="GUE267" s="184"/>
      <c r="GUF267" s="184"/>
      <c r="GUG267" s="184"/>
      <c r="GUH267" s="184"/>
      <c r="GUI267" s="184"/>
      <c r="GUJ267" s="184"/>
      <c r="GUK267" s="184"/>
      <c r="GUR267" s="186"/>
      <c r="GUS267" s="183"/>
      <c r="GUT267" s="184"/>
      <c r="GUU267" s="184"/>
      <c r="GUV267" s="184"/>
      <c r="GUW267" s="184"/>
      <c r="GUX267" s="184"/>
      <c r="GUY267" s="184"/>
      <c r="GUZ267" s="184"/>
      <c r="GVG267" s="186"/>
      <c r="GVH267" s="183"/>
      <c r="GVI267" s="184"/>
      <c r="GVJ267" s="184"/>
      <c r="GVK267" s="184"/>
      <c r="GVL267" s="184"/>
      <c r="GVM267" s="184"/>
      <c r="GVN267" s="184"/>
      <c r="GVO267" s="184"/>
      <c r="GVV267" s="186"/>
      <c r="GVW267" s="183"/>
      <c r="GVX267" s="184"/>
      <c r="GVY267" s="184"/>
      <c r="GVZ267" s="184"/>
      <c r="GWA267" s="184"/>
      <c r="GWB267" s="184"/>
      <c r="GWC267" s="184"/>
      <c r="GWD267" s="184"/>
      <c r="GWK267" s="186"/>
      <c r="GWL267" s="183"/>
      <c r="GWM267" s="184"/>
      <c r="GWN267" s="184"/>
      <c r="GWO267" s="184"/>
      <c r="GWP267" s="184"/>
      <c r="GWQ267" s="184"/>
      <c r="GWR267" s="184"/>
      <c r="GWS267" s="184"/>
      <c r="GWZ267" s="186"/>
      <c r="GXA267" s="183"/>
      <c r="GXB267" s="184"/>
      <c r="GXC267" s="184"/>
      <c r="GXD267" s="184"/>
      <c r="GXE267" s="184"/>
      <c r="GXF267" s="184"/>
      <c r="GXG267" s="184"/>
      <c r="GXH267" s="184"/>
      <c r="GXO267" s="186"/>
      <c r="GXP267" s="183"/>
      <c r="GXQ267" s="184"/>
      <c r="GXR267" s="184"/>
      <c r="GXS267" s="184"/>
      <c r="GXT267" s="184"/>
      <c r="GXU267" s="184"/>
      <c r="GXV267" s="184"/>
      <c r="GXW267" s="184"/>
      <c r="GYD267" s="186"/>
      <c r="GYE267" s="183"/>
      <c r="GYF267" s="184"/>
      <c r="GYG267" s="184"/>
      <c r="GYH267" s="184"/>
      <c r="GYI267" s="184"/>
      <c r="GYJ267" s="184"/>
      <c r="GYK267" s="184"/>
      <c r="GYL267" s="184"/>
      <c r="GYS267" s="186"/>
      <c r="GYT267" s="183"/>
      <c r="GYU267" s="184"/>
      <c r="GYV267" s="184"/>
      <c r="GYW267" s="184"/>
      <c r="GYX267" s="184"/>
      <c r="GYY267" s="184"/>
      <c r="GYZ267" s="184"/>
      <c r="GZA267" s="184"/>
      <c r="GZH267" s="186"/>
      <c r="GZI267" s="183"/>
      <c r="GZJ267" s="184"/>
      <c r="GZK267" s="184"/>
      <c r="GZL267" s="184"/>
      <c r="GZM267" s="184"/>
      <c r="GZN267" s="184"/>
      <c r="GZO267" s="184"/>
      <c r="GZP267" s="184"/>
      <c r="GZW267" s="186"/>
      <c r="GZX267" s="183"/>
      <c r="GZY267" s="184"/>
      <c r="GZZ267" s="184"/>
      <c r="HAA267" s="184"/>
      <c r="HAB267" s="184"/>
      <c r="HAC267" s="184"/>
      <c r="HAD267" s="184"/>
      <c r="HAE267" s="184"/>
      <c r="HAL267" s="186"/>
      <c r="HAM267" s="183"/>
      <c r="HAN267" s="184"/>
      <c r="HAO267" s="184"/>
      <c r="HAP267" s="184"/>
      <c r="HAQ267" s="184"/>
      <c r="HAR267" s="184"/>
      <c r="HAS267" s="184"/>
      <c r="HAT267" s="184"/>
      <c r="HBA267" s="186"/>
      <c r="HBB267" s="183"/>
      <c r="HBC267" s="184"/>
      <c r="HBD267" s="184"/>
      <c r="HBE267" s="184"/>
      <c r="HBF267" s="184"/>
      <c r="HBG267" s="184"/>
      <c r="HBH267" s="184"/>
      <c r="HBI267" s="184"/>
      <c r="HBP267" s="186"/>
      <c r="HBQ267" s="183"/>
      <c r="HBR267" s="184"/>
      <c r="HBS267" s="184"/>
      <c r="HBT267" s="184"/>
      <c r="HBU267" s="184"/>
      <c r="HBV267" s="184"/>
      <c r="HBW267" s="184"/>
      <c r="HBX267" s="184"/>
      <c r="HCE267" s="186"/>
      <c r="HCF267" s="183"/>
      <c r="HCG267" s="184"/>
      <c r="HCH267" s="184"/>
      <c r="HCI267" s="184"/>
      <c r="HCJ267" s="184"/>
      <c r="HCK267" s="184"/>
      <c r="HCL267" s="184"/>
      <c r="HCM267" s="184"/>
      <c r="HCT267" s="186"/>
      <c r="HCU267" s="183"/>
      <c r="HCV267" s="184"/>
      <c r="HCW267" s="184"/>
      <c r="HCX267" s="184"/>
      <c r="HCY267" s="184"/>
      <c r="HCZ267" s="184"/>
      <c r="HDA267" s="184"/>
      <c r="HDB267" s="184"/>
      <c r="HDI267" s="186"/>
      <c r="HDJ267" s="183"/>
      <c r="HDK267" s="184"/>
      <c r="HDL267" s="184"/>
      <c r="HDM267" s="184"/>
      <c r="HDN267" s="184"/>
      <c r="HDO267" s="184"/>
      <c r="HDP267" s="184"/>
      <c r="HDQ267" s="184"/>
      <c r="HDX267" s="186"/>
      <c r="HDY267" s="183"/>
      <c r="HDZ267" s="184"/>
      <c r="HEA267" s="184"/>
      <c r="HEB267" s="184"/>
      <c r="HEC267" s="184"/>
      <c r="HED267" s="184"/>
      <c r="HEE267" s="184"/>
      <c r="HEF267" s="184"/>
      <c r="HEM267" s="186"/>
      <c r="HEN267" s="183"/>
      <c r="HEO267" s="184"/>
      <c r="HEP267" s="184"/>
      <c r="HEQ267" s="184"/>
      <c r="HER267" s="184"/>
      <c r="HES267" s="184"/>
      <c r="HET267" s="184"/>
      <c r="HEU267" s="184"/>
      <c r="HFB267" s="186"/>
      <c r="HFC267" s="183"/>
      <c r="HFD267" s="184"/>
      <c r="HFE267" s="184"/>
      <c r="HFF267" s="184"/>
      <c r="HFG267" s="184"/>
      <c r="HFH267" s="184"/>
      <c r="HFI267" s="184"/>
      <c r="HFJ267" s="184"/>
      <c r="HFQ267" s="186"/>
      <c r="HFR267" s="183"/>
      <c r="HFS267" s="184"/>
      <c r="HFT267" s="184"/>
      <c r="HFU267" s="184"/>
      <c r="HFV267" s="184"/>
      <c r="HFW267" s="184"/>
      <c r="HFX267" s="184"/>
      <c r="HFY267" s="184"/>
      <c r="HGF267" s="186"/>
      <c r="HGG267" s="183"/>
      <c r="HGH267" s="184"/>
      <c r="HGI267" s="184"/>
      <c r="HGJ267" s="184"/>
      <c r="HGK267" s="184"/>
      <c r="HGL267" s="184"/>
      <c r="HGM267" s="184"/>
      <c r="HGN267" s="184"/>
      <c r="HGU267" s="186"/>
      <c r="HGV267" s="183"/>
      <c r="HGW267" s="184"/>
      <c r="HGX267" s="184"/>
      <c r="HGY267" s="184"/>
      <c r="HGZ267" s="184"/>
      <c r="HHA267" s="184"/>
      <c r="HHB267" s="184"/>
      <c r="HHC267" s="184"/>
      <c r="HHJ267" s="186"/>
      <c r="HHK267" s="183"/>
      <c r="HHL267" s="184"/>
      <c r="HHM267" s="184"/>
      <c r="HHN267" s="184"/>
      <c r="HHO267" s="184"/>
      <c r="HHP267" s="184"/>
      <c r="HHQ267" s="184"/>
      <c r="HHR267" s="184"/>
      <c r="HHY267" s="186"/>
      <c r="HHZ267" s="183"/>
      <c r="HIA267" s="184"/>
      <c r="HIB267" s="184"/>
      <c r="HIC267" s="184"/>
      <c r="HID267" s="184"/>
      <c r="HIE267" s="184"/>
      <c r="HIF267" s="184"/>
      <c r="HIG267" s="184"/>
      <c r="HIN267" s="186"/>
      <c r="HIO267" s="183"/>
      <c r="HIP267" s="184"/>
      <c r="HIQ267" s="184"/>
      <c r="HIR267" s="184"/>
      <c r="HIS267" s="184"/>
      <c r="HIT267" s="184"/>
      <c r="HIU267" s="184"/>
      <c r="HIV267" s="184"/>
      <c r="HJC267" s="186"/>
      <c r="HJD267" s="183"/>
      <c r="HJE267" s="184"/>
      <c r="HJF267" s="184"/>
      <c r="HJG267" s="184"/>
      <c r="HJH267" s="184"/>
      <c r="HJI267" s="184"/>
      <c r="HJJ267" s="184"/>
      <c r="HJK267" s="184"/>
      <c r="HJR267" s="186"/>
      <c r="HJS267" s="183"/>
      <c r="HJT267" s="184"/>
      <c r="HJU267" s="184"/>
      <c r="HJV267" s="184"/>
      <c r="HJW267" s="184"/>
      <c r="HJX267" s="184"/>
      <c r="HJY267" s="184"/>
      <c r="HJZ267" s="184"/>
      <c r="HKG267" s="186"/>
      <c r="HKH267" s="183"/>
      <c r="HKI267" s="184"/>
      <c r="HKJ267" s="184"/>
      <c r="HKK267" s="184"/>
      <c r="HKL267" s="184"/>
      <c r="HKM267" s="184"/>
      <c r="HKN267" s="184"/>
      <c r="HKO267" s="184"/>
      <c r="HKV267" s="186"/>
      <c r="HKW267" s="183"/>
      <c r="HKX267" s="184"/>
      <c r="HKY267" s="184"/>
      <c r="HKZ267" s="184"/>
      <c r="HLA267" s="184"/>
      <c r="HLB267" s="184"/>
      <c r="HLC267" s="184"/>
      <c r="HLD267" s="184"/>
      <c r="HLK267" s="186"/>
      <c r="HLL267" s="183"/>
      <c r="HLM267" s="184"/>
      <c r="HLN267" s="184"/>
      <c r="HLO267" s="184"/>
      <c r="HLP267" s="184"/>
      <c r="HLQ267" s="184"/>
      <c r="HLR267" s="184"/>
      <c r="HLS267" s="184"/>
      <c r="HLZ267" s="186"/>
      <c r="HMA267" s="183"/>
      <c r="HMB267" s="184"/>
      <c r="HMC267" s="184"/>
      <c r="HMD267" s="184"/>
      <c r="HME267" s="184"/>
      <c r="HMF267" s="184"/>
      <c r="HMG267" s="184"/>
      <c r="HMH267" s="184"/>
      <c r="HMO267" s="186"/>
      <c r="HMP267" s="183"/>
      <c r="HMQ267" s="184"/>
      <c r="HMR267" s="184"/>
      <c r="HMS267" s="184"/>
      <c r="HMT267" s="184"/>
      <c r="HMU267" s="184"/>
      <c r="HMV267" s="184"/>
      <c r="HMW267" s="184"/>
      <c r="HND267" s="186"/>
      <c r="HNE267" s="183"/>
      <c r="HNF267" s="184"/>
      <c r="HNG267" s="184"/>
      <c r="HNH267" s="184"/>
      <c r="HNI267" s="184"/>
      <c r="HNJ267" s="184"/>
      <c r="HNK267" s="184"/>
      <c r="HNL267" s="184"/>
      <c r="HNS267" s="186"/>
      <c r="HNT267" s="183"/>
      <c r="HNU267" s="184"/>
      <c r="HNV267" s="184"/>
      <c r="HNW267" s="184"/>
      <c r="HNX267" s="184"/>
      <c r="HNY267" s="184"/>
      <c r="HNZ267" s="184"/>
      <c r="HOA267" s="184"/>
      <c r="HOH267" s="186"/>
      <c r="HOI267" s="183"/>
      <c r="HOJ267" s="184"/>
      <c r="HOK267" s="184"/>
      <c r="HOL267" s="184"/>
      <c r="HOM267" s="184"/>
      <c r="HON267" s="184"/>
      <c r="HOO267" s="184"/>
      <c r="HOP267" s="184"/>
      <c r="HOW267" s="186"/>
      <c r="HOX267" s="183"/>
      <c r="HOY267" s="184"/>
      <c r="HOZ267" s="184"/>
      <c r="HPA267" s="184"/>
      <c r="HPB267" s="184"/>
      <c r="HPC267" s="184"/>
      <c r="HPD267" s="184"/>
      <c r="HPE267" s="184"/>
      <c r="HPL267" s="186"/>
      <c r="HPM267" s="183"/>
      <c r="HPN267" s="184"/>
      <c r="HPO267" s="184"/>
      <c r="HPP267" s="184"/>
      <c r="HPQ267" s="184"/>
      <c r="HPR267" s="184"/>
      <c r="HPS267" s="184"/>
      <c r="HPT267" s="184"/>
      <c r="HQA267" s="186"/>
      <c r="HQB267" s="183"/>
      <c r="HQC267" s="184"/>
      <c r="HQD267" s="184"/>
      <c r="HQE267" s="184"/>
      <c r="HQF267" s="184"/>
      <c r="HQG267" s="184"/>
      <c r="HQH267" s="184"/>
      <c r="HQI267" s="184"/>
      <c r="HQP267" s="186"/>
      <c r="HQQ267" s="183"/>
      <c r="HQR267" s="184"/>
      <c r="HQS267" s="184"/>
      <c r="HQT267" s="184"/>
      <c r="HQU267" s="184"/>
      <c r="HQV267" s="184"/>
      <c r="HQW267" s="184"/>
      <c r="HQX267" s="184"/>
      <c r="HRE267" s="186"/>
      <c r="HRF267" s="183"/>
      <c r="HRG267" s="184"/>
      <c r="HRH267" s="184"/>
      <c r="HRI267" s="184"/>
      <c r="HRJ267" s="184"/>
      <c r="HRK267" s="184"/>
      <c r="HRL267" s="184"/>
      <c r="HRM267" s="184"/>
      <c r="HRT267" s="186"/>
      <c r="HRU267" s="183"/>
      <c r="HRV267" s="184"/>
      <c r="HRW267" s="184"/>
      <c r="HRX267" s="184"/>
      <c r="HRY267" s="184"/>
      <c r="HRZ267" s="184"/>
      <c r="HSA267" s="184"/>
      <c r="HSB267" s="184"/>
      <c r="HSI267" s="186"/>
      <c r="HSJ267" s="183"/>
      <c r="HSK267" s="184"/>
      <c r="HSL267" s="184"/>
      <c r="HSM267" s="184"/>
      <c r="HSN267" s="184"/>
      <c r="HSO267" s="184"/>
      <c r="HSP267" s="184"/>
      <c r="HSQ267" s="184"/>
      <c r="HSX267" s="186"/>
      <c r="HSY267" s="183"/>
      <c r="HSZ267" s="184"/>
      <c r="HTA267" s="184"/>
      <c r="HTB267" s="184"/>
      <c r="HTC267" s="184"/>
      <c r="HTD267" s="184"/>
      <c r="HTE267" s="184"/>
      <c r="HTF267" s="184"/>
      <c r="HTM267" s="186"/>
      <c r="HTN267" s="183"/>
      <c r="HTO267" s="184"/>
      <c r="HTP267" s="184"/>
      <c r="HTQ267" s="184"/>
      <c r="HTR267" s="184"/>
      <c r="HTS267" s="184"/>
      <c r="HTT267" s="184"/>
      <c r="HTU267" s="184"/>
      <c r="HUB267" s="186"/>
      <c r="HUC267" s="183"/>
      <c r="HUD267" s="184"/>
      <c r="HUE267" s="184"/>
      <c r="HUF267" s="184"/>
      <c r="HUG267" s="184"/>
      <c r="HUH267" s="184"/>
      <c r="HUI267" s="184"/>
      <c r="HUJ267" s="184"/>
      <c r="HUQ267" s="186"/>
      <c r="HUR267" s="183"/>
      <c r="HUS267" s="184"/>
      <c r="HUT267" s="184"/>
      <c r="HUU267" s="184"/>
      <c r="HUV267" s="184"/>
      <c r="HUW267" s="184"/>
      <c r="HUX267" s="184"/>
      <c r="HUY267" s="184"/>
      <c r="HVF267" s="186"/>
      <c r="HVG267" s="183"/>
      <c r="HVH267" s="184"/>
      <c r="HVI267" s="184"/>
      <c r="HVJ267" s="184"/>
      <c r="HVK267" s="184"/>
      <c r="HVL267" s="184"/>
      <c r="HVM267" s="184"/>
      <c r="HVN267" s="184"/>
      <c r="HVU267" s="186"/>
      <c r="HVV267" s="183"/>
      <c r="HVW267" s="184"/>
      <c r="HVX267" s="184"/>
      <c r="HVY267" s="184"/>
      <c r="HVZ267" s="184"/>
      <c r="HWA267" s="184"/>
      <c r="HWB267" s="184"/>
      <c r="HWC267" s="184"/>
      <c r="HWJ267" s="186"/>
      <c r="HWK267" s="183"/>
      <c r="HWL267" s="184"/>
      <c r="HWM267" s="184"/>
      <c r="HWN267" s="184"/>
      <c r="HWO267" s="184"/>
      <c r="HWP267" s="184"/>
      <c r="HWQ267" s="184"/>
      <c r="HWR267" s="184"/>
      <c r="HWY267" s="186"/>
      <c r="HWZ267" s="183"/>
      <c r="HXA267" s="184"/>
      <c r="HXB267" s="184"/>
      <c r="HXC267" s="184"/>
      <c r="HXD267" s="184"/>
      <c r="HXE267" s="184"/>
      <c r="HXF267" s="184"/>
      <c r="HXG267" s="184"/>
      <c r="HXN267" s="186"/>
      <c r="HXO267" s="183"/>
      <c r="HXP267" s="184"/>
      <c r="HXQ267" s="184"/>
      <c r="HXR267" s="184"/>
      <c r="HXS267" s="184"/>
      <c r="HXT267" s="184"/>
      <c r="HXU267" s="184"/>
      <c r="HXV267" s="184"/>
      <c r="HYC267" s="186"/>
      <c r="HYD267" s="183"/>
      <c r="HYE267" s="184"/>
      <c r="HYF267" s="184"/>
      <c r="HYG267" s="184"/>
      <c r="HYH267" s="184"/>
      <c r="HYI267" s="184"/>
      <c r="HYJ267" s="184"/>
      <c r="HYK267" s="184"/>
      <c r="HYR267" s="186"/>
      <c r="HYS267" s="183"/>
      <c r="HYT267" s="184"/>
      <c r="HYU267" s="184"/>
      <c r="HYV267" s="184"/>
      <c r="HYW267" s="184"/>
      <c r="HYX267" s="184"/>
      <c r="HYY267" s="184"/>
      <c r="HYZ267" s="184"/>
      <c r="HZG267" s="186"/>
      <c r="HZH267" s="183"/>
      <c r="HZI267" s="184"/>
      <c r="HZJ267" s="184"/>
      <c r="HZK267" s="184"/>
      <c r="HZL267" s="184"/>
      <c r="HZM267" s="184"/>
      <c r="HZN267" s="184"/>
      <c r="HZO267" s="184"/>
      <c r="HZV267" s="186"/>
      <c r="HZW267" s="183"/>
      <c r="HZX267" s="184"/>
      <c r="HZY267" s="184"/>
      <c r="HZZ267" s="184"/>
      <c r="IAA267" s="184"/>
      <c r="IAB267" s="184"/>
      <c r="IAC267" s="184"/>
      <c r="IAD267" s="184"/>
      <c r="IAK267" s="186"/>
      <c r="IAL267" s="183"/>
      <c r="IAM267" s="184"/>
      <c r="IAN267" s="184"/>
      <c r="IAO267" s="184"/>
      <c r="IAP267" s="184"/>
      <c r="IAQ267" s="184"/>
      <c r="IAR267" s="184"/>
      <c r="IAS267" s="184"/>
      <c r="IAZ267" s="186"/>
      <c r="IBA267" s="183"/>
      <c r="IBB267" s="184"/>
      <c r="IBC267" s="184"/>
      <c r="IBD267" s="184"/>
      <c r="IBE267" s="184"/>
      <c r="IBF267" s="184"/>
      <c r="IBG267" s="184"/>
      <c r="IBH267" s="184"/>
      <c r="IBO267" s="186"/>
      <c r="IBP267" s="183"/>
      <c r="IBQ267" s="184"/>
      <c r="IBR267" s="184"/>
      <c r="IBS267" s="184"/>
      <c r="IBT267" s="184"/>
      <c r="IBU267" s="184"/>
      <c r="IBV267" s="184"/>
      <c r="IBW267" s="184"/>
      <c r="ICD267" s="186"/>
      <c r="ICE267" s="183"/>
      <c r="ICF267" s="184"/>
      <c r="ICG267" s="184"/>
      <c r="ICH267" s="184"/>
      <c r="ICI267" s="184"/>
      <c r="ICJ267" s="184"/>
      <c r="ICK267" s="184"/>
      <c r="ICL267" s="184"/>
      <c r="ICS267" s="186"/>
      <c r="ICT267" s="183"/>
      <c r="ICU267" s="184"/>
      <c r="ICV267" s="184"/>
      <c r="ICW267" s="184"/>
      <c r="ICX267" s="184"/>
      <c r="ICY267" s="184"/>
      <c r="ICZ267" s="184"/>
      <c r="IDA267" s="184"/>
      <c r="IDH267" s="186"/>
      <c r="IDI267" s="183"/>
      <c r="IDJ267" s="184"/>
      <c r="IDK267" s="184"/>
      <c r="IDL267" s="184"/>
      <c r="IDM267" s="184"/>
      <c r="IDN267" s="184"/>
      <c r="IDO267" s="184"/>
      <c r="IDP267" s="184"/>
      <c r="IDW267" s="186"/>
      <c r="IDX267" s="183"/>
      <c r="IDY267" s="184"/>
      <c r="IDZ267" s="184"/>
      <c r="IEA267" s="184"/>
      <c r="IEB267" s="184"/>
      <c r="IEC267" s="184"/>
      <c r="IED267" s="184"/>
      <c r="IEE267" s="184"/>
      <c r="IEL267" s="186"/>
      <c r="IEM267" s="183"/>
      <c r="IEN267" s="184"/>
      <c r="IEO267" s="184"/>
      <c r="IEP267" s="184"/>
      <c r="IEQ267" s="184"/>
      <c r="IER267" s="184"/>
      <c r="IES267" s="184"/>
      <c r="IET267" s="184"/>
      <c r="IFA267" s="186"/>
      <c r="IFB267" s="183"/>
      <c r="IFC267" s="184"/>
      <c r="IFD267" s="184"/>
      <c r="IFE267" s="184"/>
      <c r="IFF267" s="184"/>
      <c r="IFG267" s="184"/>
      <c r="IFH267" s="184"/>
      <c r="IFI267" s="184"/>
      <c r="IFP267" s="186"/>
      <c r="IFQ267" s="183"/>
      <c r="IFR267" s="184"/>
      <c r="IFS267" s="184"/>
      <c r="IFT267" s="184"/>
      <c r="IFU267" s="184"/>
      <c r="IFV267" s="184"/>
      <c r="IFW267" s="184"/>
      <c r="IFX267" s="184"/>
      <c r="IGE267" s="186"/>
      <c r="IGF267" s="183"/>
      <c r="IGG267" s="184"/>
      <c r="IGH267" s="184"/>
      <c r="IGI267" s="184"/>
      <c r="IGJ267" s="184"/>
      <c r="IGK267" s="184"/>
      <c r="IGL267" s="184"/>
      <c r="IGM267" s="184"/>
      <c r="IGT267" s="186"/>
      <c r="IGU267" s="183"/>
      <c r="IGV267" s="184"/>
      <c r="IGW267" s="184"/>
      <c r="IGX267" s="184"/>
      <c r="IGY267" s="184"/>
      <c r="IGZ267" s="184"/>
      <c r="IHA267" s="184"/>
      <c r="IHB267" s="184"/>
      <c r="IHI267" s="186"/>
      <c r="IHJ267" s="183"/>
      <c r="IHK267" s="184"/>
      <c r="IHL267" s="184"/>
      <c r="IHM267" s="184"/>
      <c r="IHN267" s="184"/>
      <c r="IHO267" s="184"/>
      <c r="IHP267" s="184"/>
      <c r="IHQ267" s="184"/>
      <c r="IHX267" s="186"/>
      <c r="IHY267" s="183"/>
      <c r="IHZ267" s="184"/>
      <c r="IIA267" s="184"/>
      <c r="IIB267" s="184"/>
      <c r="IIC267" s="184"/>
      <c r="IID267" s="184"/>
      <c r="IIE267" s="184"/>
      <c r="IIF267" s="184"/>
      <c r="IIM267" s="186"/>
      <c r="IIN267" s="183"/>
      <c r="IIO267" s="184"/>
      <c r="IIP267" s="184"/>
      <c r="IIQ267" s="184"/>
      <c r="IIR267" s="184"/>
      <c r="IIS267" s="184"/>
      <c r="IIT267" s="184"/>
      <c r="IIU267" s="184"/>
      <c r="IJB267" s="186"/>
      <c r="IJC267" s="183"/>
      <c r="IJD267" s="184"/>
      <c r="IJE267" s="184"/>
      <c r="IJF267" s="184"/>
      <c r="IJG267" s="184"/>
      <c r="IJH267" s="184"/>
      <c r="IJI267" s="184"/>
      <c r="IJJ267" s="184"/>
      <c r="IJQ267" s="186"/>
      <c r="IJR267" s="183"/>
      <c r="IJS267" s="184"/>
      <c r="IJT267" s="184"/>
      <c r="IJU267" s="184"/>
      <c r="IJV267" s="184"/>
      <c r="IJW267" s="184"/>
      <c r="IJX267" s="184"/>
      <c r="IJY267" s="184"/>
      <c r="IKF267" s="186"/>
      <c r="IKG267" s="183"/>
      <c r="IKH267" s="184"/>
      <c r="IKI267" s="184"/>
      <c r="IKJ267" s="184"/>
      <c r="IKK267" s="184"/>
      <c r="IKL267" s="184"/>
      <c r="IKM267" s="184"/>
      <c r="IKN267" s="184"/>
      <c r="IKU267" s="186"/>
      <c r="IKV267" s="183"/>
      <c r="IKW267" s="184"/>
      <c r="IKX267" s="184"/>
      <c r="IKY267" s="184"/>
      <c r="IKZ267" s="184"/>
      <c r="ILA267" s="184"/>
      <c r="ILB267" s="184"/>
      <c r="ILC267" s="184"/>
      <c r="ILJ267" s="186"/>
      <c r="ILK267" s="183"/>
      <c r="ILL267" s="184"/>
      <c r="ILM267" s="184"/>
      <c r="ILN267" s="184"/>
      <c r="ILO267" s="184"/>
      <c r="ILP267" s="184"/>
      <c r="ILQ267" s="184"/>
      <c r="ILR267" s="184"/>
      <c r="ILY267" s="186"/>
      <c r="ILZ267" s="183"/>
      <c r="IMA267" s="184"/>
      <c r="IMB267" s="184"/>
      <c r="IMC267" s="184"/>
      <c r="IMD267" s="184"/>
      <c r="IME267" s="184"/>
      <c r="IMF267" s="184"/>
      <c r="IMG267" s="184"/>
      <c r="IMN267" s="186"/>
      <c r="IMO267" s="183"/>
      <c r="IMP267" s="184"/>
      <c r="IMQ267" s="184"/>
      <c r="IMR267" s="184"/>
      <c r="IMS267" s="184"/>
      <c r="IMT267" s="184"/>
      <c r="IMU267" s="184"/>
      <c r="IMV267" s="184"/>
      <c r="INC267" s="186"/>
      <c r="IND267" s="183"/>
      <c r="INE267" s="184"/>
      <c r="INF267" s="184"/>
      <c r="ING267" s="184"/>
      <c r="INH267" s="184"/>
      <c r="INI267" s="184"/>
      <c r="INJ267" s="184"/>
      <c r="INK267" s="184"/>
      <c r="INR267" s="186"/>
      <c r="INS267" s="183"/>
      <c r="INT267" s="184"/>
      <c r="INU267" s="184"/>
      <c r="INV267" s="184"/>
      <c r="INW267" s="184"/>
      <c r="INX267" s="184"/>
      <c r="INY267" s="184"/>
      <c r="INZ267" s="184"/>
      <c r="IOG267" s="186"/>
      <c r="IOH267" s="183"/>
      <c r="IOI267" s="184"/>
      <c r="IOJ267" s="184"/>
      <c r="IOK267" s="184"/>
      <c r="IOL267" s="184"/>
      <c r="IOM267" s="184"/>
      <c r="ION267" s="184"/>
      <c r="IOO267" s="184"/>
      <c r="IOV267" s="186"/>
      <c r="IOW267" s="183"/>
      <c r="IOX267" s="184"/>
      <c r="IOY267" s="184"/>
      <c r="IOZ267" s="184"/>
      <c r="IPA267" s="184"/>
      <c r="IPB267" s="184"/>
      <c r="IPC267" s="184"/>
      <c r="IPD267" s="184"/>
      <c r="IPK267" s="186"/>
      <c r="IPL267" s="183"/>
      <c r="IPM267" s="184"/>
      <c r="IPN267" s="184"/>
      <c r="IPO267" s="184"/>
      <c r="IPP267" s="184"/>
      <c r="IPQ267" s="184"/>
      <c r="IPR267" s="184"/>
      <c r="IPS267" s="184"/>
      <c r="IPZ267" s="186"/>
      <c r="IQA267" s="183"/>
      <c r="IQB267" s="184"/>
      <c r="IQC267" s="184"/>
      <c r="IQD267" s="184"/>
      <c r="IQE267" s="184"/>
      <c r="IQF267" s="184"/>
      <c r="IQG267" s="184"/>
      <c r="IQH267" s="184"/>
      <c r="IQO267" s="186"/>
      <c r="IQP267" s="183"/>
      <c r="IQQ267" s="184"/>
      <c r="IQR267" s="184"/>
      <c r="IQS267" s="184"/>
      <c r="IQT267" s="184"/>
      <c r="IQU267" s="184"/>
      <c r="IQV267" s="184"/>
      <c r="IQW267" s="184"/>
      <c r="IRD267" s="186"/>
      <c r="IRE267" s="183"/>
      <c r="IRF267" s="184"/>
      <c r="IRG267" s="184"/>
      <c r="IRH267" s="184"/>
      <c r="IRI267" s="184"/>
      <c r="IRJ267" s="184"/>
      <c r="IRK267" s="184"/>
      <c r="IRL267" s="184"/>
      <c r="IRS267" s="186"/>
      <c r="IRT267" s="183"/>
      <c r="IRU267" s="184"/>
      <c r="IRV267" s="184"/>
      <c r="IRW267" s="184"/>
      <c r="IRX267" s="184"/>
      <c r="IRY267" s="184"/>
      <c r="IRZ267" s="184"/>
      <c r="ISA267" s="184"/>
      <c r="ISH267" s="186"/>
      <c r="ISI267" s="183"/>
      <c r="ISJ267" s="184"/>
      <c r="ISK267" s="184"/>
      <c r="ISL267" s="184"/>
      <c r="ISM267" s="184"/>
      <c r="ISN267" s="184"/>
      <c r="ISO267" s="184"/>
      <c r="ISP267" s="184"/>
      <c r="ISW267" s="186"/>
      <c r="ISX267" s="183"/>
      <c r="ISY267" s="184"/>
      <c r="ISZ267" s="184"/>
      <c r="ITA267" s="184"/>
      <c r="ITB267" s="184"/>
      <c r="ITC267" s="184"/>
      <c r="ITD267" s="184"/>
      <c r="ITE267" s="184"/>
      <c r="ITL267" s="186"/>
      <c r="ITM267" s="183"/>
      <c r="ITN267" s="184"/>
      <c r="ITO267" s="184"/>
      <c r="ITP267" s="184"/>
      <c r="ITQ267" s="184"/>
      <c r="ITR267" s="184"/>
      <c r="ITS267" s="184"/>
      <c r="ITT267" s="184"/>
      <c r="IUA267" s="186"/>
      <c r="IUB267" s="183"/>
      <c r="IUC267" s="184"/>
      <c r="IUD267" s="184"/>
      <c r="IUE267" s="184"/>
      <c r="IUF267" s="184"/>
      <c r="IUG267" s="184"/>
      <c r="IUH267" s="184"/>
      <c r="IUI267" s="184"/>
      <c r="IUP267" s="186"/>
      <c r="IUQ267" s="183"/>
      <c r="IUR267" s="184"/>
      <c r="IUS267" s="184"/>
      <c r="IUT267" s="184"/>
      <c r="IUU267" s="184"/>
      <c r="IUV267" s="184"/>
      <c r="IUW267" s="184"/>
      <c r="IUX267" s="184"/>
      <c r="IVE267" s="186"/>
      <c r="IVF267" s="183"/>
      <c r="IVG267" s="184"/>
      <c r="IVH267" s="184"/>
      <c r="IVI267" s="184"/>
      <c r="IVJ267" s="184"/>
      <c r="IVK267" s="184"/>
      <c r="IVL267" s="184"/>
      <c r="IVM267" s="184"/>
      <c r="IVT267" s="186"/>
      <c r="IVU267" s="183"/>
      <c r="IVV267" s="184"/>
      <c r="IVW267" s="184"/>
      <c r="IVX267" s="184"/>
      <c r="IVY267" s="184"/>
      <c r="IVZ267" s="184"/>
      <c r="IWA267" s="184"/>
      <c r="IWB267" s="184"/>
      <c r="IWI267" s="186"/>
      <c r="IWJ267" s="183"/>
      <c r="IWK267" s="184"/>
      <c r="IWL267" s="184"/>
      <c r="IWM267" s="184"/>
      <c r="IWN267" s="184"/>
      <c r="IWO267" s="184"/>
      <c r="IWP267" s="184"/>
      <c r="IWQ267" s="184"/>
      <c r="IWX267" s="186"/>
      <c r="IWY267" s="183"/>
      <c r="IWZ267" s="184"/>
      <c r="IXA267" s="184"/>
      <c r="IXB267" s="184"/>
      <c r="IXC267" s="184"/>
      <c r="IXD267" s="184"/>
      <c r="IXE267" s="184"/>
      <c r="IXF267" s="184"/>
      <c r="IXM267" s="186"/>
      <c r="IXN267" s="183"/>
      <c r="IXO267" s="184"/>
      <c r="IXP267" s="184"/>
      <c r="IXQ267" s="184"/>
      <c r="IXR267" s="184"/>
      <c r="IXS267" s="184"/>
      <c r="IXT267" s="184"/>
      <c r="IXU267" s="184"/>
      <c r="IYB267" s="186"/>
      <c r="IYC267" s="183"/>
      <c r="IYD267" s="184"/>
      <c r="IYE267" s="184"/>
      <c r="IYF267" s="184"/>
      <c r="IYG267" s="184"/>
      <c r="IYH267" s="184"/>
      <c r="IYI267" s="184"/>
      <c r="IYJ267" s="184"/>
      <c r="IYQ267" s="186"/>
      <c r="IYR267" s="183"/>
      <c r="IYS267" s="184"/>
      <c r="IYT267" s="184"/>
      <c r="IYU267" s="184"/>
      <c r="IYV267" s="184"/>
      <c r="IYW267" s="184"/>
      <c r="IYX267" s="184"/>
      <c r="IYY267" s="184"/>
      <c r="IZF267" s="186"/>
      <c r="IZG267" s="183"/>
      <c r="IZH267" s="184"/>
      <c r="IZI267" s="184"/>
      <c r="IZJ267" s="184"/>
      <c r="IZK267" s="184"/>
      <c r="IZL267" s="184"/>
      <c r="IZM267" s="184"/>
      <c r="IZN267" s="184"/>
      <c r="IZU267" s="186"/>
      <c r="IZV267" s="183"/>
      <c r="IZW267" s="184"/>
      <c r="IZX267" s="184"/>
      <c r="IZY267" s="184"/>
      <c r="IZZ267" s="184"/>
      <c r="JAA267" s="184"/>
      <c r="JAB267" s="184"/>
      <c r="JAC267" s="184"/>
      <c r="JAJ267" s="186"/>
      <c r="JAK267" s="183"/>
      <c r="JAL267" s="184"/>
      <c r="JAM267" s="184"/>
      <c r="JAN267" s="184"/>
      <c r="JAO267" s="184"/>
      <c r="JAP267" s="184"/>
      <c r="JAQ267" s="184"/>
      <c r="JAR267" s="184"/>
      <c r="JAY267" s="186"/>
      <c r="JAZ267" s="183"/>
      <c r="JBA267" s="184"/>
      <c r="JBB267" s="184"/>
      <c r="JBC267" s="184"/>
      <c r="JBD267" s="184"/>
      <c r="JBE267" s="184"/>
      <c r="JBF267" s="184"/>
      <c r="JBG267" s="184"/>
      <c r="JBN267" s="186"/>
      <c r="JBO267" s="183"/>
      <c r="JBP267" s="184"/>
      <c r="JBQ267" s="184"/>
      <c r="JBR267" s="184"/>
      <c r="JBS267" s="184"/>
      <c r="JBT267" s="184"/>
      <c r="JBU267" s="184"/>
      <c r="JBV267" s="184"/>
      <c r="JCC267" s="186"/>
      <c r="JCD267" s="183"/>
      <c r="JCE267" s="184"/>
      <c r="JCF267" s="184"/>
      <c r="JCG267" s="184"/>
      <c r="JCH267" s="184"/>
      <c r="JCI267" s="184"/>
      <c r="JCJ267" s="184"/>
      <c r="JCK267" s="184"/>
      <c r="JCR267" s="186"/>
      <c r="JCS267" s="183"/>
      <c r="JCT267" s="184"/>
      <c r="JCU267" s="184"/>
      <c r="JCV267" s="184"/>
      <c r="JCW267" s="184"/>
      <c r="JCX267" s="184"/>
      <c r="JCY267" s="184"/>
      <c r="JCZ267" s="184"/>
      <c r="JDG267" s="186"/>
      <c r="JDH267" s="183"/>
      <c r="JDI267" s="184"/>
      <c r="JDJ267" s="184"/>
      <c r="JDK267" s="184"/>
      <c r="JDL267" s="184"/>
      <c r="JDM267" s="184"/>
      <c r="JDN267" s="184"/>
      <c r="JDO267" s="184"/>
      <c r="JDV267" s="186"/>
      <c r="JDW267" s="183"/>
      <c r="JDX267" s="184"/>
      <c r="JDY267" s="184"/>
      <c r="JDZ267" s="184"/>
      <c r="JEA267" s="184"/>
      <c r="JEB267" s="184"/>
      <c r="JEC267" s="184"/>
      <c r="JED267" s="184"/>
      <c r="JEK267" s="186"/>
      <c r="JEL267" s="183"/>
      <c r="JEM267" s="184"/>
      <c r="JEN267" s="184"/>
      <c r="JEO267" s="184"/>
      <c r="JEP267" s="184"/>
      <c r="JEQ267" s="184"/>
      <c r="JER267" s="184"/>
      <c r="JES267" s="184"/>
      <c r="JEZ267" s="186"/>
      <c r="JFA267" s="183"/>
      <c r="JFB267" s="184"/>
      <c r="JFC267" s="184"/>
      <c r="JFD267" s="184"/>
      <c r="JFE267" s="184"/>
      <c r="JFF267" s="184"/>
      <c r="JFG267" s="184"/>
      <c r="JFH267" s="184"/>
      <c r="JFO267" s="186"/>
      <c r="JFP267" s="183"/>
      <c r="JFQ267" s="184"/>
      <c r="JFR267" s="184"/>
      <c r="JFS267" s="184"/>
      <c r="JFT267" s="184"/>
      <c r="JFU267" s="184"/>
      <c r="JFV267" s="184"/>
      <c r="JFW267" s="184"/>
      <c r="JGD267" s="186"/>
      <c r="JGE267" s="183"/>
      <c r="JGF267" s="184"/>
      <c r="JGG267" s="184"/>
      <c r="JGH267" s="184"/>
      <c r="JGI267" s="184"/>
      <c r="JGJ267" s="184"/>
      <c r="JGK267" s="184"/>
      <c r="JGL267" s="184"/>
      <c r="JGS267" s="186"/>
      <c r="JGT267" s="183"/>
      <c r="JGU267" s="184"/>
      <c r="JGV267" s="184"/>
      <c r="JGW267" s="184"/>
      <c r="JGX267" s="184"/>
      <c r="JGY267" s="184"/>
      <c r="JGZ267" s="184"/>
      <c r="JHA267" s="184"/>
      <c r="JHH267" s="186"/>
      <c r="JHI267" s="183"/>
      <c r="JHJ267" s="184"/>
      <c r="JHK267" s="184"/>
      <c r="JHL267" s="184"/>
      <c r="JHM267" s="184"/>
      <c r="JHN267" s="184"/>
      <c r="JHO267" s="184"/>
      <c r="JHP267" s="184"/>
      <c r="JHW267" s="186"/>
      <c r="JHX267" s="183"/>
      <c r="JHY267" s="184"/>
      <c r="JHZ267" s="184"/>
      <c r="JIA267" s="184"/>
      <c r="JIB267" s="184"/>
      <c r="JIC267" s="184"/>
      <c r="JID267" s="184"/>
      <c r="JIE267" s="184"/>
      <c r="JIL267" s="186"/>
      <c r="JIM267" s="183"/>
      <c r="JIN267" s="184"/>
      <c r="JIO267" s="184"/>
      <c r="JIP267" s="184"/>
      <c r="JIQ267" s="184"/>
      <c r="JIR267" s="184"/>
      <c r="JIS267" s="184"/>
      <c r="JIT267" s="184"/>
      <c r="JJA267" s="186"/>
      <c r="JJB267" s="183"/>
      <c r="JJC267" s="184"/>
      <c r="JJD267" s="184"/>
      <c r="JJE267" s="184"/>
      <c r="JJF267" s="184"/>
      <c r="JJG267" s="184"/>
      <c r="JJH267" s="184"/>
      <c r="JJI267" s="184"/>
      <c r="JJP267" s="186"/>
      <c r="JJQ267" s="183"/>
      <c r="JJR267" s="184"/>
      <c r="JJS267" s="184"/>
      <c r="JJT267" s="184"/>
      <c r="JJU267" s="184"/>
      <c r="JJV267" s="184"/>
      <c r="JJW267" s="184"/>
      <c r="JJX267" s="184"/>
      <c r="JKE267" s="186"/>
      <c r="JKF267" s="183"/>
      <c r="JKG267" s="184"/>
      <c r="JKH267" s="184"/>
      <c r="JKI267" s="184"/>
      <c r="JKJ267" s="184"/>
      <c r="JKK267" s="184"/>
      <c r="JKL267" s="184"/>
      <c r="JKM267" s="184"/>
      <c r="JKT267" s="186"/>
      <c r="JKU267" s="183"/>
      <c r="JKV267" s="184"/>
      <c r="JKW267" s="184"/>
      <c r="JKX267" s="184"/>
      <c r="JKY267" s="184"/>
      <c r="JKZ267" s="184"/>
      <c r="JLA267" s="184"/>
      <c r="JLB267" s="184"/>
      <c r="JLI267" s="186"/>
      <c r="JLJ267" s="183"/>
      <c r="JLK267" s="184"/>
      <c r="JLL267" s="184"/>
      <c r="JLM267" s="184"/>
      <c r="JLN267" s="184"/>
      <c r="JLO267" s="184"/>
      <c r="JLP267" s="184"/>
      <c r="JLQ267" s="184"/>
      <c r="JLX267" s="186"/>
      <c r="JLY267" s="183"/>
      <c r="JLZ267" s="184"/>
      <c r="JMA267" s="184"/>
      <c r="JMB267" s="184"/>
      <c r="JMC267" s="184"/>
      <c r="JMD267" s="184"/>
      <c r="JME267" s="184"/>
      <c r="JMF267" s="184"/>
      <c r="JMM267" s="186"/>
      <c r="JMN267" s="183"/>
      <c r="JMO267" s="184"/>
      <c r="JMP267" s="184"/>
      <c r="JMQ267" s="184"/>
      <c r="JMR267" s="184"/>
      <c r="JMS267" s="184"/>
      <c r="JMT267" s="184"/>
      <c r="JMU267" s="184"/>
      <c r="JNB267" s="186"/>
      <c r="JNC267" s="183"/>
      <c r="JND267" s="184"/>
      <c r="JNE267" s="184"/>
      <c r="JNF267" s="184"/>
      <c r="JNG267" s="184"/>
      <c r="JNH267" s="184"/>
      <c r="JNI267" s="184"/>
      <c r="JNJ267" s="184"/>
      <c r="JNQ267" s="186"/>
      <c r="JNR267" s="183"/>
      <c r="JNS267" s="184"/>
      <c r="JNT267" s="184"/>
      <c r="JNU267" s="184"/>
      <c r="JNV267" s="184"/>
      <c r="JNW267" s="184"/>
      <c r="JNX267" s="184"/>
      <c r="JNY267" s="184"/>
      <c r="JOF267" s="186"/>
      <c r="JOG267" s="183"/>
      <c r="JOH267" s="184"/>
      <c r="JOI267" s="184"/>
      <c r="JOJ267" s="184"/>
      <c r="JOK267" s="184"/>
      <c r="JOL267" s="184"/>
      <c r="JOM267" s="184"/>
      <c r="JON267" s="184"/>
      <c r="JOU267" s="186"/>
      <c r="JOV267" s="183"/>
      <c r="JOW267" s="184"/>
      <c r="JOX267" s="184"/>
      <c r="JOY267" s="184"/>
      <c r="JOZ267" s="184"/>
      <c r="JPA267" s="184"/>
      <c r="JPB267" s="184"/>
      <c r="JPC267" s="184"/>
      <c r="JPJ267" s="186"/>
      <c r="JPK267" s="183"/>
      <c r="JPL267" s="184"/>
      <c r="JPM267" s="184"/>
      <c r="JPN267" s="184"/>
      <c r="JPO267" s="184"/>
      <c r="JPP267" s="184"/>
      <c r="JPQ267" s="184"/>
      <c r="JPR267" s="184"/>
      <c r="JPY267" s="186"/>
      <c r="JPZ267" s="183"/>
      <c r="JQA267" s="184"/>
      <c r="JQB267" s="184"/>
      <c r="JQC267" s="184"/>
      <c r="JQD267" s="184"/>
      <c r="JQE267" s="184"/>
      <c r="JQF267" s="184"/>
      <c r="JQG267" s="184"/>
      <c r="JQN267" s="186"/>
      <c r="JQO267" s="183"/>
      <c r="JQP267" s="184"/>
      <c r="JQQ267" s="184"/>
      <c r="JQR267" s="184"/>
      <c r="JQS267" s="184"/>
      <c r="JQT267" s="184"/>
      <c r="JQU267" s="184"/>
      <c r="JQV267" s="184"/>
      <c r="JRC267" s="186"/>
      <c r="JRD267" s="183"/>
      <c r="JRE267" s="184"/>
      <c r="JRF267" s="184"/>
      <c r="JRG267" s="184"/>
      <c r="JRH267" s="184"/>
      <c r="JRI267" s="184"/>
      <c r="JRJ267" s="184"/>
      <c r="JRK267" s="184"/>
      <c r="JRR267" s="186"/>
      <c r="JRS267" s="183"/>
      <c r="JRT267" s="184"/>
      <c r="JRU267" s="184"/>
      <c r="JRV267" s="184"/>
      <c r="JRW267" s="184"/>
      <c r="JRX267" s="184"/>
      <c r="JRY267" s="184"/>
      <c r="JRZ267" s="184"/>
      <c r="JSG267" s="186"/>
      <c r="JSH267" s="183"/>
      <c r="JSI267" s="184"/>
      <c r="JSJ267" s="184"/>
      <c r="JSK267" s="184"/>
      <c r="JSL267" s="184"/>
      <c r="JSM267" s="184"/>
      <c r="JSN267" s="184"/>
      <c r="JSO267" s="184"/>
      <c r="JSV267" s="186"/>
      <c r="JSW267" s="183"/>
      <c r="JSX267" s="184"/>
      <c r="JSY267" s="184"/>
      <c r="JSZ267" s="184"/>
      <c r="JTA267" s="184"/>
      <c r="JTB267" s="184"/>
      <c r="JTC267" s="184"/>
      <c r="JTD267" s="184"/>
      <c r="JTK267" s="186"/>
      <c r="JTL267" s="183"/>
      <c r="JTM267" s="184"/>
      <c r="JTN267" s="184"/>
      <c r="JTO267" s="184"/>
      <c r="JTP267" s="184"/>
      <c r="JTQ267" s="184"/>
      <c r="JTR267" s="184"/>
      <c r="JTS267" s="184"/>
      <c r="JTZ267" s="186"/>
      <c r="JUA267" s="183"/>
      <c r="JUB267" s="184"/>
      <c r="JUC267" s="184"/>
      <c r="JUD267" s="184"/>
      <c r="JUE267" s="184"/>
      <c r="JUF267" s="184"/>
      <c r="JUG267" s="184"/>
      <c r="JUH267" s="184"/>
      <c r="JUO267" s="186"/>
      <c r="JUP267" s="183"/>
      <c r="JUQ267" s="184"/>
      <c r="JUR267" s="184"/>
      <c r="JUS267" s="184"/>
      <c r="JUT267" s="184"/>
      <c r="JUU267" s="184"/>
      <c r="JUV267" s="184"/>
      <c r="JUW267" s="184"/>
      <c r="JVD267" s="186"/>
      <c r="JVE267" s="183"/>
      <c r="JVF267" s="184"/>
      <c r="JVG267" s="184"/>
      <c r="JVH267" s="184"/>
      <c r="JVI267" s="184"/>
      <c r="JVJ267" s="184"/>
      <c r="JVK267" s="184"/>
      <c r="JVL267" s="184"/>
      <c r="JVS267" s="186"/>
      <c r="JVT267" s="183"/>
      <c r="JVU267" s="184"/>
      <c r="JVV267" s="184"/>
      <c r="JVW267" s="184"/>
      <c r="JVX267" s="184"/>
      <c r="JVY267" s="184"/>
      <c r="JVZ267" s="184"/>
      <c r="JWA267" s="184"/>
      <c r="JWH267" s="186"/>
      <c r="JWI267" s="183"/>
      <c r="JWJ267" s="184"/>
      <c r="JWK267" s="184"/>
      <c r="JWL267" s="184"/>
      <c r="JWM267" s="184"/>
      <c r="JWN267" s="184"/>
      <c r="JWO267" s="184"/>
      <c r="JWP267" s="184"/>
      <c r="JWW267" s="186"/>
      <c r="JWX267" s="183"/>
      <c r="JWY267" s="184"/>
      <c r="JWZ267" s="184"/>
      <c r="JXA267" s="184"/>
      <c r="JXB267" s="184"/>
      <c r="JXC267" s="184"/>
      <c r="JXD267" s="184"/>
      <c r="JXE267" s="184"/>
      <c r="JXL267" s="186"/>
      <c r="JXM267" s="183"/>
      <c r="JXN267" s="184"/>
      <c r="JXO267" s="184"/>
      <c r="JXP267" s="184"/>
      <c r="JXQ267" s="184"/>
      <c r="JXR267" s="184"/>
      <c r="JXS267" s="184"/>
      <c r="JXT267" s="184"/>
      <c r="JYA267" s="186"/>
      <c r="JYB267" s="183"/>
      <c r="JYC267" s="184"/>
      <c r="JYD267" s="184"/>
      <c r="JYE267" s="184"/>
      <c r="JYF267" s="184"/>
      <c r="JYG267" s="184"/>
      <c r="JYH267" s="184"/>
      <c r="JYI267" s="184"/>
      <c r="JYP267" s="186"/>
      <c r="JYQ267" s="183"/>
      <c r="JYR267" s="184"/>
      <c r="JYS267" s="184"/>
      <c r="JYT267" s="184"/>
      <c r="JYU267" s="184"/>
      <c r="JYV267" s="184"/>
      <c r="JYW267" s="184"/>
      <c r="JYX267" s="184"/>
      <c r="JZE267" s="186"/>
      <c r="JZF267" s="183"/>
      <c r="JZG267" s="184"/>
      <c r="JZH267" s="184"/>
      <c r="JZI267" s="184"/>
      <c r="JZJ267" s="184"/>
      <c r="JZK267" s="184"/>
      <c r="JZL267" s="184"/>
      <c r="JZM267" s="184"/>
      <c r="JZT267" s="186"/>
      <c r="JZU267" s="183"/>
      <c r="JZV267" s="184"/>
      <c r="JZW267" s="184"/>
      <c r="JZX267" s="184"/>
      <c r="JZY267" s="184"/>
      <c r="JZZ267" s="184"/>
      <c r="KAA267" s="184"/>
      <c r="KAB267" s="184"/>
      <c r="KAI267" s="186"/>
      <c r="KAJ267" s="183"/>
      <c r="KAK267" s="184"/>
      <c r="KAL267" s="184"/>
      <c r="KAM267" s="184"/>
      <c r="KAN267" s="184"/>
      <c r="KAO267" s="184"/>
      <c r="KAP267" s="184"/>
      <c r="KAQ267" s="184"/>
      <c r="KAX267" s="186"/>
      <c r="KAY267" s="183"/>
      <c r="KAZ267" s="184"/>
      <c r="KBA267" s="184"/>
      <c r="KBB267" s="184"/>
      <c r="KBC267" s="184"/>
      <c r="KBD267" s="184"/>
      <c r="KBE267" s="184"/>
      <c r="KBF267" s="184"/>
      <c r="KBM267" s="186"/>
      <c r="KBN267" s="183"/>
      <c r="KBO267" s="184"/>
      <c r="KBP267" s="184"/>
      <c r="KBQ267" s="184"/>
      <c r="KBR267" s="184"/>
      <c r="KBS267" s="184"/>
      <c r="KBT267" s="184"/>
      <c r="KBU267" s="184"/>
      <c r="KCB267" s="186"/>
      <c r="KCC267" s="183"/>
      <c r="KCD267" s="184"/>
      <c r="KCE267" s="184"/>
      <c r="KCF267" s="184"/>
      <c r="KCG267" s="184"/>
      <c r="KCH267" s="184"/>
      <c r="KCI267" s="184"/>
      <c r="KCJ267" s="184"/>
      <c r="KCQ267" s="186"/>
      <c r="KCR267" s="183"/>
      <c r="KCS267" s="184"/>
      <c r="KCT267" s="184"/>
      <c r="KCU267" s="184"/>
      <c r="KCV267" s="184"/>
      <c r="KCW267" s="184"/>
      <c r="KCX267" s="184"/>
      <c r="KCY267" s="184"/>
      <c r="KDF267" s="186"/>
      <c r="KDG267" s="183"/>
      <c r="KDH267" s="184"/>
      <c r="KDI267" s="184"/>
      <c r="KDJ267" s="184"/>
      <c r="KDK267" s="184"/>
      <c r="KDL267" s="184"/>
      <c r="KDM267" s="184"/>
      <c r="KDN267" s="184"/>
      <c r="KDU267" s="186"/>
      <c r="KDV267" s="183"/>
      <c r="KDW267" s="184"/>
      <c r="KDX267" s="184"/>
      <c r="KDY267" s="184"/>
      <c r="KDZ267" s="184"/>
      <c r="KEA267" s="184"/>
      <c r="KEB267" s="184"/>
      <c r="KEC267" s="184"/>
      <c r="KEJ267" s="186"/>
      <c r="KEK267" s="183"/>
      <c r="KEL267" s="184"/>
      <c r="KEM267" s="184"/>
      <c r="KEN267" s="184"/>
      <c r="KEO267" s="184"/>
      <c r="KEP267" s="184"/>
      <c r="KEQ267" s="184"/>
      <c r="KER267" s="184"/>
      <c r="KEY267" s="186"/>
      <c r="KEZ267" s="183"/>
      <c r="KFA267" s="184"/>
      <c r="KFB267" s="184"/>
      <c r="KFC267" s="184"/>
      <c r="KFD267" s="184"/>
      <c r="KFE267" s="184"/>
      <c r="KFF267" s="184"/>
      <c r="KFG267" s="184"/>
      <c r="KFN267" s="186"/>
      <c r="KFO267" s="183"/>
      <c r="KFP267" s="184"/>
      <c r="KFQ267" s="184"/>
      <c r="KFR267" s="184"/>
      <c r="KFS267" s="184"/>
      <c r="KFT267" s="184"/>
      <c r="KFU267" s="184"/>
      <c r="KFV267" s="184"/>
      <c r="KGC267" s="186"/>
      <c r="KGD267" s="183"/>
      <c r="KGE267" s="184"/>
      <c r="KGF267" s="184"/>
      <c r="KGG267" s="184"/>
      <c r="KGH267" s="184"/>
      <c r="KGI267" s="184"/>
      <c r="KGJ267" s="184"/>
      <c r="KGK267" s="184"/>
      <c r="KGR267" s="186"/>
      <c r="KGS267" s="183"/>
      <c r="KGT267" s="184"/>
      <c r="KGU267" s="184"/>
      <c r="KGV267" s="184"/>
      <c r="KGW267" s="184"/>
      <c r="KGX267" s="184"/>
      <c r="KGY267" s="184"/>
      <c r="KGZ267" s="184"/>
      <c r="KHG267" s="186"/>
      <c r="KHH267" s="183"/>
      <c r="KHI267" s="184"/>
      <c r="KHJ267" s="184"/>
      <c r="KHK267" s="184"/>
      <c r="KHL267" s="184"/>
      <c r="KHM267" s="184"/>
      <c r="KHN267" s="184"/>
      <c r="KHO267" s="184"/>
      <c r="KHV267" s="186"/>
      <c r="KHW267" s="183"/>
      <c r="KHX267" s="184"/>
      <c r="KHY267" s="184"/>
      <c r="KHZ267" s="184"/>
      <c r="KIA267" s="184"/>
      <c r="KIB267" s="184"/>
      <c r="KIC267" s="184"/>
      <c r="KID267" s="184"/>
      <c r="KIK267" s="186"/>
      <c r="KIL267" s="183"/>
      <c r="KIM267" s="184"/>
      <c r="KIN267" s="184"/>
      <c r="KIO267" s="184"/>
      <c r="KIP267" s="184"/>
      <c r="KIQ267" s="184"/>
      <c r="KIR267" s="184"/>
      <c r="KIS267" s="184"/>
      <c r="KIZ267" s="186"/>
      <c r="KJA267" s="183"/>
      <c r="KJB267" s="184"/>
      <c r="KJC267" s="184"/>
      <c r="KJD267" s="184"/>
      <c r="KJE267" s="184"/>
      <c r="KJF267" s="184"/>
      <c r="KJG267" s="184"/>
      <c r="KJH267" s="184"/>
      <c r="KJO267" s="186"/>
      <c r="KJP267" s="183"/>
      <c r="KJQ267" s="184"/>
      <c r="KJR267" s="184"/>
      <c r="KJS267" s="184"/>
      <c r="KJT267" s="184"/>
      <c r="KJU267" s="184"/>
      <c r="KJV267" s="184"/>
      <c r="KJW267" s="184"/>
      <c r="KKD267" s="186"/>
      <c r="KKE267" s="183"/>
      <c r="KKF267" s="184"/>
      <c r="KKG267" s="184"/>
      <c r="KKH267" s="184"/>
      <c r="KKI267" s="184"/>
      <c r="KKJ267" s="184"/>
      <c r="KKK267" s="184"/>
      <c r="KKL267" s="184"/>
      <c r="KKS267" s="186"/>
      <c r="KKT267" s="183"/>
      <c r="KKU267" s="184"/>
      <c r="KKV267" s="184"/>
      <c r="KKW267" s="184"/>
      <c r="KKX267" s="184"/>
      <c r="KKY267" s="184"/>
      <c r="KKZ267" s="184"/>
      <c r="KLA267" s="184"/>
      <c r="KLH267" s="186"/>
      <c r="KLI267" s="183"/>
      <c r="KLJ267" s="184"/>
      <c r="KLK267" s="184"/>
      <c r="KLL267" s="184"/>
      <c r="KLM267" s="184"/>
      <c r="KLN267" s="184"/>
      <c r="KLO267" s="184"/>
      <c r="KLP267" s="184"/>
      <c r="KLW267" s="186"/>
      <c r="KLX267" s="183"/>
      <c r="KLY267" s="184"/>
      <c r="KLZ267" s="184"/>
      <c r="KMA267" s="184"/>
      <c r="KMB267" s="184"/>
      <c r="KMC267" s="184"/>
      <c r="KMD267" s="184"/>
      <c r="KME267" s="184"/>
      <c r="KML267" s="186"/>
      <c r="KMM267" s="183"/>
      <c r="KMN267" s="184"/>
      <c r="KMO267" s="184"/>
      <c r="KMP267" s="184"/>
      <c r="KMQ267" s="184"/>
      <c r="KMR267" s="184"/>
      <c r="KMS267" s="184"/>
      <c r="KMT267" s="184"/>
      <c r="KNA267" s="186"/>
      <c r="KNB267" s="183"/>
      <c r="KNC267" s="184"/>
      <c r="KND267" s="184"/>
      <c r="KNE267" s="184"/>
      <c r="KNF267" s="184"/>
      <c r="KNG267" s="184"/>
      <c r="KNH267" s="184"/>
      <c r="KNI267" s="184"/>
      <c r="KNP267" s="186"/>
      <c r="KNQ267" s="183"/>
      <c r="KNR267" s="184"/>
      <c r="KNS267" s="184"/>
      <c r="KNT267" s="184"/>
      <c r="KNU267" s="184"/>
      <c r="KNV267" s="184"/>
      <c r="KNW267" s="184"/>
      <c r="KNX267" s="184"/>
      <c r="KOE267" s="186"/>
      <c r="KOF267" s="183"/>
      <c r="KOG267" s="184"/>
      <c r="KOH267" s="184"/>
      <c r="KOI267" s="184"/>
      <c r="KOJ267" s="184"/>
      <c r="KOK267" s="184"/>
      <c r="KOL267" s="184"/>
      <c r="KOM267" s="184"/>
      <c r="KOT267" s="186"/>
      <c r="KOU267" s="183"/>
      <c r="KOV267" s="184"/>
      <c r="KOW267" s="184"/>
      <c r="KOX267" s="184"/>
      <c r="KOY267" s="184"/>
      <c r="KOZ267" s="184"/>
      <c r="KPA267" s="184"/>
      <c r="KPB267" s="184"/>
      <c r="KPI267" s="186"/>
      <c r="KPJ267" s="183"/>
      <c r="KPK267" s="184"/>
      <c r="KPL267" s="184"/>
      <c r="KPM267" s="184"/>
      <c r="KPN267" s="184"/>
      <c r="KPO267" s="184"/>
      <c r="KPP267" s="184"/>
      <c r="KPQ267" s="184"/>
      <c r="KPX267" s="186"/>
      <c r="KPY267" s="183"/>
      <c r="KPZ267" s="184"/>
      <c r="KQA267" s="184"/>
      <c r="KQB267" s="184"/>
      <c r="KQC267" s="184"/>
      <c r="KQD267" s="184"/>
      <c r="KQE267" s="184"/>
      <c r="KQF267" s="184"/>
      <c r="KQM267" s="186"/>
      <c r="KQN267" s="183"/>
      <c r="KQO267" s="184"/>
      <c r="KQP267" s="184"/>
      <c r="KQQ267" s="184"/>
      <c r="KQR267" s="184"/>
      <c r="KQS267" s="184"/>
      <c r="KQT267" s="184"/>
      <c r="KQU267" s="184"/>
      <c r="KRB267" s="186"/>
      <c r="KRC267" s="183"/>
      <c r="KRD267" s="184"/>
      <c r="KRE267" s="184"/>
      <c r="KRF267" s="184"/>
      <c r="KRG267" s="184"/>
      <c r="KRH267" s="184"/>
      <c r="KRI267" s="184"/>
      <c r="KRJ267" s="184"/>
      <c r="KRQ267" s="186"/>
      <c r="KRR267" s="183"/>
      <c r="KRS267" s="184"/>
      <c r="KRT267" s="184"/>
      <c r="KRU267" s="184"/>
      <c r="KRV267" s="184"/>
      <c r="KRW267" s="184"/>
      <c r="KRX267" s="184"/>
      <c r="KRY267" s="184"/>
      <c r="KSF267" s="186"/>
      <c r="KSG267" s="183"/>
      <c r="KSH267" s="184"/>
      <c r="KSI267" s="184"/>
      <c r="KSJ267" s="184"/>
      <c r="KSK267" s="184"/>
      <c r="KSL267" s="184"/>
      <c r="KSM267" s="184"/>
      <c r="KSN267" s="184"/>
      <c r="KSU267" s="186"/>
      <c r="KSV267" s="183"/>
      <c r="KSW267" s="184"/>
      <c r="KSX267" s="184"/>
      <c r="KSY267" s="184"/>
      <c r="KSZ267" s="184"/>
      <c r="KTA267" s="184"/>
      <c r="KTB267" s="184"/>
      <c r="KTC267" s="184"/>
      <c r="KTJ267" s="186"/>
      <c r="KTK267" s="183"/>
      <c r="KTL267" s="184"/>
      <c r="KTM267" s="184"/>
      <c r="KTN267" s="184"/>
      <c r="KTO267" s="184"/>
      <c r="KTP267" s="184"/>
      <c r="KTQ267" s="184"/>
      <c r="KTR267" s="184"/>
      <c r="KTY267" s="186"/>
      <c r="KTZ267" s="183"/>
      <c r="KUA267" s="184"/>
      <c r="KUB267" s="184"/>
      <c r="KUC267" s="184"/>
      <c r="KUD267" s="184"/>
      <c r="KUE267" s="184"/>
      <c r="KUF267" s="184"/>
      <c r="KUG267" s="184"/>
      <c r="KUN267" s="186"/>
      <c r="KUO267" s="183"/>
      <c r="KUP267" s="184"/>
      <c r="KUQ267" s="184"/>
      <c r="KUR267" s="184"/>
      <c r="KUS267" s="184"/>
      <c r="KUT267" s="184"/>
      <c r="KUU267" s="184"/>
      <c r="KUV267" s="184"/>
      <c r="KVC267" s="186"/>
      <c r="KVD267" s="183"/>
      <c r="KVE267" s="184"/>
      <c r="KVF267" s="184"/>
      <c r="KVG267" s="184"/>
      <c r="KVH267" s="184"/>
      <c r="KVI267" s="184"/>
      <c r="KVJ267" s="184"/>
      <c r="KVK267" s="184"/>
      <c r="KVR267" s="186"/>
      <c r="KVS267" s="183"/>
      <c r="KVT267" s="184"/>
      <c r="KVU267" s="184"/>
      <c r="KVV267" s="184"/>
      <c r="KVW267" s="184"/>
      <c r="KVX267" s="184"/>
      <c r="KVY267" s="184"/>
      <c r="KVZ267" s="184"/>
      <c r="KWG267" s="186"/>
      <c r="KWH267" s="183"/>
      <c r="KWI267" s="184"/>
      <c r="KWJ267" s="184"/>
      <c r="KWK267" s="184"/>
      <c r="KWL267" s="184"/>
      <c r="KWM267" s="184"/>
      <c r="KWN267" s="184"/>
      <c r="KWO267" s="184"/>
      <c r="KWV267" s="186"/>
      <c r="KWW267" s="183"/>
      <c r="KWX267" s="184"/>
      <c r="KWY267" s="184"/>
      <c r="KWZ267" s="184"/>
      <c r="KXA267" s="184"/>
      <c r="KXB267" s="184"/>
      <c r="KXC267" s="184"/>
      <c r="KXD267" s="184"/>
      <c r="KXK267" s="186"/>
      <c r="KXL267" s="183"/>
      <c r="KXM267" s="184"/>
      <c r="KXN267" s="184"/>
      <c r="KXO267" s="184"/>
      <c r="KXP267" s="184"/>
      <c r="KXQ267" s="184"/>
      <c r="KXR267" s="184"/>
      <c r="KXS267" s="184"/>
      <c r="KXZ267" s="186"/>
      <c r="KYA267" s="183"/>
      <c r="KYB267" s="184"/>
      <c r="KYC267" s="184"/>
      <c r="KYD267" s="184"/>
      <c r="KYE267" s="184"/>
      <c r="KYF267" s="184"/>
      <c r="KYG267" s="184"/>
      <c r="KYH267" s="184"/>
      <c r="KYO267" s="186"/>
      <c r="KYP267" s="183"/>
      <c r="KYQ267" s="184"/>
      <c r="KYR267" s="184"/>
      <c r="KYS267" s="184"/>
      <c r="KYT267" s="184"/>
      <c r="KYU267" s="184"/>
      <c r="KYV267" s="184"/>
      <c r="KYW267" s="184"/>
      <c r="KZD267" s="186"/>
      <c r="KZE267" s="183"/>
      <c r="KZF267" s="184"/>
      <c r="KZG267" s="184"/>
      <c r="KZH267" s="184"/>
      <c r="KZI267" s="184"/>
      <c r="KZJ267" s="184"/>
      <c r="KZK267" s="184"/>
      <c r="KZL267" s="184"/>
      <c r="KZS267" s="186"/>
      <c r="KZT267" s="183"/>
      <c r="KZU267" s="184"/>
      <c r="KZV267" s="184"/>
      <c r="KZW267" s="184"/>
      <c r="KZX267" s="184"/>
      <c r="KZY267" s="184"/>
      <c r="KZZ267" s="184"/>
      <c r="LAA267" s="184"/>
      <c r="LAH267" s="186"/>
      <c r="LAI267" s="183"/>
      <c r="LAJ267" s="184"/>
      <c r="LAK267" s="184"/>
      <c r="LAL267" s="184"/>
      <c r="LAM267" s="184"/>
      <c r="LAN267" s="184"/>
      <c r="LAO267" s="184"/>
      <c r="LAP267" s="184"/>
      <c r="LAW267" s="186"/>
      <c r="LAX267" s="183"/>
      <c r="LAY267" s="184"/>
      <c r="LAZ267" s="184"/>
      <c r="LBA267" s="184"/>
      <c r="LBB267" s="184"/>
      <c r="LBC267" s="184"/>
      <c r="LBD267" s="184"/>
      <c r="LBE267" s="184"/>
      <c r="LBL267" s="186"/>
      <c r="LBM267" s="183"/>
      <c r="LBN267" s="184"/>
      <c r="LBO267" s="184"/>
      <c r="LBP267" s="184"/>
      <c r="LBQ267" s="184"/>
      <c r="LBR267" s="184"/>
      <c r="LBS267" s="184"/>
      <c r="LBT267" s="184"/>
      <c r="LCA267" s="186"/>
      <c r="LCB267" s="183"/>
      <c r="LCC267" s="184"/>
      <c r="LCD267" s="184"/>
      <c r="LCE267" s="184"/>
      <c r="LCF267" s="184"/>
      <c r="LCG267" s="184"/>
      <c r="LCH267" s="184"/>
      <c r="LCI267" s="184"/>
      <c r="LCP267" s="186"/>
      <c r="LCQ267" s="183"/>
      <c r="LCR267" s="184"/>
      <c r="LCS267" s="184"/>
      <c r="LCT267" s="184"/>
      <c r="LCU267" s="184"/>
      <c r="LCV267" s="184"/>
      <c r="LCW267" s="184"/>
      <c r="LCX267" s="184"/>
      <c r="LDE267" s="186"/>
      <c r="LDF267" s="183"/>
      <c r="LDG267" s="184"/>
      <c r="LDH267" s="184"/>
      <c r="LDI267" s="184"/>
      <c r="LDJ267" s="184"/>
      <c r="LDK267" s="184"/>
      <c r="LDL267" s="184"/>
      <c r="LDM267" s="184"/>
      <c r="LDT267" s="186"/>
      <c r="LDU267" s="183"/>
      <c r="LDV267" s="184"/>
      <c r="LDW267" s="184"/>
      <c r="LDX267" s="184"/>
      <c r="LDY267" s="184"/>
      <c r="LDZ267" s="184"/>
      <c r="LEA267" s="184"/>
      <c r="LEB267" s="184"/>
      <c r="LEI267" s="186"/>
      <c r="LEJ267" s="183"/>
      <c r="LEK267" s="184"/>
      <c r="LEL267" s="184"/>
      <c r="LEM267" s="184"/>
      <c r="LEN267" s="184"/>
      <c r="LEO267" s="184"/>
      <c r="LEP267" s="184"/>
      <c r="LEQ267" s="184"/>
      <c r="LEX267" s="186"/>
      <c r="LEY267" s="183"/>
      <c r="LEZ267" s="184"/>
      <c r="LFA267" s="184"/>
      <c r="LFB267" s="184"/>
      <c r="LFC267" s="184"/>
      <c r="LFD267" s="184"/>
      <c r="LFE267" s="184"/>
      <c r="LFF267" s="184"/>
      <c r="LFM267" s="186"/>
      <c r="LFN267" s="183"/>
      <c r="LFO267" s="184"/>
      <c r="LFP267" s="184"/>
      <c r="LFQ267" s="184"/>
      <c r="LFR267" s="184"/>
      <c r="LFS267" s="184"/>
      <c r="LFT267" s="184"/>
      <c r="LFU267" s="184"/>
      <c r="LGB267" s="186"/>
      <c r="LGC267" s="183"/>
      <c r="LGD267" s="184"/>
      <c r="LGE267" s="184"/>
      <c r="LGF267" s="184"/>
      <c r="LGG267" s="184"/>
      <c r="LGH267" s="184"/>
      <c r="LGI267" s="184"/>
      <c r="LGJ267" s="184"/>
      <c r="LGQ267" s="186"/>
      <c r="LGR267" s="183"/>
      <c r="LGS267" s="184"/>
      <c r="LGT267" s="184"/>
      <c r="LGU267" s="184"/>
      <c r="LGV267" s="184"/>
      <c r="LGW267" s="184"/>
      <c r="LGX267" s="184"/>
      <c r="LGY267" s="184"/>
      <c r="LHF267" s="186"/>
      <c r="LHG267" s="183"/>
      <c r="LHH267" s="184"/>
      <c r="LHI267" s="184"/>
      <c r="LHJ267" s="184"/>
      <c r="LHK267" s="184"/>
      <c r="LHL267" s="184"/>
      <c r="LHM267" s="184"/>
      <c r="LHN267" s="184"/>
      <c r="LHU267" s="186"/>
      <c r="LHV267" s="183"/>
      <c r="LHW267" s="184"/>
      <c r="LHX267" s="184"/>
      <c r="LHY267" s="184"/>
      <c r="LHZ267" s="184"/>
      <c r="LIA267" s="184"/>
      <c r="LIB267" s="184"/>
      <c r="LIC267" s="184"/>
      <c r="LIJ267" s="186"/>
      <c r="LIK267" s="183"/>
      <c r="LIL267" s="184"/>
      <c r="LIM267" s="184"/>
      <c r="LIN267" s="184"/>
      <c r="LIO267" s="184"/>
      <c r="LIP267" s="184"/>
      <c r="LIQ267" s="184"/>
      <c r="LIR267" s="184"/>
      <c r="LIY267" s="186"/>
      <c r="LIZ267" s="183"/>
      <c r="LJA267" s="184"/>
      <c r="LJB267" s="184"/>
      <c r="LJC267" s="184"/>
      <c r="LJD267" s="184"/>
      <c r="LJE267" s="184"/>
      <c r="LJF267" s="184"/>
      <c r="LJG267" s="184"/>
      <c r="LJN267" s="186"/>
      <c r="LJO267" s="183"/>
      <c r="LJP267" s="184"/>
      <c r="LJQ267" s="184"/>
      <c r="LJR267" s="184"/>
      <c r="LJS267" s="184"/>
      <c r="LJT267" s="184"/>
      <c r="LJU267" s="184"/>
      <c r="LJV267" s="184"/>
      <c r="LKC267" s="186"/>
      <c r="LKD267" s="183"/>
      <c r="LKE267" s="184"/>
      <c r="LKF267" s="184"/>
      <c r="LKG267" s="184"/>
      <c r="LKH267" s="184"/>
      <c r="LKI267" s="184"/>
      <c r="LKJ267" s="184"/>
      <c r="LKK267" s="184"/>
      <c r="LKR267" s="186"/>
      <c r="LKS267" s="183"/>
      <c r="LKT267" s="184"/>
      <c r="LKU267" s="184"/>
      <c r="LKV267" s="184"/>
      <c r="LKW267" s="184"/>
      <c r="LKX267" s="184"/>
      <c r="LKY267" s="184"/>
      <c r="LKZ267" s="184"/>
      <c r="LLG267" s="186"/>
      <c r="LLH267" s="183"/>
      <c r="LLI267" s="184"/>
      <c r="LLJ267" s="184"/>
      <c r="LLK267" s="184"/>
      <c r="LLL267" s="184"/>
      <c r="LLM267" s="184"/>
      <c r="LLN267" s="184"/>
      <c r="LLO267" s="184"/>
      <c r="LLV267" s="186"/>
      <c r="LLW267" s="183"/>
      <c r="LLX267" s="184"/>
      <c r="LLY267" s="184"/>
      <c r="LLZ267" s="184"/>
      <c r="LMA267" s="184"/>
      <c r="LMB267" s="184"/>
      <c r="LMC267" s="184"/>
      <c r="LMD267" s="184"/>
      <c r="LMK267" s="186"/>
      <c r="LML267" s="183"/>
      <c r="LMM267" s="184"/>
      <c r="LMN267" s="184"/>
      <c r="LMO267" s="184"/>
      <c r="LMP267" s="184"/>
      <c r="LMQ267" s="184"/>
      <c r="LMR267" s="184"/>
      <c r="LMS267" s="184"/>
      <c r="LMZ267" s="186"/>
      <c r="LNA267" s="183"/>
      <c r="LNB267" s="184"/>
      <c r="LNC267" s="184"/>
      <c r="LND267" s="184"/>
      <c r="LNE267" s="184"/>
      <c r="LNF267" s="184"/>
      <c r="LNG267" s="184"/>
      <c r="LNH267" s="184"/>
      <c r="LNO267" s="186"/>
      <c r="LNP267" s="183"/>
      <c r="LNQ267" s="184"/>
      <c r="LNR267" s="184"/>
      <c r="LNS267" s="184"/>
      <c r="LNT267" s="184"/>
      <c r="LNU267" s="184"/>
      <c r="LNV267" s="184"/>
      <c r="LNW267" s="184"/>
      <c r="LOD267" s="186"/>
      <c r="LOE267" s="183"/>
      <c r="LOF267" s="184"/>
      <c r="LOG267" s="184"/>
      <c r="LOH267" s="184"/>
      <c r="LOI267" s="184"/>
      <c r="LOJ267" s="184"/>
      <c r="LOK267" s="184"/>
      <c r="LOL267" s="184"/>
      <c r="LOS267" s="186"/>
      <c r="LOT267" s="183"/>
      <c r="LOU267" s="184"/>
      <c r="LOV267" s="184"/>
      <c r="LOW267" s="184"/>
      <c r="LOX267" s="184"/>
      <c r="LOY267" s="184"/>
      <c r="LOZ267" s="184"/>
      <c r="LPA267" s="184"/>
      <c r="LPH267" s="186"/>
      <c r="LPI267" s="183"/>
      <c r="LPJ267" s="184"/>
      <c r="LPK267" s="184"/>
      <c r="LPL267" s="184"/>
      <c r="LPM267" s="184"/>
      <c r="LPN267" s="184"/>
      <c r="LPO267" s="184"/>
      <c r="LPP267" s="184"/>
      <c r="LPW267" s="186"/>
      <c r="LPX267" s="183"/>
      <c r="LPY267" s="184"/>
      <c r="LPZ267" s="184"/>
      <c r="LQA267" s="184"/>
      <c r="LQB267" s="184"/>
      <c r="LQC267" s="184"/>
      <c r="LQD267" s="184"/>
      <c r="LQE267" s="184"/>
      <c r="LQL267" s="186"/>
      <c r="LQM267" s="183"/>
      <c r="LQN267" s="184"/>
      <c r="LQO267" s="184"/>
      <c r="LQP267" s="184"/>
      <c r="LQQ267" s="184"/>
      <c r="LQR267" s="184"/>
      <c r="LQS267" s="184"/>
      <c r="LQT267" s="184"/>
      <c r="LRA267" s="186"/>
      <c r="LRB267" s="183"/>
      <c r="LRC267" s="184"/>
      <c r="LRD267" s="184"/>
      <c r="LRE267" s="184"/>
      <c r="LRF267" s="184"/>
      <c r="LRG267" s="184"/>
      <c r="LRH267" s="184"/>
      <c r="LRI267" s="184"/>
      <c r="LRP267" s="186"/>
      <c r="LRQ267" s="183"/>
      <c r="LRR267" s="184"/>
      <c r="LRS267" s="184"/>
      <c r="LRT267" s="184"/>
      <c r="LRU267" s="184"/>
      <c r="LRV267" s="184"/>
      <c r="LRW267" s="184"/>
      <c r="LRX267" s="184"/>
      <c r="LSE267" s="186"/>
      <c r="LSF267" s="183"/>
      <c r="LSG267" s="184"/>
      <c r="LSH267" s="184"/>
      <c r="LSI267" s="184"/>
      <c r="LSJ267" s="184"/>
      <c r="LSK267" s="184"/>
      <c r="LSL267" s="184"/>
      <c r="LSM267" s="184"/>
      <c r="LST267" s="186"/>
      <c r="LSU267" s="183"/>
      <c r="LSV267" s="184"/>
      <c r="LSW267" s="184"/>
      <c r="LSX267" s="184"/>
      <c r="LSY267" s="184"/>
      <c r="LSZ267" s="184"/>
      <c r="LTA267" s="184"/>
      <c r="LTB267" s="184"/>
      <c r="LTI267" s="186"/>
      <c r="LTJ267" s="183"/>
      <c r="LTK267" s="184"/>
      <c r="LTL267" s="184"/>
      <c r="LTM267" s="184"/>
      <c r="LTN267" s="184"/>
      <c r="LTO267" s="184"/>
      <c r="LTP267" s="184"/>
      <c r="LTQ267" s="184"/>
      <c r="LTX267" s="186"/>
      <c r="LTY267" s="183"/>
      <c r="LTZ267" s="184"/>
      <c r="LUA267" s="184"/>
      <c r="LUB267" s="184"/>
      <c r="LUC267" s="184"/>
      <c r="LUD267" s="184"/>
      <c r="LUE267" s="184"/>
      <c r="LUF267" s="184"/>
      <c r="LUM267" s="186"/>
      <c r="LUN267" s="183"/>
      <c r="LUO267" s="184"/>
      <c r="LUP267" s="184"/>
      <c r="LUQ267" s="184"/>
      <c r="LUR267" s="184"/>
      <c r="LUS267" s="184"/>
      <c r="LUT267" s="184"/>
      <c r="LUU267" s="184"/>
      <c r="LVB267" s="186"/>
      <c r="LVC267" s="183"/>
      <c r="LVD267" s="184"/>
      <c r="LVE267" s="184"/>
      <c r="LVF267" s="184"/>
      <c r="LVG267" s="184"/>
      <c r="LVH267" s="184"/>
      <c r="LVI267" s="184"/>
      <c r="LVJ267" s="184"/>
      <c r="LVQ267" s="186"/>
      <c r="LVR267" s="183"/>
      <c r="LVS267" s="184"/>
      <c r="LVT267" s="184"/>
      <c r="LVU267" s="184"/>
      <c r="LVV267" s="184"/>
      <c r="LVW267" s="184"/>
      <c r="LVX267" s="184"/>
      <c r="LVY267" s="184"/>
      <c r="LWF267" s="186"/>
      <c r="LWG267" s="183"/>
      <c r="LWH267" s="184"/>
      <c r="LWI267" s="184"/>
      <c r="LWJ267" s="184"/>
      <c r="LWK267" s="184"/>
      <c r="LWL267" s="184"/>
      <c r="LWM267" s="184"/>
      <c r="LWN267" s="184"/>
      <c r="LWU267" s="186"/>
      <c r="LWV267" s="183"/>
      <c r="LWW267" s="184"/>
      <c r="LWX267" s="184"/>
      <c r="LWY267" s="184"/>
      <c r="LWZ267" s="184"/>
      <c r="LXA267" s="184"/>
      <c r="LXB267" s="184"/>
      <c r="LXC267" s="184"/>
      <c r="LXJ267" s="186"/>
      <c r="LXK267" s="183"/>
      <c r="LXL267" s="184"/>
      <c r="LXM267" s="184"/>
      <c r="LXN267" s="184"/>
      <c r="LXO267" s="184"/>
      <c r="LXP267" s="184"/>
      <c r="LXQ267" s="184"/>
      <c r="LXR267" s="184"/>
      <c r="LXY267" s="186"/>
      <c r="LXZ267" s="183"/>
      <c r="LYA267" s="184"/>
      <c r="LYB267" s="184"/>
      <c r="LYC267" s="184"/>
      <c r="LYD267" s="184"/>
      <c r="LYE267" s="184"/>
      <c r="LYF267" s="184"/>
      <c r="LYG267" s="184"/>
      <c r="LYN267" s="186"/>
      <c r="LYO267" s="183"/>
      <c r="LYP267" s="184"/>
      <c r="LYQ267" s="184"/>
      <c r="LYR267" s="184"/>
      <c r="LYS267" s="184"/>
      <c r="LYT267" s="184"/>
      <c r="LYU267" s="184"/>
      <c r="LYV267" s="184"/>
      <c r="LZC267" s="186"/>
      <c r="LZD267" s="183"/>
      <c r="LZE267" s="184"/>
      <c r="LZF267" s="184"/>
      <c r="LZG267" s="184"/>
      <c r="LZH267" s="184"/>
      <c r="LZI267" s="184"/>
      <c r="LZJ267" s="184"/>
      <c r="LZK267" s="184"/>
      <c r="LZR267" s="186"/>
      <c r="LZS267" s="183"/>
      <c r="LZT267" s="184"/>
      <c r="LZU267" s="184"/>
      <c r="LZV267" s="184"/>
      <c r="LZW267" s="184"/>
      <c r="LZX267" s="184"/>
      <c r="LZY267" s="184"/>
      <c r="LZZ267" s="184"/>
      <c r="MAG267" s="186"/>
      <c r="MAH267" s="183"/>
      <c r="MAI267" s="184"/>
      <c r="MAJ267" s="184"/>
      <c r="MAK267" s="184"/>
      <c r="MAL267" s="184"/>
      <c r="MAM267" s="184"/>
      <c r="MAN267" s="184"/>
      <c r="MAO267" s="184"/>
      <c r="MAV267" s="186"/>
      <c r="MAW267" s="183"/>
      <c r="MAX267" s="184"/>
      <c r="MAY267" s="184"/>
      <c r="MAZ267" s="184"/>
      <c r="MBA267" s="184"/>
      <c r="MBB267" s="184"/>
      <c r="MBC267" s="184"/>
      <c r="MBD267" s="184"/>
      <c r="MBK267" s="186"/>
      <c r="MBL267" s="183"/>
      <c r="MBM267" s="184"/>
      <c r="MBN267" s="184"/>
      <c r="MBO267" s="184"/>
      <c r="MBP267" s="184"/>
      <c r="MBQ267" s="184"/>
      <c r="MBR267" s="184"/>
      <c r="MBS267" s="184"/>
      <c r="MBZ267" s="186"/>
      <c r="MCA267" s="183"/>
      <c r="MCB267" s="184"/>
      <c r="MCC267" s="184"/>
      <c r="MCD267" s="184"/>
      <c r="MCE267" s="184"/>
      <c r="MCF267" s="184"/>
      <c r="MCG267" s="184"/>
      <c r="MCH267" s="184"/>
      <c r="MCO267" s="186"/>
      <c r="MCP267" s="183"/>
      <c r="MCQ267" s="184"/>
      <c r="MCR267" s="184"/>
      <c r="MCS267" s="184"/>
      <c r="MCT267" s="184"/>
      <c r="MCU267" s="184"/>
      <c r="MCV267" s="184"/>
      <c r="MCW267" s="184"/>
      <c r="MDD267" s="186"/>
      <c r="MDE267" s="183"/>
      <c r="MDF267" s="184"/>
      <c r="MDG267" s="184"/>
      <c r="MDH267" s="184"/>
      <c r="MDI267" s="184"/>
      <c r="MDJ267" s="184"/>
      <c r="MDK267" s="184"/>
      <c r="MDL267" s="184"/>
      <c r="MDS267" s="186"/>
      <c r="MDT267" s="183"/>
      <c r="MDU267" s="184"/>
      <c r="MDV267" s="184"/>
      <c r="MDW267" s="184"/>
      <c r="MDX267" s="184"/>
      <c r="MDY267" s="184"/>
      <c r="MDZ267" s="184"/>
      <c r="MEA267" s="184"/>
      <c r="MEH267" s="186"/>
      <c r="MEI267" s="183"/>
      <c r="MEJ267" s="184"/>
      <c r="MEK267" s="184"/>
      <c r="MEL267" s="184"/>
      <c r="MEM267" s="184"/>
      <c r="MEN267" s="184"/>
      <c r="MEO267" s="184"/>
      <c r="MEP267" s="184"/>
      <c r="MEW267" s="186"/>
      <c r="MEX267" s="183"/>
      <c r="MEY267" s="184"/>
      <c r="MEZ267" s="184"/>
      <c r="MFA267" s="184"/>
      <c r="MFB267" s="184"/>
      <c r="MFC267" s="184"/>
      <c r="MFD267" s="184"/>
      <c r="MFE267" s="184"/>
      <c r="MFL267" s="186"/>
      <c r="MFM267" s="183"/>
      <c r="MFN267" s="184"/>
      <c r="MFO267" s="184"/>
      <c r="MFP267" s="184"/>
      <c r="MFQ267" s="184"/>
      <c r="MFR267" s="184"/>
      <c r="MFS267" s="184"/>
      <c r="MFT267" s="184"/>
      <c r="MGA267" s="186"/>
      <c r="MGB267" s="183"/>
      <c r="MGC267" s="184"/>
      <c r="MGD267" s="184"/>
      <c r="MGE267" s="184"/>
      <c r="MGF267" s="184"/>
      <c r="MGG267" s="184"/>
      <c r="MGH267" s="184"/>
      <c r="MGI267" s="184"/>
      <c r="MGP267" s="186"/>
      <c r="MGQ267" s="183"/>
      <c r="MGR267" s="184"/>
      <c r="MGS267" s="184"/>
      <c r="MGT267" s="184"/>
      <c r="MGU267" s="184"/>
      <c r="MGV267" s="184"/>
      <c r="MGW267" s="184"/>
      <c r="MGX267" s="184"/>
      <c r="MHE267" s="186"/>
      <c r="MHF267" s="183"/>
      <c r="MHG267" s="184"/>
      <c r="MHH267" s="184"/>
      <c r="MHI267" s="184"/>
      <c r="MHJ267" s="184"/>
      <c r="MHK267" s="184"/>
      <c r="MHL267" s="184"/>
      <c r="MHM267" s="184"/>
      <c r="MHT267" s="186"/>
      <c r="MHU267" s="183"/>
      <c r="MHV267" s="184"/>
      <c r="MHW267" s="184"/>
      <c r="MHX267" s="184"/>
      <c r="MHY267" s="184"/>
      <c r="MHZ267" s="184"/>
      <c r="MIA267" s="184"/>
      <c r="MIB267" s="184"/>
      <c r="MII267" s="186"/>
      <c r="MIJ267" s="183"/>
      <c r="MIK267" s="184"/>
      <c r="MIL267" s="184"/>
      <c r="MIM267" s="184"/>
      <c r="MIN267" s="184"/>
      <c r="MIO267" s="184"/>
      <c r="MIP267" s="184"/>
      <c r="MIQ267" s="184"/>
      <c r="MIX267" s="186"/>
      <c r="MIY267" s="183"/>
      <c r="MIZ267" s="184"/>
      <c r="MJA267" s="184"/>
      <c r="MJB267" s="184"/>
      <c r="MJC267" s="184"/>
      <c r="MJD267" s="184"/>
      <c r="MJE267" s="184"/>
      <c r="MJF267" s="184"/>
      <c r="MJM267" s="186"/>
      <c r="MJN267" s="183"/>
      <c r="MJO267" s="184"/>
      <c r="MJP267" s="184"/>
      <c r="MJQ267" s="184"/>
      <c r="MJR267" s="184"/>
      <c r="MJS267" s="184"/>
      <c r="MJT267" s="184"/>
      <c r="MJU267" s="184"/>
      <c r="MKB267" s="186"/>
      <c r="MKC267" s="183"/>
      <c r="MKD267" s="184"/>
      <c r="MKE267" s="184"/>
      <c r="MKF267" s="184"/>
      <c r="MKG267" s="184"/>
      <c r="MKH267" s="184"/>
      <c r="MKI267" s="184"/>
      <c r="MKJ267" s="184"/>
      <c r="MKQ267" s="186"/>
      <c r="MKR267" s="183"/>
      <c r="MKS267" s="184"/>
      <c r="MKT267" s="184"/>
      <c r="MKU267" s="184"/>
      <c r="MKV267" s="184"/>
      <c r="MKW267" s="184"/>
      <c r="MKX267" s="184"/>
      <c r="MKY267" s="184"/>
      <c r="MLF267" s="186"/>
      <c r="MLG267" s="183"/>
      <c r="MLH267" s="184"/>
      <c r="MLI267" s="184"/>
      <c r="MLJ267" s="184"/>
      <c r="MLK267" s="184"/>
      <c r="MLL267" s="184"/>
      <c r="MLM267" s="184"/>
      <c r="MLN267" s="184"/>
      <c r="MLU267" s="186"/>
      <c r="MLV267" s="183"/>
      <c r="MLW267" s="184"/>
      <c r="MLX267" s="184"/>
      <c r="MLY267" s="184"/>
      <c r="MLZ267" s="184"/>
      <c r="MMA267" s="184"/>
      <c r="MMB267" s="184"/>
      <c r="MMC267" s="184"/>
      <c r="MMJ267" s="186"/>
      <c r="MMK267" s="183"/>
      <c r="MML267" s="184"/>
      <c r="MMM267" s="184"/>
      <c r="MMN267" s="184"/>
      <c r="MMO267" s="184"/>
      <c r="MMP267" s="184"/>
      <c r="MMQ267" s="184"/>
      <c r="MMR267" s="184"/>
      <c r="MMY267" s="186"/>
      <c r="MMZ267" s="183"/>
      <c r="MNA267" s="184"/>
      <c r="MNB267" s="184"/>
      <c r="MNC267" s="184"/>
      <c r="MND267" s="184"/>
      <c r="MNE267" s="184"/>
      <c r="MNF267" s="184"/>
      <c r="MNG267" s="184"/>
      <c r="MNN267" s="186"/>
      <c r="MNO267" s="183"/>
      <c r="MNP267" s="184"/>
      <c r="MNQ267" s="184"/>
      <c r="MNR267" s="184"/>
      <c r="MNS267" s="184"/>
      <c r="MNT267" s="184"/>
      <c r="MNU267" s="184"/>
      <c r="MNV267" s="184"/>
      <c r="MOC267" s="186"/>
      <c r="MOD267" s="183"/>
      <c r="MOE267" s="184"/>
      <c r="MOF267" s="184"/>
      <c r="MOG267" s="184"/>
      <c r="MOH267" s="184"/>
      <c r="MOI267" s="184"/>
      <c r="MOJ267" s="184"/>
      <c r="MOK267" s="184"/>
      <c r="MOR267" s="186"/>
      <c r="MOS267" s="183"/>
      <c r="MOT267" s="184"/>
      <c r="MOU267" s="184"/>
      <c r="MOV267" s="184"/>
      <c r="MOW267" s="184"/>
      <c r="MOX267" s="184"/>
      <c r="MOY267" s="184"/>
      <c r="MOZ267" s="184"/>
      <c r="MPG267" s="186"/>
      <c r="MPH267" s="183"/>
      <c r="MPI267" s="184"/>
      <c r="MPJ267" s="184"/>
      <c r="MPK267" s="184"/>
      <c r="MPL267" s="184"/>
      <c r="MPM267" s="184"/>
      <c r="MPN267" s="184"/>
      <c r="MPO267" s="184"/>
      <c r="MPV267" s="186"/>
      <c r="MPW267" s="183"/>
      <c r="MPX267" s="184"/>
      <c r="MPY267" s="184"/>
      <c r="MPZ267" s="184"/>
      <c r="MQA267" s="184"/>
      <c r="MQB267" s="184"/>
      <c r="MQC267" s="184"/>
      <c r="MQD267" s="184"/>
      <c r="MQK267" s="186"/>
      <c r="MQL267" s="183"/>
      <c r="MQM267" s="184"/>
      <c r="MQN267" s="184"/>
      <c r="MQO267" s="184"/>
      <c r="MQP267" s="184"/>
      <c r="MQQ267" s="184"/>
      <c r="MQR267" s="184"/>
      <c r="MQS267" s="184"/>
      <c r="MQZ267" s="186"/>
      <c r="MRA267" s="183"/>
      <c r="MRB267" s="184"/>
      <c r="MRC267" s="184"/>
      <c r="MRD267" s="184"/>
      <c r="MRE267" s="184"/>
      <c r="MRF267" s="184"/>
      <c r="MRG267" s="184"/>
      <c r="MRH267" s="184"/>
      <c r="MRO267" s="186"/>
      <c r="MRP267" s="183"/>
      <c r="MRQ267" s="184"/>
      <c r="MRR267" s="184"/>
      <c r="MRS267" s="184"/>
      <c r="MRT267" s="184"/>
      <c r="MRU267" s="184"/>
      <c r="MRV267" s="184"/>
      <c r="MRW267" s="184"/>
      <c r="MSD267" s="186"/>
      <c r="MSE267" s="183"/>
      <c r="MSF267" s="184"/>
      <c r="MSG267" s="184"/>
      <c r="MSH267" s="184"/>
      <c r="MSI267" s="184"/>
      <c r="MSJ267" s="184"/>
      <c r="MSK267" s="184"/>
      <c r="MSL267" s="184"/>
      <c r="MSS267" s="186"/>
      <c r="MST267" s="183"/>
      <c r="MSU267" s="184"/>
      <c r="MSV267" s="184"/>
      <c r="MSW267" s="184"/>
      <c r="MSX267" s="184"/>
      <c r="MSY267" s="184"/>
      <c r="MSZ267" s="184"/>
      <c r="MTA267" s="184"/>
      <c r="MTH267" s="186"/>
      <c r="MTI267" s="183"/>
      <c r="MTJ267" s="184"/>
      <c r="MTK267" s="184"/>
      <c r="MTL267" s="184"/>
      <c r="MTM267" s="184"/>
      <c r="MTN267" s="184"/>
      <c r="MTO267" s="184"/>
      <c r="MTP267" s="184"/>
      <c r="MTW267" s="186"/>
      <c r="MTX267" s="183"/>
      <c r="MTY267" s="184"/>
      <c r="MTZ267" s="184"/>
      <c r="MUA267" s="184"/>
      <c r="MUB267" s="184"/>
      <c r="MUC267" s="184"/>
      <c r="MUD267" s="184"/>
      <c r="MUE267" s="184"/>
      <c r="MUL267" s="186"/>
      <c r="MUM267" s="183"/>
      <c r="MUN267" s="184"/>
      <c r="MUO267" s="184"/>
      <c r="MUP267" s="184"/>
      <c r="MUQ267" s="184"/>
      <c r="MUR267" s="184"/>
      <c r="MUS267" s="184"/>
      <c r="MUT267" s="184"/>
      <c r="MVA267" s="186"/>
      <c r="MVB267" s="183"/>
      <c r="MVC267" s="184"/>
      <c r="MVD267" s="184"/>
      <c r="MVE267" s="184"/>
      <c r="MVF267" s="184"/>
      <c r="MVG267" s="184"/>
      <c r="MVH267" s="184"/>
      <c r="MVI267" s="184"/>
      <c r="MVP267" s="186"/>
      <c r="MVQ267" s="183"/>
      <c r="MVR267" s="184"/>
      <c r="MVS267" s="184"/>
      <c r="MVT267" s="184"/>
      <c r="MVU267" s="184"/>
      <c r="MVV267" s="184"/>
      <c r="MVW267" s="184"/>
      <c r="MVX267" s="184"/>
      <c r="MWE267" s="186"/>
      <c r="MWF267" s="183"/>
      <c r="MWG267" s="184"/>
      <c r="MWH267" s="184"/>
      <c r="MWI267" s="184"/>
      <c r="MWJ267" s="184"/>
      <c r="MWK267" s="184"/>
      <c r="MWL267" s="184"/>
      <c r="MWM267" s="184"/>
      <c r="MWT267" s="186"/>
      <c r="MWU267" s="183"/>
      <c r="MWV267" s="184"/>
      <c r="MWW267" s="184"/>
      <c r="MWX267" s="184"/>
      <c r="MWY267" s="184"/>
      <c r="MWZ267" s="184"/>
      <c r="MXA267" s="184"/>
      <c r="MXB267" s="184"/>
      <c r="MXI267" s="186"/>
      <c r="MXJ267" s="183"/>
      <c r="MXK267" s="184"/>
      <c r="MXL267" s="184"/>
      <c r="MXM267" s="184"/>
      <c r="MXN267" s="184"/>
      <c r="MXO267" s="184"/>
      <c r="MXP267" s="184"/>
      <c r="MXQ267" s="184"/>
      <c r="MXX267" s="186"/>
      <c r="MXY267" s="183"/>
      <c r="MXZ267" s="184"/>
      <c r="MYA267" s="184"/>
      <c r="MYB267" s="184"/>
      <c r="MYC267" s="184"/>
      <c r="MYD267" s="184"/>
      <c r="MYE267" s="184"/>
      <c r="MYF267" s="184"/>
      <c r="MYM267" s="186"/>
      <c r="MYN267" s="183"/>
      <c r="MYO267" s="184"/>
      <c r="MYP267" s="184"/>
      <c r="MYQ267" s="184"/>
      <c r="MYR267" s="184"/>
      <c r="MYS267" s="184"/>
      <c r="MYT267" s="184"/>
      <c r="MYU267" s="184"/>
      <c r="MZB267" s="186"/>
      <c r="MZC267" s="183"/>
      <c r="MZD267" s="184"/>
      <c r="MZE267" s="184"/>
      <c r="MZF267" s="184"/>
      <c r="MZG267" s="184"/>
      <c r="MZH267" s="184"/>
      <c r="MZI267" s="184"/>
      <c r="MZJ267" s="184"/>
      <c r="MZQ267" s="186"/>
      <c r="MZR267" s="183"/>
      <c r="MZS267" s="184"/>
      <c r="MZT267" s="184"/>
      <c r="MZU267" s="184"/>
      <c r="MZV267" s="184"/>
      <c r="MZW267" s="184"/>
      <c r="MZX267" s="184"/>
      <c r="MZY267" s="184"/>
      <c r="NAF267" s="186"/>
      <c r="NAG267" s="183"/>
      <c r="NAH267" s="184"/>
      <c r="NAI267" s="184"/>
      <c r="NAJ267" s="184"/>
      <c r="NAK267" s="184"/>
      <c r="NAL267" s="184"/>
      <c r="NAM267" s="184"/>
      <c r="NAN267" s="184"/>
      <c r="NAU267" s="186"/>
      <c r="NAV267" s="183"/>
      <c r="NAW267" s="184"/>
      <c r="NAX267" s="184"/>
      <c r="NAY267" s="184"/>
      <c r="NAZ267" s="184"/>
      <c r="NBA267" s="184"/>
      <c r="NBB267" s="184"/>
      <c r="NBC267" s="184"/>
      <c r="NBJ267" s="186"/>
      <c r="NBK267" s="183"/>
      <c r="NBL267" s="184"/>
      <c r="NBM267" s="184"/>
      <c r="NBN267" s="184"/>
      <c r="NBO267" s="184"/>
      <c r="NBP267" s="184"/>
      <c r="NBQ267" s="184"/>
      <c r="NBR267" s="184"/>
      <c r="NBY267" s="186"/>
      <c r="NBZ267" s="183"/>
      <c r="NCA267" s="184"/>
      <c r="NCB267" s="184"/>
      <c r="NCC267" s="184"/>
      <c r="NCD267" s="184"/>
      <c r="NCE267" s="184"/>
      <c r="NCF267" s="184"/>
      <c r="NCG267" s="184"/>
      <c r="NCN267" s="186"/>
      <c r="NCO267" s="183"/>
      <c r="NCP267" s="184"/>
      <c r="NCQ267" s="184"/>
      <c r="NCR267" s="184"/>
      <c r="NCS267" s="184"/>
      <c r="NCT267" s="184"/>
      <c r="NCU267" s="184"/>
      <c r="NCV267" s="184"/>
      <c r="NDC267" s="186"/>
      <c r="NDD267" s="183"/>
      <c r="NDE267" s="184"/>
      <c r="NDF267" s="184"/>
      <c r="NDG267" s="184"/>
      <c r="NDH267" s="184"/>
      <c r="NDI267" s="184"/>
      <c r="NDJ267" s="184"/>
      <c r="NDK267" s="184"/>
      <c r="NDR267" s="186"/>
      <c r="NDS267" s="183"/>
      <c r="NDT267" s="184"/>
      <c r="NDU267" s="184"/>
      <c r="NDV267" s="184"/>
      <c r="NDW267" s="184"/>
      <c r="NDX267" s="184"/>
      <c r="NDY267" s="184"/>
      <c r="NDZ267" s="184"/>
      <c r="NEG267" s="186"/>
      <c r="NEH267" s="183"/>
      <c r="NEI267" s="184"/>
      <c r="NEJ267" s="184"/>
      <c r="NEK267" s="184"/>
      <c r="NEL267" s="184"/>
      <c r="NEM267" s="184"/>
      <c r="NEN267" s="184"/>
      <c r="NEO267" s="184"/>
      <c r="NEV267" s="186"/>
      <c r="NEW267" s="183"/>
      <c r="NEX267" s="184"/>
      <c r="NEY267" s="184"/>
      <c r="NEZ267" s="184"/>
      <c r="NFA267" s="184"/>
      <c r="NFB267" s="184"/>
      <c r="NFC267" s="184"/>
      <c r="NFD267" s="184"/>
      <c r="NFK267" s="186"/>
      <c r="NFL267" s="183"/>
      <c r="NFM267" s="184"/>
      <c r="NFN267" s="184"/>
      <c r="NFO267" s="184"/>
      <c r="NFP267" s="184"/>
      <c r="NFQ267" s="184"/>
      <c r="NFR267" s="184"/>
      <c r="NFS267" s="184"/>
      <c r="NFZ267" s="186"/>
      <c r="NGA267" s="183"/>
      <c r="NGB267" s="184"/>
      <c r="NGC267" s="184"/>
      <c r="NGD267" s="184"/>
      <c r="NGE267" s="184"/>
      <c r="NGF267" s="184"/>
      <c r="NGG267" s="184"/>
      <c r="NGH267" s="184"/>
      <c r="NGO267" s="186"/>
      <c r="NGP267" s="183"/>
      <c r="NGQ267" s="184"/>
      <c r="NGR267" s="184"/>
      <c r="NGS267" s="184"/>
      <c r="NGT267" s="184"/>
      <c r="NGU267" s="184"/>
      <c r="NGV267" s="184"/>
      <c r="NGW267" s="184"/>
      <c r="NHD267" s="186"/>
      <c r="NHE267" s="183"/>
      <c r="NHF267" s="184"/>
      <c r="NHG267" s="184"/>
      <c r="NHH267" s="184"/>
      <c r="NHI267" s="184"/>
      <c r="NHJ267" s="184"/>
      <c r="NHK267" s="184"/>
      <c r="NHL267" s="184"/>
      <c r="NHS267" s="186"/>
      <c r="NHT267" s="183"/>
      <c r="NHU267" s="184"/>
      <c r="NHV267" s="184"/>
      <c r="NHW267" s="184"/>
      <c r="NHX267" s="184"/>
      <c r="NHY267" s="184"/>
      <c r="NHZ267" s="184"/>
      <c r="NIA267" s="184"/>
      <c r="NIH267" s="186"/>
      <c r="NII267" s="183"/>
      <c r="NIJ267" s="184"/>
      <c r="NIK267" s="184"/>
      <c r="NIL267" s="184"/>
      <c r="NIM267" s="184"/>
      <c r="NIN267" s="184"/>
      <c r="NIO267" s="184"/>
      <c r="NIP267" s="184"/>
      <c r="NIW267" s="186"/>
      <c r="NIX267" s="183"/>
      <c r="NIY267" s="184"/>
      <c r="NIZ267" s="184"/>
      <c r="NJA267" s="184"/>
      <c r="NJB267" s="184"/>
      <c r="NJC267" s="184"/>
      <c r="NJD267" s="184"/>
      <c r="NJE267" s="184"/>
      <c r="NJL267" s="186"/>
      <c r="NJM267" s="183"/>
      <c r="NJN267" s="184"/>
      <c r="NJO267" s="184"/>
      <c r="NJP267" s="184"/>
      <c r="NJQ267" s="184"/>
      <c r="NJR267" s="184"/>
      <c r="NJS267" s="184"/>
      <c r="NJT267" s="184"/>
      <c r="NKA267" s="186"/>
      <c r="NKB267" s="183"/>
      <c r="NKC267" s="184"/>
      <c r="NKD267" s="184"/>
      <c r="NKE267" s="184"/>
      <c r="NKF267" s="184"/>
      <c r="NKG267" s="184"/>
      <c r="NKH267" s="184"/>
      <c r="NKI267" s="184"/>
      <c r="NKP267" s="186"/>
      <c r="NKQ267" s="183"/>
      <c r="NKR267" s="184"/>
      <c r="NKS267" s="184"/>
      <c r="NKT267" s="184"/>
      <c r="NKU267" s="184"/>
      <c r="NKV267" s="184"/>
      <c r="NKW267" s="184"/>
      <c r="NKX267" s="184"/>
      <c r="NLE267" s="186"/>
      <c r="NLF267" s="183"/>
      <c r="NLG267" s="184"/>
      <c r="NLH267" s="184"/>
      <c r="NLI267" s="184"/>
      <c r="NLJ267" s="184"/>
      <c r="NLK267" s="184"/>
      <c r="NLL267" s="184"/>
      <c r="NLM267" s="184"/>
      <c r="NLT267" s="186"/>
      <c r="NLU267" s="183"/>
      <c r="NLV267" s="184"/>
      <c r="NLW267" s="184"/>
      <c r="NLX267" s="184"/>
      <c r="NLY267" s="184"/>
      <c r="NLZ267" s="184"/>
      <c r="NMA267" s="184"/>
      <c r="NMB267" s="184"/>
      <c r="NMI267" s="186"/>
      <c r="NMJ267" s="183"/>
      <c r="NMK267" s="184"/>
      <c r="NML267" s="184"/>
      <c r="NMM267" s="184"/>
      <c r="NMN267" s="184"/>
      <c r="NMO267" s="184"/>
      <c r="NMP267" s="184"/>
      <c r="NMQ267" s="184"/>
      <c r="NMX267" s="186"/>
      <c r="NMY267" s="183"/>
      <c r="NMZ267" s="184"/>
      <c r="NNA267" s="184"/>
      <c r="NNB267" s="184"/>
      <c r="NNC267" s="184"/>
      <c r="NND267" s="184"/>
      <c r="NNE267" s="184"/>
      <c r="NNF267" s="184"/>
      <c r="NNM267" s="186"/>
      <c r="NNN267" s="183"/>
      <c r="NNO267" s="184"/>
      <c r="NNP267" s="184"/>
      <c r="NNQ267" s="184"/>
      <c r="NNR267" s="184"/>
      <c r="NNS267" s="184"/>
      <c r="NNT267" s="184"/>
      <c r="NNU267" s="184"/>
      <c r="NOB267" s="186"/>
      <c r="NOC267" s="183"/>
      <c r="NOD267" s="184"/>
      <c r="NOE267" s="184"/>
      <c r="NOF267" s="184"/>
      <c r="NOG267" s="184"/>
      <c r="NOH267" s="184"/>
      <c r="NOI267" s="184"/>
      <c r="NOJ267" s="184"/>
      <c r="NOQ267" s="186"/>
      <c r="NOR267" s="183"/>
      <c r="NOS267" s="184"/>
      <c r="NOT267" s="184"/>
      <c r="NOU267" s="184"/>
      <c r="NOV267" s="184"/>
      <c r="NOW267" s="184"/>
      <c r="NOX267" s="184"/>
      <c r="NOY267" s="184"/>
      <c r="NPF267" s="186"/>
      <c r="NPG267" s="183"/>
      <c r="NPH267" s="184"/>
      <c r="NPI267" s="184"/>
      <c r="NPJ267" s="184"/>
      <c r="NPK267" s="184"/>
      <c r="NPL267" s="184"/>
      <c r="NPM267" s="184"/>
      <c r="NPN267" s="184"/>
      <c r="NPU267" s="186"/>
      <c r="NPV267" s="183"/>
      <c r="NPW267" s="184"/>
      <c r="NPX267" s="184"/>
      <c r="NPY267" s="184"/>
      <c r="NPZ267" s="184"/>
      <c r="NQA267" s="184"/>
      <c r="NQB267" s="184"/>
      <c r="NQC267" s="184"/>
      <c r="NQJ267" s="186"/>
      <c r="NQK267" s="183"/>
      <c r="NQL267" s="184"/>
      <c r="NQM267" s="184"/>
      <c r="NQN267" s="184"/>
      <c r="NQO267" s="184"/>
      <c r="NQP267" s="184"/>
      <c r="NQQ267" s="184"/>
      <c r="NQR267" s="184"/>
      <c r="NQY267" s="186"/>
      <c r="NQZ267" s="183"/>
      <c r="NRA267" s="184"/>
      <c r="NRB267" s="184"/>
      <c r="NRC267" s="184"/>
      <c r="NRD267" s="184"/>
      <c r="NRE267" s="184"/>
      <c r="NRF267" s="184"/>
      <c r="NRG267" s="184"/>
      <c r="NRN267" s="186"/>
      <c r="NRO267" s="183"/>
      <c r="NRP267" s="184"/>
      <c r="NRQ267" s="184"/>
      <c r="NRR267" s="184"/>
      <c r="NRS267" s="184"/>
      <c r="NRT267" s="184"/>
      <c r="NRU267" s="184"/>
      <c r="NRV267" s="184"/>
      <c r="NSC267" s="186"/>
      <c r="NSD267" s="183"/>
      <c r="NSE267" s="184"/>
      <c r="NSF267" s="184"/>
      <c r="NSG267" s="184"/>
      <c r="NSH267" s="184"/>
      <c r="NSI267" s="184"/>
      <c r="NSJ267" s="184"/>
      <c r="NSK267" s="184"/>
      <c r="NSR267" s="186"/>
      <c r="NSS267" s="183"/>
      <c r="NST267" s="184"/>
      <c r="NSU267" s="184"/>
      <c r="NSV267" s="184"/>
      <c r="NSW267" s="184"/>
      <c r="NSX267" s="184"/>
      <c r="NSY267" s="184"/>
      <c r="NSZ267" s="184"/>
      <c r="NTG267" s="186"/>
      <c r="NTH267" s="183"/>
      <c r="NTI267" s="184"/>
      <c r="NTJ267" s="184"/>
      <c r="NTK267" s="184"/>
      <c r="NTL267" s="184"/>
      <c r="NTM267" s="184"/>
      <c r="NTN267" s="184"/>
      <c r="NTO267" s="184"/>
      <c r="NTV267" s="186"/>
      <c r="NTW267" s="183"/>
      <c r="NTX267" s="184"/>
      <c r="NTY267" s="184"/>
      <c r="NTZ267" s="184"/>
      <c r="NUA267" s="184"/>
      <c r="NUB267" s="184"/>
      <c r="NUC267" s="184"/>
      <c r="NUD267" s="184"/>
      <c r="NUK267" s="186"/>
      <c r="NUL267" s="183"/>
      <c r="NUM267" s="184"/>
      <c r="NUN267" s="184"/>
      <c r="NUO267" s="184"/>
      <c r="NUP267" s="184"/>
      <c r="NUQ267" s="184"/>
      <c r="NUR267" s="184"/>
      <c r="NUS267" s="184"/>
      <c r="NUZ267" s="186"/>
      <c r="NVA267" s="183"/>
      <c r="NVB267" s="184"/>
      <c r="NVC267" s="184"/>
      <c r="NVD267" s="184"/>
      <c r="NVE267" s="184"/>
      <c r="NVF267" s="184"/>
      <c r="NVG267" s="184"/>
      <c r="NVH267" s="184"/>
      <c r="NVO267" s="186"/>
      <c r="NVP267" s="183"/>
      <c r="NVQ267" s="184"/>
      <c r="NVR267" s="184"/>
      <c r="NVS267" s="184"/>
      <c r="NVT267" s="184"/>
      <c r="NVU267" s="184"/>
      <c r="NVV267" s="184"/>
      <c r="NVW267" s="184"/>
      <c r="NWD267" s="186"/>
      <c r="NWE267" s="183"/>
      <c r="NWF267" s="184"/>
      <c r="NWG267" s="184"/>
      <c r="NWH267" s="184"/>
      <c r="NWI267" s="184"/>
      <c r="NWJ267" s="184"/>
      <c r="NWK267" s="184"/>
      <c r="NWL267" s="184"/>
      <c r="NWS267" s="186"/>
      <c r="NWT267" s="183"/>
      <c r="NWU267" s="184"/>
      <c r="NWV267" s="184"/>
      <c r="NWW267" s="184"/>
      <c r="NWX267" s="184"/>
      <c r="NWY267" s="184"/>
      <c r="NWZ267" s="184"/>
      <c r="NXA267" s="184"/>
      <c r="NXH267" s="186"/>
      <c r="NXI267" s="183"/>
      <c r="NXJ267" s="184"/>
      <c r="NXK267" s="184"/>
      <c r="NXL267" s="184"/>
      <c r="NXM267" s="184"/>
      <c r="NXN267" s="184"/>
      <c r="NXO267" s="184"/>
      <c r="NXP267" s="184"/>
      <c r="NXW267" s="186"/>
      <c r="NXX267" s="183"/>
      <c r="NXY267" s="184"/>
      <c r="NXZ267" s="184"/>
      <c r="NYA267" s="184"/>
      <c r="NYB267" s="184"/>
      <c r="NYC267" s="184"/>
      <c r="NYD267" s="184"/>
      <c r="NYE267" s="184"/>
      <c r="NYL267" s="186"/>
      <c r="NYM267" s="183"/>
      <c r="NYN267" s="184"/>
      <c r="NYO267" s="184"/>
      <c r="NYP267" s="184"/>
      <c r="NYQ267" s="184"/>
      <c r="NYR267" s="184"/>
      <c r="NYS267" s="184"/>
      <c r="NYT267" s="184"/>
      <c r="NZA267" s="186"/>
      <c r="NZB267" s="183"/>
      <c r="NZC267" s="184"/>
      <c r="NZD267" s="184"/>
      <c r="NZE267" s="184"/>
      <c r="NZF267" s="184"/>
      <c r="NZG267" s="184"/>
      <c r="NZH267" s="184"/>
      <c r="NZI267" s="184"/>
      <c r="NZP267" s="186"/>
      <c r="NZQ267" s="183"/>
      <c r="NZR267" s="184"/>
      <c r="NZS267" s="184"/>
      <c r="NZT267" s="184"/>
      <c r="NZU267" s="184"/>
      <c r="NZV267" s="184"/>
      <c r="NZW267" s="184"/>
      <c r="NZX267" s="184"/>
      <c r="OAE267" s="186"/>
      <c r="OAF267" s="183"/>
      <c r="OAG267" s="184"/>
      <c r="OAH267" s="184"/>
      <c r="OAI267" s="184"/>
      <c r="OAJ267" s="184"/>
      <c r="OAK267" s="184"/>
      <c r="OAL267" s="184"/>
      <c r="OAM267" s="184"/>
      <c r="OAT267" s="186"/>
      <c r="OAU267" s="183"/>
      <c r="OAV267" s="184"/>
      <c r="OAW267" s="184"/>
      <c r="OAX267" s="184"/>
      <c r="OAY267" s="184"/>
      <c r="OAZ267" s="184"/>
      <c r="OBA267" s="184"/>
      <c r="OBB267" s="184"/>
      <c r="OBI267" s="186"/>
      <c r="OBJ267" s="183"/>
      <c r="OBK267" s="184"/>
      <c r="OBL267" s="184"/>
      <c r="OBM267" s="184"/>
      <c r="OBN267" s="184"/>
      <c r="OBO267" s="184"/>
      <c r="OBP267" s="184"/>
      <c r="OBQ267" s="184"/>
      <c r="OBX267" s="186"/>
      <c r="OBY267" s="183"/>
      <c r="OBZ267" s="184"/>
      <c r="OCA267" s="184"/>
      <c r="OCB267" s="184"/>
      <c r="OCC267" s="184"/>
      <c r="OCD267" s="184"/>
      <c r="OCE267" s="184"/>
      <c r="OCF267" s="184"/>
      <c r="OCM267" s="186"/>
      <c r="OCN267" s="183"/>
      <c r="OCO267" s="184"/>
      <c r="OCP267" s="184"/>
      <c r="OCQ267" s="184"/>
      <c r="OCR267" s="184"/>
      <c r="OCS267" s="184"/>
      <c r="OCT267" s="184"/>
      <c r="OCU267" s="184"/>
      <c r="ODB267" s="186"/>
      <c r="ODC267" s="183"/>
      <c r="ODD267" s="184"/>
      <c r="ODE267" s="184"/>
      <c r="ODF267" s="184"/>
      <c r="ODG267" s="184"/>
      <c r="ODH267" s="184"/>
      <c r="ODI267" s="184"/>
      <c r="ODJ267" s="184"/>
      <c r="ODQ267" s="186"/>
      <c r="ODR267" s="183"/>
      <c r="ODS267" s="184"/>
      <c r="ODT267" s="184"/>
      <c r="ODU267" s="184"/>
      <c r="ODV267" s="184"/>
      <c r="ODW267" s="184"/>
      <c r="ODX267" s="184"/>
      <c r="ODY267" s="184"/>
      <c r="OEF267" s="186"/>
      <c r="OEG267" s="183"/>
      <c r="OEH267" s="184"/>
      <c r="OEI267" s="184"/>
      <c r="OEJ267" s="184"/>
      <c r="OEK267" s="184"/>
      <c r="OEL267" s="184"/>
      <c r="OEM267" s="184"/>
      <c r="OEN267" s="184"/>
      <c r="OEU267" s="186"/>
      <c r="OEV267" s="183"/>
      <c r="OEW267" s="184"/>
      <c r="OEX267" s="184"/>
      <c r="OEY267" s="184"/>
      <c r="OEZ267" s="184"/>
      <c r="OFA267" s="184"/>
      <c r="OFB267" s="184"/>
      <c r="OFC267" s="184"/>
      <c r="OFJ267" s="186"/>
      <c r="OFK267" s="183"/>
      <c r="OFL267" s="184"/>
      <c r="OFM267" s="184"/>
      <c r="OFN267" s="184"/>
      <c r="OFO267" s="184"/>
      <c r="OFP267" s="184"/>
      <c r="OFQ267" s="184"/>
      <c r="OFR267" s="184"/>
      <c r="OFY267" s="186"/>
      <c r="OFZ267" s="183"/>
      <c r="OGA267" s="184"/>
      <c r="OGB267" s="184"/>
      <c r="OGC267" s="184"/>
      <c r="OGD267" s="184"/>
      <c r="OGE267" s="184"/>
      <c r="OGF267" s="184"/>
      <c r="OGG267" s="184"/>
      <c r="OGN267" s="186"/>
      <c r="OGO267" s="183"/>
      <c r="OGP267" s="184"/>
      <c r="OGQ267" s="184"/>
      <c r="OGR267" s="184"/>
      <c r="OGS267" s="184"/>
      <c r="OGT267" s="184"/>
      <c r="OGU267" s="184"/>
      <c r="OGV267" s="184"/>
      <c r="OHC267" s="186"/>
      <c r="OHD267" s="183"/>
      <c r="OHE267" s="184"/>
      <c r="OHF267" s="184"/>
      <c r="OHG267" s="184"/>
      <c r="OHH267" s="184"/>
      <c r="OHI267" s="184"/>
      <c r="OHJ267" s="184"/>
      <c r="OHK267" s="184"/>
      <c r="OHR267" s="186"/>
      <c r="OHS267" s="183"/>
      <c r="OHT267" s="184"/>
      <c r="OHU267" s="184"/>
      <c r="OHV267" s="184"/>
      <c r="OHW267" s="184"/>
      <c r="OHX267" s="184"/>
      <c r="OHY267" s="184"/>
      <c r="OHZ267" s="184"/>
      <c r="OIG267" s="186"/>
      <c r="OIH267" s="183"/>
      <c r="OII267" s="184"/>
      <c r="OIJ267" s="184"/>
      <c r="OIK267" s="184"/>
      <c r="OIL267" s="184"/>
      <c r="OIM267" s="184"/>
      <c r="OIN267" s="184"/>
      <c r="OIO267" s="184"/>
      <c r="OIV267" s="186"/>
      <c r="OIW267" s="183"/>
      <c r="OIX267" s="184"/>
      <c r="OIY267" s="184"/>
      <c r="OIZ267" s="184"/>
      <c r="OJA267" s="184"/>
      <c r="OJB267" s="184"/>
      <c r="OJC267" s="184"/>
      <c r="OJD267" s="184"/>
      <c r="OJK267" s="186"/>
      <c r="OJL267" s="183"/>
      <c r="OJM267" s="184"/>
      <c r="OJN267" s="184"/>
      <c r="OJO267" s="184"/>
      <c r="OJP267" s="184"/>
      <c r="OJQ267" s="184"/>
      <c r="OJR267" s="184"/>
      <c r="OJS267" s="184"/>
      <c r="OJZ267" s="186"/>
      <c r="OKA267" s="183"/>
      <c r="OKB267" s="184"/>
      <c r="OKC267" s="184"/>
      <c r="OKD267" s="184"/>
      <c r="OKE267" s="184"/>
      <c r="OKF267" s="184"/>
      <c r="OKG267" s="184"/>
      <c r="OKH267" s="184"/>
      <c r="OKO267" s="186"/>
      <c r="OKP267" s="183"/>
      <c r="OKQ267" s="184"/>
      <c r="OKR267" s="184"/>
      <c r="OKS267" s="184"/>
      <c r="OKT267" s="184"/>
      <c r="OKU267" s="184"/>
      <c r="OKV267" s="184"/>
      <c r="OKW267" s="184"/>
      <c r="OLD267" s="186"/>
      <c r="OLE267" s="183"/>
      <c r="OLF267" s="184"/>
      <c r="OLG267" s="184"/>
      <c r="OLH267" s="184"/>
      <c r="OLI267" s="184"/>
      <c r="OLJ267" s="184"/>
      <c r="OLK267" s="184"/>
      <c r="OLL267" s="184"/>
      <c r="OLS267" s="186"/>
      <c r="OLT267" s="183"/>
      <c r="OLU267" s="184"/>
      <c r="OLV267" s="184"/>
      <c r="OLW267" s="184"/>
      <c r="OLX267" s="184"/>
      <c r="OLY267" s="184"/>
      <c r="OLZ267" s="184"/>
      <c r="OMA267" s="184"/>
      <c r="OMH267" s="186"/>
      <c r="OMI267" s="183"/>
      <c r="OMJ267" s="184"/>
      <c r="OMK267" s="184"/>
      <c r="OML267" s="184"/>
      <c r="OMM267" s="184"/>
      <c r="OMN267" s="184"/>
      <c r="OMO267" s="184"/>
      <c r="OMP267" s="184"/>
      <c r="OMW267" s="186"/>
      <c r="OMX267" s="183"/>
      <c r="OMY267" s="184"/>
      <c r="OMZ267" s="184"/>
      <c r="ONA267" s="184"/>
      <c r="ONB267" s="184"/>
      <c r="ONC267" s="184"/>
      <c r="OND267" s="184"/>
      <c r="ONE267" s="184"/>
      <c r="ONL267" s="186"/>
      <c r="ONM267" s="183"/>
      <c r="ONN267" s="184"/>
      <c r="ONO267" s="184"/>
      <c r="ONP267" s="184"/>
      <c r="ONQ267" s="184"/>
      <c r="ONR267" s="184"/>
      <c r="ONS267" s="184"/>
      <c r="ONT267" s="184"/>
      <c r="OOA267" s="186"/>
      <c r="OOB267" s="183"/>
      <c r="OOC267" s="184"/>
      <c r="OOD267" s="184"/>
      <c r="OOE267" s="184"/>
      <c r="OOF267" s="184"/>
      <c r="OOG267" s="184"/>
      <c r="OOH267" s="184"/>
      <c r="OOI267" s="184"/>
      <c r="OOP267" s="186"/>
      <c r="OOQ267" s="183"/>
      <c r="OOR267" s="184"/>
      <c r="OOS267" s="184"/>
      <c r="OOT267" s="184"/>
      <c r="OOU267" s="184"/>
      <c r="OOV267" s="184"/>
      <c r="OOW267" s="184"/>
      <c r="OOX267" s="184"/>
      <c r="OPE267" s="186"/>
      <c r="OPF267" s="183"/>
      <c r="OPG267" s="184"/>
      <c r="OPH267" s="184"/>
      <c r="OPI267" s="184"/>
      <c r="OPJ267" s="184"/>
      <c r="OPK267" s="184"/>
      <c r="OPL267" s="184"/>
      <c r="OPM267" s="184"/>
      <c r="OPT267" s="186"/>
      <c r="OPU267" s="183"/>
      <c r="OPV267" s="184"/>
      <c r="OPW267" s="184"/>
      <c r="OPX267" s="184"/>
      <c r="OPY267" s="184"/>
      <c r="OPZ267" s="184"/>
      <c r="OQA267" s="184"/>
      <c r="OQB267" s="184"/>
      <c r="OQI267" s="186"/>
      <c r="OQJ267" s="183"/>
      <c r="OQK267" s="184"/>
      <c r="OQL267" s="184"/>
      <c r="OQM267" s="184"/>
      <c r="OQN267" s="184"/>
      <c r="OQO267" s="184"/>
      <c r="OQP267" s="184"/>
      <c r="OQQ267" s="184"/>
      <c r="OQX267" s="186"/>
      <c r="OQY267" s="183"/>
      <c r="OQZ267" s="184"/>
      <c r="ORA267" s="184"/>
      <c r="ORB267" s="184"/>
      <c r="ORC267" s="184"/>
      <c r="ORD267" s="184"/>
      <c r="ORE267" s="184"/>
      <c r="ORF267" s="184"/>
      <c r="ORM267" s="186"/>
      <c r="ORN267" s="183"/>
      <c r="ORO267" s="184"/>
      <c r="ORP267" s="184"/>
      <c r="ORQ267" s="184"/>
      <c r="ORR267" s="184"/>
      <c r="ORS267" s="184"/>
      <c r="ORT267" s="184"/>
      <c r="ORU267" s="184"/>
      <c r="OSB267" s="186"/>
      <c r="OSC267" s="183"/>
      <c r="OSD267" s="184"/>
      <c r="OSE267" s="184"/>
      <c r="OSF267" s="184"/>
      <c r="OSG267" s="184"/>
      <c r="OSH267" s="184"/>
      <c r="OSI267" s="184"/>
      <c r="OSJ267" s="184"/>
      <c r="OSQ267" s="186"/>
      <c r="OSR267" s="183"/>
      <c r="OSS267" s="184"/>
      <c r="OST267" s="184"/>
      <c r="OSU267" s="184"/>
      <c r="OSV267" s="184"/>
      <c r="OSW267" s="184"/>
      <c r="OSX267" s="184"/>
      <c r="OSY267" s="184"/>
      <c r="OTF267" s="186"/>
      <c r="OTG267" s="183"/>
      <c r="OTH267" s="184"/>
      <c r="OTI267" s="184"/>
      <c r="OTJ267" s="184"/>
      <c r="OTK267" s="184"/>
      <c r="OTL267" s="184"/>
      <c r="OTM267" s="184"/>
      <c r="OTN267" s="184"/>
      <c r="OTU267" s="186"/>
      <c r="OTV267" s="183"/>
      <c r="OTW267" s="184"/>
      <c r="OTX267" s="184"/>
      <c r="OTY267" s="184"/>
      <c r="OTZ267" s="184"/>
      <c r="OUA267" s="184"/>
      <c r="OUB267" s="184"/>
      <c r="OUC267" s="184"/>
      <c r="OUJ267" s="186"/>
      <c r="OUK267" s="183"/>
      <c r="OUL267" s="184"/>
      <c r="OUM267" s="184"/>
      <c r="OUN267" s="184"/>
      <c r="OUO267" s="184"/>
      <c r="OUP267" s="184"/>
      <c r="OUQ267" s="184"/>
      <c r="OUR267" s="184"/>
      <c r="OUY267" s="186"/>
      <c r="OUZ267" s="183"/>
      <c r="OVA267" s="184"/>
      <c r="OVB267" s="184"/>
      <c r="OVC267" s="184"/>
      <c r="OVD267" s="184"/>
      <c r="OVE267" s="184"/>
      <c r="OVF267" s="184"/>
      <c r="OVG267" s="184"/>
      <c r="OVN267" s="186"/>
      <c r="OVO267" s="183"/>
      <c r="OVP267" s="184"/>
      <c r="OVQ267" s="184"/>
      <c r="OVR267" s="184"/>
      <c r="OVS267" s="184"/>
      <c r="OVT267" s="184"/>
      <c r="OVU267" s="184"/>
      <c r="OVV267" s="184"/>
      <c r="OWC267" s="186"/>
      <c r="OWD267" s="183"/>
      <c r="OWE267" s="184"/>
      <c r="OWF267" s="184"/>
      <c r="OWG267" s="184"/>
      <c r="OWH267" s="184"/>
      <c r="OWI267" s="184"/>
      <c r="OWJ267" s="184"/>
      <c r="OWK267" s="184"/>
      <c r="OWR267" s="186"/>
      <c r="OWS267" s="183"/>
      <c r="OWT267" s="184"/>
      <c r="OWU267" s="184"/>
      <c r="OWV267" s="184"/>
      <c r="OWW267" s="184"/>
      <c r="OWX267" s="184"/>
      <c r="OWY267" s="184"/>
      <c r="OWZ267" s="184"/>
      <c r="OXG267" s="186"/>
      <c r="OXH267" s="183"/>
      <c r="OXI267" s="184"/>
      <c r="OXJ267" s="184"/>
      <c r="OXK267" s="184"/>
      <c r="OXL267" s="184"/>
      <c r="OXM267" s="184"/>
      <c r="OXN267" s="184"/>
      <c r="OXO267" s="184"/>
      <c r="OXV267" s="186"/>
      <c r="OXW267" s="183"/>
      <c r="OXX267" s="184"/>
      <c r="OXY267" s="184"/>
      <c r="OXZ267" s="184"/>
      <c r="OYA267" s="184"/>
      <c r="OYB267" s="184"/>
      <c r="OYC267" s="184"/>
      <c r="OYD267" s="184"/>
      <c r="OYK267" s="186"/>
      <c r="OYL267" s="183"/>
      <c r="OYM267" s="184"/>
      <c r="OYN267" s="184"/>
      <c r="OYO267" s="184"/>
      <c r="OYP267" s="184"/>
      <c r="OYQ267" s="184"/>
      <c r="OYR267" s="184"/>
      <c r="OYS267" s="184"/>
      <c r="OYZ267" s="186"/>
      <c r="OZA267" s="183"/>
      <c r="OZB267" s="184"/>
      <c r="OZC267" s="184"/>
      <c r="OZD267" s="184"/>
      <c r="OZE267" s="184"/>
      <c r="OZF267" s="184"/>
      <c r="OZG267" s="184"/>
      <c r="OZH267" s="184"/>
      <c r="OZO267" s="186"/>
      <c r="OZP267" s="183"/>
      <c r="OZQ267" s="184"/>
      <c r="OZR267" s="184"/>
      <c r="OZS267" s="184"/>
      <c r="OZT267" s="184"/>
      <c r="OZU267" s="184"/>
      <c r="OZV267" s="184"/>
      <c r="OZW267" s="184"/>
      <c r="PAD267" s="186"/>
      <c r="PAE267" s="183"/>
      <c r="PAF267" s="184"/>
      <c r="PAG267" s="184"/>
      <c r="PAH267" s="184"/>
      <c r="PAI267" s="184"/>
      <c r="PAJ267" s="184"/>
      <c r="PAK267" s="184"/>
      <c r="PAL267" s="184"/>
      <c r="PAS267" s="186"/>
      <c r="PAT267" s="183"/>
      <c r="PAU267" s="184"/>
      <c r="PAV267" s="184"/>
      <c r="PAW267" s="184"/>
      <c r="PAX267" s="184"/>
      <c r="PAY267" s="184"/>
      <c r="PAZ267" s="184"/>
      <c r="PBA267" s="184"/>
      <c r="PBH267" s="186"/>
      <c r="PBI267" s="183"/>
      <c r="PBJ267" s="184"/>
      <c r="PBK267" s="184"/>
      <c r="PBL267" s="184"/>
      <c r="PBM267" s="184"/>
      <c r="PBN267" s="184"/>
      <c r="PBO267" s="184"/>
      <c r="PBP267" s="184"/>
      <c r="PBW267" s="186"/>
      <c r="PBX267" s="183"/>
      <c r="PBY267" s="184"/>
      <c r="PBZ267" s="184"/>
      <c r="PCA267" s="184"/>
      <c r="PCB267" s="184"/>
      <c r="PCC267" s="184"/>
      <c r="PCD267" s="184"/>
      <c r="PCE267" s="184"/>
      <c r="PCL267" s="186"/>
      <c r="PCM267" s="183"/>
      <c r="PCN267" s="184"/>
      <c r="PCO267" s="184"/>
      <c r="PCP267" s="184"/>
      <c r="PCQ267" s="184"/>
      <c r="PCR267" s="184"/>
      <c r="PCS267" s="184"/>
      <c r="PCT267" s="184"/>
      <c r="PDA267" s="186"/>
      <c r="PDB267" s="183"/>
      <c r="PDC267" s="184"/>
      <c r="PDD267" s="184"/>
      <c r="PDE267" s="184"/>
      <c r="PDF267" s="184"/>
      <c r="PDG267" s="184"/>
      <c r="PDH267" s="184"/>
      <c r="PDI267" s="184"/>
      <c r="PDP267" s="186"/>
      <c r="PDQ267" s="183"/>
      <c r="PDR267" s="184"/>
      <c r="PDS267" s="184"/>
      <c r="PDT267" s="184"/>
      <c r="PDU267" s="184"/>
      <c r="PDV267" s="184"/>
      <c r="PDW267" s="184"/>
      <c r="PDX267" s="184"/>
      <c r="PEE267" s="186"/>
      <c r="PEF267" s="183"/>
      <c r="PEG267" s="184"/>
      <c r="PEH267" s="184"/>
      <c r="PEI267" s="184"/>
      <c r="PEJ267" s="184"/>
      <c r="PEK267" s="184"/>
      <c r="PEL267" s="184"/>
      <c r="PEM267" s="184"/>
      <c r="PET267" s="186"/>
      <c r="PEU267" s="183"/>
      <c r="PEV267" s="184"/>
      <c r="PEW267" s="184"/>
      <c r="PEX267" s="184"/>
      <c r="PEY267" s="184"/>
      <c r="PEZ267" s="184"/>
      <c r="PFA267" s="184"/>
      <c r="PFB267" s="184"/>
      <c r="PFI267" s="186"/>
      <c r="PFJ267" s="183"/>
      <c r="PFK267" s="184"/>
      <c r="PFL267" s="184"/>
      <c r="PFM267" s="184"/>
      <c r="PFN267" s="184"/>
      <c r="PFO267" s="184"/>
      <c r="PFP267" s="184"/>
      <c r="PFQ267" s="184"/>
      <c r="PFX267" s="186"/>
      <c r="PFY267" s="183"/>
      <c r="PFZ267" s="184"/>
      <c r="PGA267" s="184"/>
      <c r="PGB267" s="184"/>
      <c r="PGC267" s="184"/>
      <c r="PGD267" s="184"/>
      <c r="PGE267" s="184"/>
      <c r="PGF267" s="184"/>
      <c r="PGM267" s="186"/>
      <c r="PGN267" s="183"/>
      <c r="PGO267" s="184"/>
      <c r="PGP267" s="184"/>
      <c r="PGQ267" s="184"/>
      <c r="PGR267" s="184"/>
      <c r="PGS267" s="184"/>
      <c r="PGT267" s="184"/>
      <c r="PGU267" s="184"/>
      <c r="PHB267" s="186"/>
      <c r="PHC267" s="183"/>
      <c r="PHD267" s="184"/>
      <c r="PHE267" s="184"/>
      <c r="PHF267" s="184"/>
      <c r="PHG267" s="184"/>
      <c r="PHH267" s="184"/>
      <c r="PHI267" s="184"/>
      <c r="PHJ267" s="184"/>
      <c r="PHQ267" s="186"/>
      <c r="PHR267" s="183"/>
      <c r="PHS267" s="184"/>
      <c r="PHT267" s="184"/>
      <c r="PHU267" s="184"/>
      <c r="PHV267" s="184"/>
      <c r="PHW267" s="184"/>
      <c r="PHX267" s="184"/>
      <c r="PHY267" s="184"/>
      <c r="PIF267" s="186"/>
      <c r="PIG267" s="183"/>
      <c r="PIH267" s="184"/>
      <c r="PII267" s="184"/>
      <c r="PIJ267" s="184"/>
      <c r="PIK267" s="184"/>
      <c r="PIL267" s="184"/>
      <c r="PIM267" s="184"/>
      <c r="PIN267" s="184"/>
      <c r="PIU267" s="186"/>
      <c r="PIV267" s="183"/>
      <c r="PIW267" s="184"/>
      <c r="PIX267" s="184"/>
      <c r="PIY267" s="184"/>
      <c r="PIZ267" s="184"/>
      <c r="PJA267" s="184"/>
      <c r="PJB267" s="184"/>
      <c r="PJC267" s="184"/>
      <c r="PJJ267" s="186"/>
      <c r="PJK267" s="183"/>
      <c r="PJL267" s="184"/>
      <c r="PJM267" s="184"/>
      <c r="PJN267" s="184"/>
      <c r="PJO267" s="184"/>
      <c r="PJP267" s="184"/>
      <c r="PJQ267" s="184"/>
      <c r="PJR267" s="184"/>
      <c r="PJY267" s="186"/>
      <c r="PJZ267" s="183"/>
      <c r="PKA267" s="184"/>
      <c r="PKB267" s="184"/>
      <c r="PKC267" s="184"/>
      <c r="PKD267" s="184"/>
      <c r="PKE267" s="184"/>
      <c r="PKF267" s="184"/>
      <c r="PKG267" s="184"/>
      <c r="PKN267" s="186"/>
      <c r="PKO267" s="183"/>
      <c r="PKP267" s="184"/>
      <c r="PKQ267" s="184"/>
      <c r="PKR267" s="184"/>
      <c r="PKS267" s="184"/>
      <c r="PKT267" s="184"/>
      <c r="PKU267" s="184"/>
      <c r="PKV267" s="184"/>
      <c r="PLC267" s="186"/>
      <c r="PLD267" s="183"/>
      <c r="PLE267" s="184"/>
      <c r="PLF267" s="184"/>
      <c r="PLG267" s="184"/>
      <c r="PLH267" s="184"/>
      <c r="PLI267" s="184"/>
      <c r="PLJ267" s="184"/>
      <c r="PLK267" s="184"/>
      <c r="PLR267" s="186"/>
      <c r="PLS267" s="183"/>
      <c r="PLT267" s="184"/>
      <c r="PLU267" s="184"/>
      <c r="PLV267" s="184"/>
      <c r="PLW267" s="184"/>
      <c r="PLX267" s="184"/>
      <c r="PLY267" s="184"/>
      <c r="PLZ267" s="184"/>
      <c r="PMG267" s="186"/>
      <c r="PMH267" s="183"/>
      <c r="PMI267" s="184"/>
      <c r="PMJ267" s="184"/>
      <c r="PMK267" s="184"/>
      <c r="PML267" s="184"/>
      <c r="PMM267" s="184"/>
      <c r="PMN267" s="184"/>
      <c r="PMO267" s="184"/>
      <c r="PMV267" s="186"/>
      <c r="PMW267" s="183"/>
      <c r="PMX267" s="184"/>
      <c r="PMY267" s="184"/>
      <c r="PMZ267" s="184"/>
      <c r="PNA267" s="184"/>
      <c r="PNB267" s="184"/>
      <c r="PNC267" s="184"/>
      <c r="PND267" s="184"/>
      <c r="PNK267" s="186"/>
      <c r="PNL267" s="183"/>
      <c r="PNM267" s="184"/>
      <c r="PNN267" s="184"/>
      <c r="PNO267" s="184"/>
      <c r="PNP267" s="184"/>
      <c r="PNQ267" s="184"/>
      <c r="PNR267" s="184"/>
      <c r="PNS267" s="184"/>
      <c r="PNZ267" s="186"/>
      <c r="POA267" s="183"/>
      <c r="POB267" s="184"/>
      <c r="POC267" s="184"/>
      <c r="POD267" s="184"/>
      <c r="POE267" s="184"/>
      <c r="POF267" s="184"/>
      <c r="POG267" s="184"/>
      <c r="POH267" s="184"/>
      <c r="POO267" s="186"/>
      <c r="POP267" s="183"/>
      <c r="POQ267" s="184"/>
      <c r="POR267" s="184"/>
      <c r="POS267" s="184"/>
      <c r="POT267" s="184"/>
      <c r="POU267" s="184"/>
      <c r="POV267" s="184"/>
      <c r="POW267" s="184"/>
      <c r="PPD267" s="186"/>
      <c r="PPE267" s="183"/>
      <c r="PPF267" s="184"/>
      <c r="PPG267" s="184"/>
      <c r="PPH267" s="184"/>
      <c r="PPI267" s="184"/>
      <c r="PPJ267" s="184"/>
      <c r="PPK267" s="184"/>
      <c r="PPL267" s="184"/>
      <c r="PPS267" s="186"/>
      <c r="PPT267" s="183"/>
      <c r="PPU267" s="184"/>
      <c r="PPV267" s="184"/>
      <c r="PPW267" s="184"/>
      <c r="PPX267" s="184"/>
      <c r="PPY267" s="184"/>
      <c r="PPZ267" s="184"/>
      <c r="PQA267" s="184"/>
      <c r="PQH267" s="186"/>
      <c r="PQI267" s="183"/>
      <c r="PQJ267" s="184"/>
      <c r="PQK267" s="184"/>
      <c r="PQL267" s="184"/>
      <c r="PQM267" s="184"/>
      <c r="PQN267" s="184"/>
      <c r="PQO267" s="184"/>
      <c r="PQP267" s="184"/>
      <c r="PQW267" s="186"/>
      <c r="PQX267" s="183"/>
      <c r="PQY267" s="184"/>
      <c r="PQZ267" s="184"/>
      <c r="PRA267" s="184"/>
      <c r="PRB267" s="184"/>
      <c r="PRC267" s="184"/>
      <c r="PRD267" s="184"/>
      <c r="PRE267" s="184"/>
      <c r="PRL267" s="186"/>
      <c r="PRM267" s="183"/>
      <c r="PRN267" s="184"/>
      <c r="PRO267" s="184"/>
      <c r="PRP267" s="184"/>
      <c r="PRQ267" s="184"/>
      <c r="PRR267" s="184"/>
      <c r="PRS267" s="184"/>
      <c r="PRT267" s="184"/>
      <c r="PSA267" s="186"/>
      <c r="PSB267" s="183"/>
      <c r="PSC267" s="184"/>
      <c r="PSD267" s="184"/>
      <c r="PSE267" s="184"/>
      <c r="PSF267" s="184"/>
      <c r="PSG267" s="184"/>
      <c r="PSH267" s="184"/>
      <c r="PSI267" s="184"/>
      <c r="PSP267" s="186"/>
      <c r="PSQ267" s="183"/>
      <c r="PSR267" s="184"/>
      <c r="PSS267" s="184"/>
      <c r="PST267" s="184"/>
      <c r="PSU267" s="184"/>
      <c r="PSV267" s="184"/>
      <c r="PSW267" s="184"/>
      <c r="PSX267" s="184"/>
      <c r="PTE267" s="186"/>
      <c r="PTF267" s="183"/>
      <c r="PTG267" s="184"/>
      <c r="PTH267" s="184"/>
      <c r="PTI267" s="184"/>
      <c r="PTJ267" s="184"/>
      <c r="PTK267" s="184"/>
      <c r="PTL267" s="184"/>
      <c r="PTM267" s="184"/>
      <c r="PTT267" s="186"/>
      <c r="PTU267" s="183"/>
      <c r="PTV267" s="184"/>
      <c r="PTW267" s="184"/>
      <c r="PTX267" s="184"/>
      <c r="PTY267" s="184"/>
      <c r="PTZ267" s="184"/>
      <c r="PUA267" s="184"/>
      <c r="PUB267" s="184"/>
      <c r="PUI267" s="186"/>
      <c r="PUJ267" s="183"/>
      <c r="PUK267" s="184"/>
      <c r="PUL267" s="184"/>
      <c r="PUM267" s="184"/>
      <c r="PUN267" s="184"/>
      <c r="PUO267" s="184"/>
      <c r="PUP267" s="184"/>
      <c r="PUQ267" s="184"/>
      <c r="PUX267" s="186"/>
      <c r="PUY267" s="183"/>
      <c r="PUZ267" s="184"/>
      <c r="PVA267" s="184"/>
      <c r="PVB267" s="184"/>
      <c r="PVC267" s="184"/>
      <c r="PVD267" s="184"/>
      <c r="PVE267" s="184"/>
      <c r="PVF267" s="184"/>
      <c r="PVM267" s="186"/>
      <c r="PVN267" s="183"/>
      <c r="PVO267" s="184"/>
      <c r="PVP267" s="184"/>
      <c r="PVQ267" s="184"/>
      <c r="PVR267" s="184"/>
      <c r="PVS267" s="184"/>
      <c r="PVT267" s="184"/>
      <c r="PVU267" s="184"/>
      <c r="PWB267" s="186"/>
      <c r="PWC267" s="183"/>
      <c r="PWD267" s="184"/>
      <c r="PWE267" s="184"/>
      <c r="PWF267" s="184"/>
      <c r="PWG267" s="184"/>
      <c r="PWH267" s="184"/>
      <c r="PWI267" s="184"/>
      <c r="PWJ267" s="184"/>
      <c r="PWQ267" s="186"/>
      <c r="PWR267" s="183"/>
      <c r="PWS267" s="184"/>
      <c r="PWT267" s="184"/>
      <c r="PWU267" s="184"/>
      <c r="PWV267" s="184"/>
      <c r="PWW267" s="184"/>
      <c r="PWX267" s="184"/>
      <c r="PWY267" s="184"/>
      <c r="PXF267" s="186"/>
      <c r="PXG267" s="183"/>
      <c r="PXH267" s="184"/>
      <c r="PXI267" s="184"/>
      <c r="PXJ267" s="184"/>
      <c r="PXK267" s="184"/>
      <c r="PXL267" s="184"/>
      <c r="PXM267" s="184"/>
      <c r="PXN267" s="184"/>
      <c r="PXU267" s="186"/>
      <c r="PXV267" s="183"/>
      <c r="PXW267" s="184"/>
      <c r="PXX267" s="184"/>
      <c r="PXY267" s="184"/>
      <c r="PXZ267" s="184"/>
      <c r="PYA267" s="184"/>
      <c r="PYB267" s="184"/>
      <c r="PYC267" s="184"/>
      <c r="PYJ267" s="186"/>
      <c r="PYK267" s="183"/>
      <c r="PYL267" s="184"/>
      <c r="PYM267" s="184"/>
      <c r="PYN267" s="184"/>
      <c r="PYO267" s="184"/>
      <c r="PYP267" s="184"/>
      <c r="PYQ267" s="184"/>
      <c r="PYR267" s="184"/>
      <c r="PYY267" s="186"/>
      <c r="PYZ267" s="183"/>
      <c r="PZA267" s="184"/>
      <c r="PZB267" s="184"/>
      <c r="PZC267" s="184"/>
      <c r="PZD267" s="184"/>
      <c r="PZE267" s="184"/>
      <c r="PZF267" s="184"/>
      <c r="PZG267" s="184"/>
      <c r="PZN267" s="186"/>
      <c r="PZO267" s="183"/>
      <c r="PZP267" s="184"/>
      <c r="PZQ267" s="184"/>
      <c r="PZR267" s="184"/>
      <c r="PZS267" s="184"/>
      <c r="PZT267" s="184"/>
      <c r="PZU267" s="184"/>
      <c r="PZV267" s="184"/>
      <c r="QAC267" s="186"/>
      <c r="QAD267" s="183"/>
      <c r="QAE267" s="184"/>
      <c r="QAF267" s="184"/>
      <c r="QAG267" s="184"/>
      <c r="QAH267" s="184"/>
      <c r="QAI267" s="184"/>
      <c r="QAJ267" s="184"/>
      <c r="QAK267" s="184"/>
      <c r="QAR267" s="186"/>
      <c r="QAS267" s="183"/>
      <c r="QAT267" s="184"/>
      <c r="QAU267" s="184"/>
      <c r="QAV267" s="184"/>
      <c r="QAW267" s="184"/>
      <c r="QAX267" s="184"/>
      <c r="QAY267" s="184"/>
      <c r="QAZ267" s="184"/>
      <c r="QBG267" s="186"/>
      <c r="QBH267" s="183"/>
      <c r="QBI267" s="184"/>
      <c r="QBJ267" s="184"/>
      <c r="QBK267" s="184"/>
      <c r="QBL267" s="184"/>
      <c r="QBM267" s="184"/>
      <c r="QBN267" s="184"/>
      <c r="QBO267" s="184"/>
      <c r="QBV267" s="186"/>
      <c r="QBW267" s="183"/>
      <c r="QBX267" s="184"/>
      <c r="QBY267" s="184"/>
      <c r="QBZ267" s="184"/>
      <c r="QCA267" s="184"/>
      <c r="QCB267" s="184"/>
      <c r="QCC267" s="184"/>
      <c r="QCD267" s="184"/>
      <c r="QCK267" s="186"/>
      <c r="QCL267" s="183"/>
      <c r="QCM267" s="184"/>
      <c r="QCN267" s="184"/>
      <c r="QCO267" s="184"/>
      <c r="QCP267" s="184"/>
      <c r="QCQ267" s="184"/>
      <c r="QCR267" s="184"/>
      <c r="QCS267" s="184"/>
      <c r="QCZ267" s="186"/>
      <c r="QDA267" s="183"/>
      <c r="QDB267" s="184"/>
      <c r="QDC267" s="184"/>
      <c r="QDD267" s="184"/>
      <c r="QDE267" s="184"/>
      <c r="QDF267" s="184"/>
      <c r="QDG267" s="184"/>
      <c r="QDH267" s="184"/>
      <c r="QDO267" s="186"/>
      <c r="QDP267" s="183"/>
      <c r="QDQ267" s="184"/>
      <c r="QDR267" s="184"/>
      <c r="QDS267" s="184"/>
      <c r="QDT267" s="184"/>
      <c r="QDU267" s="184"/>
      <c r="QDV267" s="184"/>
      <c r="QDW267" s="184"/>
      <c r="QED267" s="186"/>
      <c r="QEE267" s="183"/>
      <c r="QEF267" s="184"/>
      <c r="QEG267" s="184"/>
      <c r="QEH267" s="184"/>
      <c r="QEI267" s="184"/>
      <c r="QEJ267" s="184"/>
      <c r="QEK267" s="184"/>
      <c r="QEL267" s="184"/>
      <c r="QES267" s="186"/>
      <c r="QET267" s="183"/>
      <c r="QEU267" s="184"/>
      <c r="QEV267" s="184"/>
      <c r="QEW267" s="184"/>
      <c r="QEX267" s="184"/>
      <c r="QEY267" s="184"/>
      <c r="QEZ267" s="184"/>
      <c r="QFA267" s="184"/>
      <c r="QFH267" s="186"/>
      <c r="QFI267" s="183"/>
      <c r="QFJ267" s="184"/>
      <c r="QFK267" s="184"/>
      <c r="QFL267" s="184"/>
      <c r="QFM267" s="184"/>
      <c r="QFN267" s="184"/>
      <c r="QFO267" s="184"/>
      <c r="QFP267" s="184"/>
      <c r="QFW267" s="186"/>
      <c r="QFX267" s="183"/>
      <c r="QFY267" s="184"/>
      <c r="QFZ267" s="184"/>
      <c r="QGA267" s="184"/>
      <c r="QGB267" s="184"/>
      <c r="QGC267" s="184"/>
      <c r="QGD267" s="184"/>
      <c r="QGE267" s="184"/>
      <c r="QGL267" s="186"/>
      <c r="QGM267" s="183"/>
      <c r="QGN267" s="184"/>
      <c r="QGO267" s="184"/>
      <c r="QGP267" s="184"/>
      <c r="QGQ267" s="184"/>
      <c r="QGR267" s="184"/>
      <c r="QGS267" s="184"/>
      <c r="QGT267" s="184"/>
      <c r="QHA267" s="186"/>
      <c r="QHB267" s="183"/>
      <c r="QHC267" s="184"/>
      <c r="QHD267" s="184"/>
      <c r="QHE267" s="184"/>
      <c r="QHF267" s="184"/>
      <c r="QHG267" s="184"/>
      <c r="QHH267" s="184"/>
      <c r="QHI267" s="184"/>
      <c r="QHP267" s="186"/>
      <c r="QHQ267" s="183"/>
      <c r="QHR267" s="184"/>
      <c r="QHS267" s="184"/>
      <c r="QHT267" s="184"/>
      <c r="QHU267" s="184"/>
      <c r="QHV267" s="184"/>
      <c r="QHW267" s="184"/>
      <c r="QHX267" s="184"/>
      <c r="QIE267" s="186"/>
      <c r="QIF267" s="183"/>
      <c r="QIG267" s="184"/>
      <c r="QIH267" s="184"/>
      <c r="QII267" s="184"/>
      <c r="QIJ267" s="184"/>
      <c r="QIK267" s="184"/>
      <c r="QIL267" s="184"/>
      <c r="QIM267" s="184"/>
      <c r="QIT267" s="186"/>
      <c r="QIU267" s="183"/>
      <c r="QIV267" s="184"/>
      <c r="QIW267" s="184"/>
      <c r="QIX267" s="184"/>
      <c r="QIY267" s="184"/>
      <c r="QIZ267" s="184"/>
      <c r="QJA267" s="184"/>
      <c r="QJB267" s="184"/>
      <c r="QJI267" s="186"/>
      <c r="QJJ267" s="183"/>
      <c r="QJK267" s="184"/>
      <c r="QJL267" s="184"/>
      <c r="QJM267" s="184"/>
      <c r="QJN267" s="184"/>
      <c r="QJO267" s="184"/>
      <c r="QJP267" s="184"/>
      <c r="QJQ267" s="184"/>
      <c r="QJX267" s="186"/>
      <c r="QJY267" s="183"/>
      <c r="QJZ267" s="184"/>
      <c r="QKA267" s="184"/>
      <c r="QKB267" s="184"/>
      <c r="QKC267" s="184"/>
      <c r="QKD267" s="184"/>
      <c r="QKE267" s="184"/>
      <c r="QKF267" s="184"/>
      <c r="QKM267" s="186"/>
      <c r="QKN267" s="183"/>
      <c r="QKO267" s="184"/>
      <c r="QKP267" s="184"/>
      <c r="QKQ267" s="184"/>
      <c r="QKR267" s="184"/>
      <c r="QKS267" s="184"/>
      <c r="QKT267" s="184"/>
      <c r="QKU267" s="184"/>
      <c r="QLB267" s="186"/>
      <c r="QLC267" s="183"/>
      <c r="QLD267" s="184"/>
      <c r="QLE267" s="184"/>
      <c r="QLF267" s="184"/>
      <c r="QLG267" s="184"/>
      <c r="QLH267" s="184"/>
      <c r="QLI267" s="184"/>
      <c r="QLJ267" s="184"/>
      <c r="QLQ267" s="186"/>
      <c r="QLR267" s="183"/>
      <c r="QLS267" s="184"/>
      <c r="QLT267" s="184"/>
      <c r="QLU267" s="184"/>
      <c r="QLV267" s="184"/>
      <c r="QLW267" s="184"/>
      <c r="QLX267" s="184"/>
      <c r="QLY267" s="184"/>
      <c r="QMF267" s="186"/>
      <c r="QMG267" s="183"/>
      <c r="QMH267" s="184"/>
      <c r="QMI267" s="184"/>
      <c r="QMJ267" s="184"/>
      <c r="QMK267" s="184"/>
      <c r="QML267" s="184"/>
      <c r="QMM267" s="184"/>
      <c r="QMN267" s="184"/>
      <c r="QMU267" s="186"/>
      <c r="QMV267" s="183"/>
      <c r="QMW267" s="184"/>
      <c r="QMX267" s="184"/>
      <c r="QMY267" s="184"/>
      <c r="QMZ267" s="184"/>
      <c r="QNA267" s="184"/>
      <c r="QNB267" s="184"/>
      <c r="QNC267" s="184"/>
      <c r="QNJ267" s="186"/>
      <c r="QNK267" s="183"/>
      <c r="QNL267" s="184"/>
      <c r="QNM267" s="184"/>
      <c r="QNN267" s="184"/>
      <c r="QNO267" s="184"/>
      <c r="QNP267" s="184"/>
      <c r="QNQ267" s="184"/>
      <c r="QNR267" s="184"/>
      <c r="QNY267" s="186"/>
      <c r="QNZ267" s="183"/>
      <c r="QOA267" s="184"/>
      <c r="QOB267" s="184"/>
      <c r="QOC267" s="184"/>
      <c r="QOD267" s="184"/>
      <c r="QOE267" s="184"/>
      <c r="QOF267" s="184"/>
      <c r="QOG267" s="184"/>
      <c r="QON267" s="186"/>
      <c r="QOO267" s="183"/>
      <c r="QOP267" s="184"/>
      <c r="QOQ267" s="184"/>
      <c r="QOR267" s="184"/>
      <c r="QOS267" s="184"/>
      <c r="QOT267" s="184"/>
      <c r="QOU267" s="184"/>
      <c r="QOV267" s="184"/>
      <c r="QPC267" s="186"/>
      <c r="QPD267" s="183"/>
      <c r="QPE267" s="184"/>
      <c r="QPF267" s="184"/>
      <c r="QPG267" s="184"/>
      <c r="QPH267" s="184"/>
      <c r="QPI267" s="184"/>
      <c r="QPJ267" s="184"/>
      <c r="QPK267" s="184"/>
      <c r="QPR267" s="186"/>
      <c r="QPS267" s="183"/>
      <c r="QPT267" s="184"/>
      <c r="QPU267" s="184"/>
      <c r="QPV267" s="184"/>
      <c r="QPW267" s="184"/>
      <c r="QPX267" s="184"/>
      <c r="QPY267" s="184"/>
      <c r="QPZ267" s="184"/>
      <c r="QQG267" s="186"/>
      <c r="QQH267" s="183"/>
      <c r="QQI267" s="184"/>
      <c r="QQJ267" s="184"/>
      <c r="QQK267" s="184"/>
      <c r="QQL267" s="184"/>
      <c r="QQM267" s="184"/>
      <c r="QQN267" s="184"/>
      <c r="QQO267" s="184"/>
      <c r="QQV267" s="186"/>
      <c r="QQW267" s="183"/>
      <c r="QQX267" s="184"/>
      <c r="QQY267" s="184"/>
      <c r="QQZ267" s="184"/>
      <c r="QRA267" s="184"/>
      <c r="QRB267" s="184"/>
      <c r="QRC267" s="184"/>
      <c r="QRD267" s="184"/>
      <c r="QRK267" s="186"/>
      <c r="QRL267" s="183"/>
      <c r="QRM267" s="184"/>
      <c r="QRN267" s="184"/>
      <c r="QRO267" s="184"/>
      <c r="QRP267" s="184"/>
      <c r="QRQ267" s="184"/>
      <c r="QRR267" s="184"/>
      <c r="QRS267" s="184"/>
      <c r="QRZ267" s="186"/>
      <c r="QSA267" s="183"/>
      <c r="QSB267" s="184"/>
      <c r="QSC267" s="184"/>
      <c r="QSD267" s="184"/>
      <c r="QSE267" s="184"/>
      <c r="QSF267" s="184"/>
      <c r="QSG267" s="184"/>
      <c r="QSH267" s="184"/>
      <c r="QSO267" s="186"/>
      <c r="QSP267" s="183"/>
      <c r="QSQ267" s="184"/>
      <c r="QSR267" s="184"/>
      <c r="QSS267" s="184"/>
      <c r="QST267" s="184"/>
      <c r="QSU267" s="184"/>
      <c r="QSV267" s="184"/>
      <c r="QSW267" s="184"/>
      <c r="QTD267" s="186"/>
      <c r="QTE267" s="183"/>
      <c r="QTF267" s="184"/>
      <c r="QTG267" s="184"/>
      <c r="QTH267" s="184"/>
      <c r="QTI267" s="184"/>
      <c r="QTJ267" s="184"/>
      <c r="QTK267" s="184"/>
      <c r="QTL267" s="184"/>
      <c r="QTS267" s="186"/>
      <c r="QTT267" s="183"/>
      <c r="QTU267" s="184"/>
      <c r="QTV267" s="184"/>
      <c r="QTW267" s="184"/>
      <c r="QTX267" s="184"/>
      <c r="QTY267" s="184"/>
      <c r="QTZ267" s="184"/>
      <c r="QUA267" s="184"/>
      <c r="QUH267" s="186"/>
      <c r="QUI267" s="183"/>
      <c r="QUJ267" s="184"/>
      <c r="QUK267" s="184"/>
      <c r="QUL267" s="184"/>
      <c r="QUM267" s="184"/>
      <c r="QUN267" s="184"/>
      <c r="QUO267" s="184"/>
      <c r="QUP267" s="184"/>
      <c r="QUW267" s="186"/>
      <c r="QUX267" s="183"/>
      <c r="QUY267" s="184"/>
      <c r="QUZ267" s="184"/>
      <c r="QVA267" s="184"/>
      <c r="QVB267" s="184"/>
      <c r="QVC267" s="184"/>
      <c r="QVD267" s="184"/>
      <c r="QVE267" s="184"/>
      <c r="QVL267" s="186"/>
      <c r="QVM267" s="183"/>
      <c r="QVN267" s="184"/>
      <c r="QVO267" s="184"/>
      <c r="QVP267" s="184"/>
      <c r="QVQ267" s="184"/>
      <c r="QVR267" s="184"/>
      <c r="QVS267" s="184"/>
      <c r="QVT267" s="184"/>
      <c r="QWA267" s="186"/>
      <c r="QWB267" s="183"/>
      <c r="QWC267" s="184"/>
      <c r="QWD267" s="184"/>
      <c r="QWE267" s="184"/>
      <c r="QWF267" s="184"/>
      <c r="QWG267" s="184"/>
      <c r="QWH267" s="184"/>
      <c r="QWI267" s="184"/>
      <c r="QWP267" s="186"/>
      <c r="QWQ267" s="183"/>
      <c r="QWR267" s="184"/>
      <c r="QWS267" s="184"/>
      <c r="QWT267" s="184"/>
      <c r="QWU267" s="184"/>
      <c r="QWV267" s="184"/>
      <c r="QWW267" s="184"/>
      <c r="QWX267" s="184"/>
      <c r="QXE267" s="186"/>
      <c r="QXF267" s="183"/>
      <c r="QXG267" s="184"/>
      <c r="QXH267" s="184"/>
      <c r="QXI267" s="184"/>
      <c r="QXJ267" s="184"/>
      <c r="QXK267" s="184"/>
      <c r="QXL267" s="184"/>
      <c r="QXM267" s="184"/>
      <c r="QXT267" s="186"/>
      <c r="QXU267" s="183"/>
      <c r="QXV267" s="184"/>
      <c r="QXW267" s="184"/>
      <c r="QXX267" s="184"/>
      <c r="QXY267" s="184"/>
      <c r="QXZ267" s="184"/>
      <c r="QYA267" s="184"/>
      <c r="QYB267" s="184"/>
      <c r="QYI267" s="186"/>
      <c r="QYJ267" s="183"/>
      <c r="QYK267" s="184"/>
      <c r="QYL267" s="184"/>
      <c r="QYM267" s="184"/>
      <c r="QYN267" s="184"/>
      <c r="QYO267" s="184"/>
      <c r="QYP267" s="184"/>
      <c r="QYQ267" s="184"/>
      <c r="QYX267" s="186"/>
      <c r="QYY267" s="183"/>
      <c r="QYZ267" s="184"/>
      <c r="QZA267" s="184"/>
      <c r="QZB267" s="184"/>
      <c r="QZC267" s="184"/>
      <c r="QZD267" s="184"/>
      <c r="QZE267" s="184"/>
      <c r="QZF267" s="184"/>
      <c r="QZM267" s="186"/>
      <c r="QZN267" s="183"/>
      <c r="QZO267" s="184"/>
      <c r="QZP267" s="184"/>
      <c r="QZQ267" s="184"/>
      <c r="QZR267" s="184"/>
      <c r="QZS267" s="184"/>
      <c r="QZT267" s="184"/>
      <c r="QZU267" s="184"/>
      <c r="RAB267" s="186"/>
      <c r="RAC267" s="183"/>
      <c r="RAD267" s="184"/>
      <c r="RAE267" s="184"/>
      <c r="RAF267" s="184"/>
      <c r="RAG267" s="184"/>
      <c r="RAH267" s="184"/>
      <c r="RAI267" s="184"/>
      <c r="RAJ267" s="184"/>
      <c r="RAQ267" s="186"/>
      <c r="RAR267" s="183"/>
      <c r="RAS267" s="184"/>
      <c r="RAT267" s="184"/>
      <c r="RAU267" s="184"/>
      <c r="RAV267" s="184"/>
      <c r="RAW267" s="184"/>
      <c r="RAX267" s="184"/>
      <c r="RAY267" s="184"/>
      <c r="RBF267" s="186"/>
      <c r="RBG267" s="183"/>
      <c r="RBH267" s="184"/>
      <c r="RBI267" s="184"/>
      <c r="RBJ267" s="184"/>
      <c r="RBK267" s="184"/>
      <c r="RBL267" s="184"/>
      <c r="RBM267" s="184"/>
      <c r="RBN267" s="184"/>
      <c r="RBU267" s="186"/>
      <c r="RBV267" s="183"/>
      <c r="RBW267" s="184"/>
      <c r="RBX267" s="184"/>
      <c r="RBY267" s="184"/>
      <c r="RBZ267" s="184"/>
      <c r="RCA267" s="184"/>
      <c r="RCB267" s="184"/>
      <c r="RCC267" s="184"/>
      <c r="RCJ267" s="186"/>
      <c r="RCK267" s="183"/>
      <c r="RCL267" s="184"/>
      <c r="RCM267" s="184"/>
      <c r="RCN267" s="184"/>
      <c r="RCO267" s="184"/>
      <c r="RCP267" s="184"/>
      <c r="RCQ267" s="184"/>
      <c r="RCR267" s="184"/>
      <c r="RCY267" s="186"/>
      <c r="RCZ267" s="183"/>
      <c r="RDA267" s="184"/>
      <c r="RDB267" s="184"/>
      <c r="RDC267" s="184"/>
      <c r="RDD267" s="184"/>
      <c r="RDE267" s="184"/>
      <c r="RDF267" s="184"/>
      <c r="RDG267" s="184"/>
      <c r="RDN267" s="186"/>
      <c r="RDO267" s="183"/>
      <c r="RDP267" s="184"/>
      <c r="RDQ267" s="184"/>
      <c r="RDR267" s="184"/>
      <c r="RDS267" s="184"/>
      <c r="RDT267" s="184"/>
      <c r="RDU267" s="184"/>
      <c r="RDV267" s="184"/>
      <c r="REC267" s="186"/>
      <c r="RED267" s="183"/>
      <c r="REE267" s="184"/>
      <c r="REF267" s="184"/>
      <c r="REG267" s="184"/>
      <c r="REH267" s="184"/>
      <c r="REI267" s="184"/>
      <c r="REJ267" s="184"/>
      <c r="REK267" s="184"/>
      <c r="RER267" s="186"/>
      <c r="RES267" s="183"/>
      <c r="RET267" s="184"/>
      <c r="REU267" s="184"/>
      <c r="REV267" s="184"/>
      <c r="REW267" s="184"/>
      <c r="REX267" s="184"/>
      <c r="REY267" s="184"/>
      <c r="REZ267" s="184"/>
      <c r="RFG267" s="186"/>
      <c r="RFH267" s="183"/>
      <c r="RFI267" s="184"/>
      <c r="RFJ267" s="184"/>
      <c r="RFK267" s="184"/>
      <c r="RFL267" s="184"/>
      <c r="RFM267" s="184"/>
      <c r="RFN267" s="184"/>
      <c r="RFO267" s="184"/>
      <c r="RFV267" s="186"/>
      <c r="RFW267" s="183"/>
      <c r="RFX267" s="184"/>
      <c r="RFY267" s="184"/>
      <c r="RFZ267" s="184"/>
      <c r="RGA267" s="184"/>
      <c r="RGB267" s="184"/>
      <c r="RGC267" s="184"/>
      <c r="RGD267" s="184"/>
      <c r="RGK267" s="186"/>
      <c r="RGL267" s="183"/>
      <c r="RGM267" s="184"/>
      <c r="RGN267" s="184"/>
      <c r="RGO267" s="184"/>
      <c r="RGP267" s="184"/>
      <c r="RGQ267" s="184"/>
      <c r="RGR267" s="184"/>
      <c r="RGS267" s="184"/>
      <c r="RGZ267" s="186"/>
      <c r="RHA267" s="183"/>
      <c r="RHB267" s="184"/>
      <c r="RHC267" s="184"/>
      <c r="RHD267" s="184"/>
      <c r="RHE267" s="184"/>
      <c r="RHF267" s="184"/>
      <c r="RHG267" s="184"/>
      <c r="RHH267" s="184"/>
      <c r="RHO267" s="186"/>
      <c r="RHP267" s="183"/>
      <c r="RHQ267" s="184"/>
      <c r="RHR267" s="184"/>
      <c r="RHS267" s="184"/>
      <c r="RHT267" s="184"/>
      <c r="RHU267" s="184"/>
      <c r="RHV267" s="184"/>
      <c r="RHW267" s="184"/>
      <c r="RID267" s="186"/>
      <c r="RIE267" s="183"/>
      <c r="RIF267" s="184"/>
      <c r="RIG267" s="184"/>
      <c r="RIH267" s="184"/>
      <c r="RII267" s="184"/>
      <c r="RIJ267" s="184"/>
      <c r="RIK267" s="184"/>
      <c r="RIL267" s="184"/>
      <c r="RIS267" s="186"/>
      <c r="RIT267" s="183"/>
      <c r="RIU267" s="184"/>
      <c r="RIV267" s="184"/>
      <c r="RIW267" s="184"/>
      <c r="RIX267" s="184"/>
      <c r="RIY267" s="184"/>
      <c r="RIZ267" s="184"/>
      <c r="RJA267" s="184"/>
      <c r="RJH267" s="186"/>
      <c r="RJI267" s="183"/>
      <c r="RJJ267" s="184"/>
      <c r="RJK267" s="184"/>
      <c r="RJL267" s="184"/>
      <c r="RJM267" s="184"/>
      <c r="RJN267" s="184"/>
      <c r="RJO267" s="184"/>
      <c r="RJP267" s="184"/>
      <c r="RJW267" s="186"/>
      <c r="RJX267" s="183"/>
      <c r="RJY267" s="184"/>
      <c r="RJZ267" s="184"/>
      <c r="RKA267" s="184"/>
      <c r="RKB267" s="184"/>
      <c r="RKC267" s="184"/>
      <c r="RKD267" s="184"/>
      <c r="RKE267" s="184"/>
      <c r="RKL267" s="186"/>
      <c r="RKM267" s="183"/>
      <c r="RKN267" s="184"/>
      <c r="RKO267" s="184"/>
      <c r="RKP267" s="184"/>
      <c r="RKQ267" s="184"/>
      <c r="RKR267" s="184"/>
      <c r="RKS267" s="184"/>
      <c r="RKT267" s="184"/>
      <c r="RLA267" s="186"/>
      <c r="RLB267" s="183"/>
      <c r="RLC267" s="184"/>
      <c r="RLD267" s="184"/>
      <c r="RLE267" s="184"/>
      <c r="RLF267" s="184"/>
      <c r="RLG267" s="184"/>
      <c r="RLH267" s="184"/>
      <c r="RLI267" s="184"/>
      <c r="RLP267" s="186"/>
      <c r="RLQ267" s="183"/>
      <c r="RLR267" s="184"/>
      <c r="RLS267" s="184"/>
      <c r="RLT267" s="184"/>
      <c r="RLU267" s="184"/>
      <c r="RLV267" s="184"/>
      <c r="RLW267" s="184"/>
      <c r="RLX267" s="184"/>
      <c r="RME267" s="186"/>
      <c r="RMF267" s="183"/>
      <c r="RMG267" s="184"/>
      <c r="RMH267" s="184"/>
      <c r="RMI267" s="184"/>
      <c r="RMJ267" s="184"/>
      <c r="RMK267" s="184"/>
      <c r="RML267" s="184"/>
      <c r="RMM267" s="184"/>
      <c r="RMT267" s="186"/>
      <c r="RMU267" s="183"/>
      <c r="RMV267" s="184"/>
      <c r="RMW267" s="184"/>
      <c r="RMX267" s="184"/>
      <c r="RMY267" s="184"/>
      <c r="RMZ267" s="184"/>
      <c r="RNA267" s="184"/>
      <c r="RNB267" s="184"/>
      <c r="RNI267" s="186"/>
      <c r="RNJ267" s="183"/>
      <c r="RNK267" s="184"/>
      <c r="RNL267" s="184"/>
      <c r="RNM267" s="184"/>
      <c r="RNN267" s="184"/>
      <c r="RNO267" s="184"/>
      <c r="RNP267" s="184"/>
      <c r="RNQ267" s="184"/>
      <c r="RNX267" s="186"/>
      <c r="RNY267" s="183"/>
      <c r="RNZ267" s="184"/>
      <c r="ROA267" s="184"/>
      <c r="ROB267" s="184"/>
      <c r="ROC267" s="184"/>
      <c r="ROD267" s="184"/>
      <c r="ROE267" s="184"/>
      <c r="ROF267" s="184"/>
      <c r="ROM267" s="186"/>
      <c r="RON267" s="183"/>
      <c r="ROO267" s="184"/>
      <c r="ROP267" s="184"/>
      <c r="ROQ267" s="184"/>
      <c r="ROR267" s="184"/>
      <c r="ROS267" s="184"/>
      <c r="ROT267" s="184"/>
      <c r="ROU267" s="184"/>
      <c r="RPB267" s="186"/>
      <c r="RPC267" s="183"/>
      <c r="RPD267" s="184"/>
      <c r="RPE267" s="184"/>
      <c r="RPF267" s="184"/>
      <c r="RPG267" s="184"/>
      <c r="RPH267" s="184"/>
      <c r="RPI267" s="184"/>
      <c r="RPJ267" s="184"/>
      <c r="RPQ267" s="186"/>
      <c r="RPR267" s="183"/>
      <c r="RPS267" s="184"/>
      <c r="RPT267" s="184"/>
      <c r="RPU267" s="184"/>
      <c r="RPV267" s="184"/>
      <c r="RPW267" s="184"/>
      <c r="RPX267" s="184"/>
      <c r="RPY267" s="184"/>
      <c r="RQF267" s="186"/>
      <c r="RQG267" s="183"/>
      <c r="RQH267" s="184"/>
      <c r="RQI267" s="184"/>
      <c r="RQJ267" s="184"/>
      <c r="RQK267" s="184"/>
      <c r="RQL267" s="184"/>
      <c r="RQM267" s="184"/>
      <c r="RQN267" s="184"/>
      <c r="RQU267" s="186"/>
      <c r="RQV267" s="183"/>
      <c r="RQW267" s="184"/>
      <c r="RQX267" s="184"/>
      <c r="RQY267" s="184"/>
      <c r="RQZ267" s="184"/>
      <c r="RRA267" s="184"/>
      <c r="RRB267" s="184"/>
      <c r="RRC267" s="184"/>
      <c r="RRJ267" s="186"/>
      <c r="RRK267" s="183"/>
      <c r="RRL267" s="184"/>
      <c r="RRM267" s="184"/>
      <c r="RRN267" s="184"/>
      <c r="RRO267" s="184"/>
      <c r="RRP267" s="184"/>
      <c r="RRQ267" s="184"/>
      <c r="RRR267" s="184"/>
      <c r="RRY267" s="186"/>
      <c r="RRZ267" s="183"/>
      <c r="RSA267" s="184"/>
      <c r="RSB267" s="184"/>
      <c r="RSC267" s="184"/>
      <c r="RSD267" s="184"/>
      <c r="RSE267" s="184"/>
      <c r="RSF267" s="184"/>
      <c r="RSG267" s="184"/>
      <c r="RSN267" s="186"/>
      <c r="RSO267" s="183"/>
      <c r="RSP267" s="184"/>
      <c r="RSQ267" s="184"/>
      <c r="RSR267" s="184"/>
      <c r="RSS267" s="184"/>
      <c r="RST267" s="184"/>
      <c r="RSU267" s="184"/>
      <c r="RSV267" s="184"/>
      <c r="RTC267" s="186"/>
      <c r="RTD267" s="183"/>
      <c r="RTE267" s="184"/>
      <c r="RTF267" s="184"/>
      <c r="RTG267" s="184"/>
      <c r="RTH267" s="184"/>
      <c r="RTI267" s="184"/>
      <c r="RTJ267" s="184"/>
      <c r="RTK267" s="184"/>
      <c r="RTR267" s="186"/>
      <c r="RTS267" s="183"/>
      <c r="RTT267" s="184"/>
      <c r="RTU267" s="184"/>
      <c r="RTV267" s="184"/>
      <c r="RTW267" s="184"/>
      <c r="RTX267" s="184"/>
      <c r="RTY267" s="184"/>
      <c r="RTZ267" s="184"/>
      <c r="RUG267" s="186"/>
      <c r="RUH267" s="183"/>
      <c r="RUI267" s="184"/>
      <c r="RUJ267" s="184"/>
      <c r="RUK267" s="184"/>
      <c r="RUL267" s="184"/>
      <c r="RUM267" s="184"/>
      <c r="RUN267" s="184"/>
      <c r="RUO267" s="184"/>
      <c r="RUV267" s="186"/>
      <c r="RUW267" s="183"/>
      <c r="RUX267" s="184"/>
      <c r="RUY267" s="184"/>
      <c r="RUZ267" s="184"/>
      <c r="RVA267" s="184"/>
      <c r="RVB267" s="184"/>
      <c r="RVC267" s="184"/>
      <c r="RVD267" s="184"/>
      <c r="RVK267" s="186"/>
      <c r="RVL267" s="183"/>
      <c r="RVM267" s="184"/>
      <c r="RVN267" s="184"/>
      <c r="RVO267" s="184"/>
      <c r="RVP267" s="184"/>
      <c r="RVQ267" s="184"/>
      <c r="RVR267" s="184"/>
      <c r="RVS267" s="184"/>
      <c r="RVZ267" s="186"/>
      <c r="RWA267" s="183"/>
      <c r="RWB267" s="184"/>
      <c r="RWC267" s="184"/>
      <c r="RWD267" s="184"/>
      <c r="RWE267" s="184"/>
      <c r="RWF267" s="184"/>
      <c r="RWG267" s="184"/>
      <c r="RWH267" s="184"/>
      <c r="RWO267" s="186"/>
      <c r="RWP267" s="183"/>
      <c r="RWQ267" s="184"/>
      <c r="RWR267" s="184"/>
      <c r="RWS267" s="184"/>
      <c r="RWT267" s="184"/>
      <c r="RWU267" s="184"/>
      <c r="RWV267" s="184"/>
      <c r="RWW267" s="184"/>
      <c r="RXD267" s="186"/>
      <c r="RXE267" s="183"/>
      <c r="RXF267" s="184"/>
      <c r="RXG267" s="184"/>
      <c r="RXH267" s="184"/>
      <c r="RXI267" s="184"/>
      <c r="RXJ267" s="184"/>
      <c r="RXK267" s="184"/>
      <c r="RXL267" s="184"/>
      <c r="RXS267" s="186"/>
      <c r="RXT267" s="183"/>
      <c r="RXU267" s="184"/>
      <c r="RXV267" s="184"/>
      <c r="RXW267" s="184"/>
      <c r="RXX267" s="184"/>
      <c r="RXY267" s="184"/>
      <c r="RXZ267" s="184"/>
      <c r="RYA267" s="184"/>
      <c r="RYH267" s="186"/>
      <c r="RYI267" s="183"/>
      <c r="RYJ267" s="184"/>
      <c r="RYK267" s="184"/>
      <c r="RYL267" s="184"/>
      <c r="RYM267" s="184"/>
      <c r="RYN267" s="184"/>
      <c r="RYO267" s="184"/>
      <c r="RYP267" s="184"/>
      <c r="RYW267" s="186"/>
      <c r="RYX267" s="183"/>
      <c r="RYY267" s="184"/>
      <c r="RYZ267" s="184"/>
      <c r="RZA267" s="184"/>
      <c r="RZB267" s="184"/>
      <c r="RZC267" s="184"/>
      <c r="RZD267" s="184"/>
      <c r="RZE267" s="184"/>
      <c r="RZL267" s="186"/>
      <c r="RZM267" s="183"/>
      <c r="RZN267" s="184"/>
      <c r="RZO267" s="184"/>
      <c r="RZP267" s="184"/>
      <c r="RZQ267" s="184"/>
      <c r="RZR267" s="184"/>
      <c r="RZS267" s="184"/>
      <c r="RZT267" s="184"/>
      <c r="SAA267" s="186"/>
      <c r="SAB267" s="183"/>
      <c r="SAC267" s="184"/>
      <c r="SAD267" s="184"/>
      <c r="SAE267" s="184"/>
      <c r="SAF267" s="184"/>
      <c r="SAG267" s="184"/>
      <c r="SAH267" s="184"/>
      <c r="SAI267" s="184"/>
      <c r="SAP267" s="186"/>
      <c r="SAQ267" s="183"/>
      <c r="SAR267" s="184"/>
      <c r="SAS267" s="184"/>
      <c r="SAT267" s="184"/>
      <c r="SAU267" s="184"/>
      <c r="SAV267" s="184"/>
      <c r="SAW267" s="184"/>
      <c r="SAX267" s="184"/>
      <c r="SBE267" s="186"/>
      <c r="SBF267" s="183"/>
      <c r="SBG267" s="184"/>
      <c r="SBH267" s="184"/>
      <c r="SBI267" s="184"/>
      <c r="SBJ267" s="184"/>
      <c r="SBK267" s="184"/>
      <c r="SBL267" s="184"/>
      <c r="SBM267" s="184"/>
      <c r="SBT267" s="186"/>
      <c r="SBU267" s="183"/>
      <c r="SBV267" s="184"/>
      <c r="SBW267" s="184"/>
      <c r="SBX267" s="184"/>
      <c r="SBY267" s="184"/>
      <c r="SBZ267" s="184"/>
      <c r="SCA267" s="184"/>
      <c r="SCB267" s="184"/>
      <c r="SCI267" s="186"/>
      <c r="SCJ267" s="183"/>
      <c r="SCK267" s="184"/>
      <c r="SCL267" s="184"/>
      <c r="SCM267" s="184"/>
      <c r="SCN267" s="184"/>
      <c r="SCO267" s="184"/>
      <c r="SCP267" s="184"/>
      <c r="SCQ267" s="184"/>
      <c r="SCX267" s="186"/>
      <c r="SCY267" s="183"/>
      <c r="SCZ267" s="184"/>
      <c r="SDA267" s="184"/>
      <c r="SDB267" s="184"/>
      <c r="SDC267" s="184"/>
      <c r="SDD267" s="184"/>
      <c r="SDE267" s="184"/>
      <c r="SDF267" s="184"/>
      <c r="SDM267" s="186"/>
      <c r="SDN267" s="183"/>
      <c r="SDO267" s="184"/>
      <c r="SDP267" s="184"/>
      <c r="SDQ267" s="184"/>
      <c r="SDR267" s="184"/>
      <c r="SDS267" s="184"/>
      <c r="SDT267" s="184"/>
      <c r="SDU267" s="184"/>
      <c r="SEB267" s="186"/>
      <c r="SEC267" s="183"/>
      <c r="SED267" s="184"/>
      <c r="SEE267" s="184"/>
      <c r="SEF267" s="184"/>
      <c r="SEG267" s="184"/>
      <c r="SEH267" s="184"/>
      <c r="SEI267" s="184"/>
      <c r="SEJ267" s="184"/>
      <c r="SEQ267" s="186"/>
      <c r="SER267" s="183"/>
      <c r="SES267" s="184"/>
      <c r="SET267" s="184"/>
      <c r="SEU267" s="184"/>
      <c r="SEV267" s="184"/>
      <c r="SEW267" s="184"/>
      <c r="SEX267" s="184"/>
      <c r="SEY267" s="184"/>
      <c r="SFF267" s="186"/>
      <c r="SFG267" s="183"/>
      <c r="SFH267" s="184"/>
      <c r="SFI267" s="184"/>
      <c r="SFJ267" s="184"/>
      <c r="SFK267" s="184"/>
      <c r="SFL267" s="184"/>
      <c r="SFM267" s="184"/>
      <c r="SFN267" s="184"/>
      <c r="SFU267" s="186"/>
      <c r="SFV267" s="183"/>
      <c r="SFW267" s="184"/>
      <c r="SFX267" s="184"/>
      <c r="SFY267" s="184"/>
      <c r="SFZ267" s="184"/>
      <c r="SGA267" s="184"/>
      <c r="SGB267" s="184"/>
      <c r="SGC267" s="184"/>
      <c r="SGJ267" s="186"/>
      <c r="SGK267" s="183"/>
      <c r="SGL267" s="184"/>
      <c r="SGM267" s="184"/>
      <c r="SGN267" s="184"/>
      <c r="SGO267" s="184"/>
      <c r="SGP267" s="184"/>
      <c r="SGQ267" s="184"/>
      <c r="SGR267" s="184"/>
      <c r="SGY267" s="186"/>
      <c r="SGZ267" s="183"/>
      <c r="SHA267" s="184"/>
      <c r="SHB267" s="184"/>
      <c r="SHC267" s="184"/>
      <c r="SHD267" s="184"/>
      <c r="SHE267" s="184"/>
      <c r="SHF267" s="184"/>
      <c r="SHG267" s="184"/>
      <c r="SHN267" s="186"/>
      <c r="SHO267" s="183"/>
      <c r="SHP267" s="184"/>
      <c r="SHQ267" s="184"/>
      <c r="SHR267" s="184"/>
      <c r="SHS267" s="184"/>
      <c r="SHT267" s="184"/>
      <c r="SHU267" s="184"/>
      <c r="SHV267" s="184"/>
      <c r="SIC267" s="186"/>
      <c r="SID267" s="183"/>
      <c r="SIE267" s="184"/>
      <c r="SIF267" s="184"/>
      <c r="SIG267" s="184"/>
      <c r="SIH267" s="184"/>
      <c r="SII267" s="184"/>
      <c r="SIJ267" s="184"/>
      <c r="SIK267" s="184"/>
      <c r="SIR267" s="186"/>
      <c r="SIS267" s="183"/>
      <c r="SIT267" s="184"/>
      <c r="SIU267" s="184"/>
      <c r="SIV267" s="184"/>
      <c r="SIW267" s="184"/>
      <c r="SIX267" s="184"/>
      <c r="SIY267" s="184"/>
      <c r="SIZ267" s="184"/>
      <c r="SJG267" s="186"/>
      <c r="SJH267" s="183"/>
      <c r="SJI267" s="184"/>
      <c r="SJJ267" s="184"/>
      <c r="SJK267" s="184"/>
      <c r="SJL267" s="184"/>
      <c r="SJM267" s="184"/>
      <c r="SJN267" s="184"/>
      <c r="SJO267" s="184"/>
      <c r="SJV267" s="186"/>
      <c r="SJW267" s="183"/>
      <c r="SJX267" s="184"/>
      <c r="SJY267" s="184"/>
      <c r="SJZ267" s="184"/>
      <c r="SKA267" s="184"/>
      <c r="SKB267" s="184"/>
      <c r="SKC267" s="184"/>
      <c r="SKD267" s="184"/>
      <c r="SKK267" s="186"/>
      <c r="SKL267" s="183"/>
      <c r="SKM267" s="184"/>
      <c r="SKN267" s="184"/>
      <c r="SKO267" s="184"/>
      <c r="SKP267" s="184"/>
      <c r="SKQ267" s="184"/>
      <c r="SKR267" s="184"/>
      <c r="SKS267" s="184"/>
      <c r="SKZ267" s="186"/>
      <c r="SLA267" s="183"/>
      <c r="SLB267" s="184"/>
      <c r="SLC267" s="184"/>
      <c r="SLD267" s="184"/>
      <c r="SLE267" s="184"/>
      <c r="SLF267" s="184"/>
      <c r="SLG267" s="184"/>
      <c r="SLH267" s="184"/>
      <c r="SLO267" s="186"/>
      <c r="SLP267" s="183"/>
      <c r="SLQ267" s="184"/>
      <c r="SLR267" s="184"/>
      <c r="SLS267" s="184"/>
      <c r="SLT267" s="184"/>
      <c r="SLU267" s="184"/>
      <c r="SLV267" s="184"/>
      <c r="SLW267" s="184"/>
      <c r="SMD267" s="186"/>
      <c r="SME267" s="183"/>
      <c r="SMF267" s="184"/>
      <c r="SMG267" s="184"/>
      <c r="SMH267" s="184"/>
      <c r="SMI267" s="184"/>
      <c r="SMJ267" s="184"/>
      <c r="SMK267" s="184"/>
      <c r="SML267" s="184"/>
      <c r="SMS267" s="186"/>
      <c r="SMT267" s="183"/>
      <c r="SMU267" s="184"/>
      <c r="SMV267" s="184"/>
      <c r="SMW267" s="184"/>
      <c r="SMX267" s="184"/>
      <c r="SMY267" s="184"/>
      <c r="SMZ267" s="184"/>
      <c r="SNA267" s="184"/>
      <c r="SNH267" s="186"/>
      <c r="SNI267" s="183"/>
      <c r="SNJ267" s="184"/>
      <c r="SNK267" s="184"/>
      <c r="SNL267" s="184"/>
      <c r="SNM267" s="184"/>
      <c r="SNN267" s="184"/>
      <c r="SNO267" s="184"/>
      <c r="SNP267" s="184"/>
      <c r="SNW267" s="186"/>
      <c r="SNX267" s="183"/>
      <c r="SNY267" s="184"/>
      <c r="SNZ267" s="184"/>
      <c r="SOA267" s="184"/>
      <c r="SOB267" s="184"/>
      <c r="SOC267" s="184"/>
      <c r="SOD267" s="184"/>
      <c r="SOE267" s="184"/>
      <c r="SOL267" s="186"/>
      <c r="SOM267" s="183"/>
      <c r="SON267" s="184"/>
      <c r="SOO267" s="184"/>
      <c r="SOP267" s="184"/>
      <c r="SOQ267" s="184"/>
      <c r="SOR267" s="184"/>
      <c r="SOS267" s="184"/>
      <c r="SOT267" s="184"/>
      <c r="SPA267" s="186"/>
      <c r="SPB267" s="183"/>
      <c r="SPC267" s="184"/>
      <c r="SPD267" s="184"/>
      <c r="SPE267" s="184"/>
      <c r="SPF267" s="184"/>
      <c r="SPG267" s="184"/>
      <c r="SPH267" s="184"/>
      <c r="SPI267" s="184"/>
      <c r="SPP267" s="186"/>
      <c r="SPQ267" s="183"/>
      <c r="SPR267" s="184"/>
      <c r="SPS267" s="184"/>
      <c r="SPT267" s="184"/>
      <c r="SPU267" s="184"/>
      <c r="SPV267" s="184"/>
      <c r="SPW267" s="184"/>
      <c r="SPX267" s="184"/>
      <c r="SQE267" s="186"/>
      <c r="SQF267" s="183"/>
      <c r="SQG267" s="184"/>
      <c r="SQH267" s="184"/>
      <c r="SQI267" s="184"/>
      <c r="SQJ267" s="184"/>
      <c r="SQK267" s="184"/>
      <c r="SQL267" s="184"/>
      <c r="SQM267" s="184"/>
      <c r="SQT267" s="186"/>
      <c r="SQU267" s="183"/>
      <c r="SQV267" s="184"/>
      <c r="SQW267" s="184"/>
      <c r="SQX267" s="184"/>
      <c r="SQY267" s="184"/>
      <c r="SQZ267" s="184"/>
      <c r="SRA267" s="184"/>
      <c r="SRB267" s="184"/>
      <c r="SRI267" s="186"/>
      <c r="SRJ267" s="183"/>
      <c r="SRK267" s="184"/>
      <c r="SRL267" s="184"/>
      <c r="SRM267" s="184"/>
      <c r="SRN267" s="184"/>
      <c r="SRO267" s="184"/>
      <c r="SRP267" s="184"/>
      <c r="SRQ267" s="184"/>
      <c r="SRX267" s="186"/>
      <c r="SRY267" s="183"/>
      <c r="SRZ267" s="184"/>
      <c r="SSA267" s="184"/>
      <c r="SSB267" s="184"/>
      <c r="SSC267" s="184"/>
      <c r="SSD267" s="184"/>
      <c r="SSE267" s="184"/>
      <c r="SSF267" s="184"/>
      <c r="SSM267" s="186"/>
      <c r="SSN267" s="183"/>
      <c r="SSO267" s="184"/>
      <c r="SSP267" s="184"/>
      <c r="SSQ267" s="184"/>
      <c r="SSR267" s="184"/>
      <c r="SSS267" s="184"/>
      <c r="SST267" s="184"/>
      <c r="SSU267" s="184"/>
      <c r="STB267" s="186"/>
      <c r="STC267" s="183"/>
      <c r="STD267" s="184"/>
      <c r="STE267" s="184"/>
      <c r="STF267" s="184"/>
      <c r="STG267" s="184"/>
      <c r="STH267" s="184"/>
      <c r="STI267" s="184"/>
      <c r="STJ267" s="184"/>
      <c r="STQ267" s="186"/>
      <c r="STR267" s="183"/>
      <c r="STS267" s="184"/>
      <c r="STT267" s="184"/>
      <c r="STU267" s="184"/>
      <c r="STV267" s="184"/>
      <c r="STW267" s="184"/>
      <c r="STX267" s="184"/>
      <c r="STY267" s="184"/>
      <c r="SUF267" s="186"/>
      <c r="SUG267" s="183"/>
      <c r="SUH267" s="184"/>
      <c r="SUI267" s="184"/>
      <c r="SUJ267" s="184"/>
      <c r="SUK267" s="184"/>
      <c r="SUL267" s="184"/>
      <c r="SUM267" s="184"/>
      <c r="SUN267" s="184"/>
      <c r="SUU267" s="186"/>
      <c r="SUV267" s="183"/>
      <c r="SUW267" s="184"/>
      <c r="SUX267" s="184"/>
      <c r="SUY267" s="184"/>
      <c r="SUZ267" s="184"/>
      <c r="SVA267" s="184"/>
      <c r="SVB267" s="184"/>
      <c r="SVC267" s="184"/>
      <c r="SVJ267" s="186"/>
      <c r="SVK267" s="183"/>
      <c r="SVL267" s="184"/>
      <c r="SVM267" s="184"/>
      <c r="SVN267" s="184"/>
      <c r="SVO267" s="184"/>
      <c r="SVP267" s="184"/>
      <c r="SVQ267" s="184"/>
      <c r="SVR267" s="184"/>
      <c r="SVY267" s="186"/>
      <c r="SVZ267" s="183"/>
      <c r="SWA267" s="184"/>
      <c r="SWB267" s="184"/>
      <c r="SWC267" s="184"/>
      <c r="SWD267" s="184"/>
      <c r="SWE267" s="184"/>
      <c r="SWF267" s="184"/>
      <c r="SWG267" s="184"/>
      <c r="SWN267" s="186"/>
      <c r="SWO267" s="183"/>
      <c r="SWP267" s="184"/>
      <c r="SWQ267" s="184"/>
      <c r="SWR267" s="184"/>
      <c r="SWS267" s="184"/>
      <c r="SWT267" s="184"/>
      <c r="SWU267" s="184"/>
      <c r="SWV267" s="184"/>
      <c r="SXC267" s="186"/>
      <c r="SXD267" s="183"/>
      <c r="SXE267" s="184"/>
      <c r="SXF267" s="184"/>
      <c r="SXG267" s="184"/>
      <c r="SXH267" s="184"/>
      <c r="SXI267" s="184"/>
      <c r="SXJ267" s="184"/>
      <c r="SXK267" s="184"/>
      <c r="SXR267" s="186"/>
      <c r="SXS267" s="183"/>
      <c r="SXT267" s="184"/>
      <c r="SXU267" s="184"/>
      <c r="SXV267" s="184"/>
      <c r="SXW267" s="184"/>
      <c r="SXX267" s="184"/>
      <c r="SXY267" s="184"/>
      <c r="SXZ267" s="184"/>
      <c r="SYG267" s="186"/>
      <c r="SYH267" s="183"/>
      <c r="SYI267" s="184"/>
      <c r="SYJ267" s="184"/>
      <c r="SYK267" s="184"/>
      <c r="SYL267" s="184"/>
      <c r="SYM267" s="184"/>
      <c r="SYN267" s="184"/>
      <c r="SYO267" s="184"/>
      <c r="SYV267" s="186"/>
      <c r="SYW267" s="183"/>
      <c r="SYX267" s="184"/>
      <c r="SYY267" s="184"/>
      <c r="SYZ267" s="184"/>
      <c r="SZA267" s="184"/>
      <c r="SZB267" s="184"/>
      <c r="SZC267" s="184"/>
      <c r="SZD267" s="184"/>
      <c r="SZK267" s="186"/>
      <c r="SZL267" s="183"/>
      <c r="SZM267" s="184"/>
      <c r="SZN267" s="184"/>
      <c r="SZO267" s="184"/>
      <c r="SZP267" s="184"/>
      <c r="SZQ267" s="184"/>
      <c r="SZR267" s="184"/>
      <c r="SZS267" s="184"/>
      <c r="SZZ267" s="186"/>
      <c r="TAA267" s="183"/>
      <c r="TAB267" s="184"/>
      <c r="TAC267" s="184"/>
      <c r="TAD267" s="184"/>
      <c r="TAE267" s="184"/>
      <c r="TAF267" s="184"/>
      <c r="TAG267" s="184"/>
      <c r="TAH267" s="184"/>
      <c r="TAO267" s="186"/>
      <c r="TAP267" s="183"/>
      <c r="TAQ267" s="184"/>
      <c r="TAR267" s="184"/>
      <c r="TAS267" s="184"/>
      <c r="TAT267" s="184"/>
      <c r="TAU267" s="184"/>
      <c r="TAV267" s="184"/>
      <c r="TAW267" s="184"/>
      <c r="TBD267" s="186"/>
      <c r="TBE267" s="183"/>
      <c r="TBF267" s="184"/>
      <c r="TBG267" s="184"/>
      <c r="TBH267" s="184"/>
      <c r="TBI267" s="184"/>
      <c r="TBJ267" s="184"/>
      <c r="TBK267" s="184"/>
      <c r="TBL267" s="184"/>
      <c r="TBS267" s="186"/>
      <c r="TBT267" s="183"/>
      <c r="TBU267" s="184"/>
      <c r="TBV267" s="184"/>
      <c r="TBW267" s="184"/>
      <c r="TBX267" s="184"/>
      <c r="TBY267" s="184"/>
      <c r="TBZ267" s="184"/>
      <c r="TCA267" s="184"/>
      <c r="TCH267" s="186"/>
      <c r="TCI267" s="183"/>
      <c r="TCJ267" s="184"/>
      <c r="TCK267" s="184"/>
      <c r="TCL267" s="184"/>
      <c r="TCM267" s="184"/>
      <c r="TCN267" s="184"/>
      <c r="TCO267" s="184"/>
      <c r="TCP267" s="184"/>
      <c r="TCW267" s="186"/>
      <c r="TCX267" s="183"/>
      <c r="TCY267" s="184"/>
      <c r="TCZ267" s="184"/>
      <c r="TDA267" s="184"/>
      <c r="TDB267" s="184"/>
      <c r="TDC267" s="184"/>
      <c r="TDD267" s="184"/>
      <c r="TDE267" s="184"/>
      <c r="TDL267" s="186"/>
      <c r="TDM267" s="183"/>
      <c r="TDN267" s="184"/>
      <c r="TDO267" s="184"/>
      <c r="TDP267" s="184"/>
      <c r="TDQ267" s="184"/>
      <c r="TDR267" s="184"/>
      <c r="TDS267" s="184"/>
      <c r="TDT267" s="184"/>
      <c r="TEA267" s="186"/>
      <c r="TEB267" s="183"/>
      <c r="TEC267" s="184"/>
      <c r="TED267" s="184"/>
      <c r="TEE267" s="184"/>
      <c r="TEF267" s="184"/>
      <c r="TEG267" s="184"/>
      <c r="TEH267" s="184"/>
      <c r="TEI267" s="184"/>
      <c r="TEP267" s="186"/>
      <c r="TEQ267" s="183"/>
      <c r="TER267" s="184"/>
      <c r="TES267" s="184"/>
      <c r="TET267" s="184"/>
      <c r="TEU267" s="184"/>
      <c r="TEV267" s="184"/>
      <c r="TEW267" s="184"/>
      <c r="TEX267" s="184"/>
      <c r="TFE267" s="186"/>
      <c r="TFF267" s="183"/>
      <c r="TFG267" s="184"/>
      <c r="TFH267" s="184"/>
      <c r="TFI267" s="184"/>
      <c r="TFJ267" s="184"/>
      <c r="TFK267" s="184"/>
      <c r="TFL267" s="184"/>
      <c r="TFM267" s="184"/>
      <c r="TFT267" s="186"/>
      <c r="TFU267" s="183"/>
      <c r="TFV267" s="184"/>
      <c r="TFW267" s="184"/>
      <c r="TFX267" s="184"/>
      <c r="TFY267" s="184"/>
      <c r="TFZ267" s="184"/>
      <c r="TGA267" s="184"/>
      <c r="TGB267" s="184"/>
      <c r="TGI267" s="186"/>
      <c r="TGJ267" s="183"/>
      <c r="TGK267" s="184"/>
      <c r="TGL267" s="184"/>
      <c r="TGM267" s="184"/>
      <c r="TGN267" s="184"/>
      <c r="TGO267" s="184"/>
      <c r="TGP267" s="184"/>
      <c r="TGQ267" s="184"/>
      <c r="TGX267" s="186"/>
      <c r="TGY267" s="183"/>
      <c r="TGZ267" s="184"/>
      <c r="THA267" s="184"/>
      <c r="THB267" s="184"/>
      <c r="THC267" s="184"/>
      <c r="THD267" s="184"/>
      <c r="THE267" s="184"/>
      <c r="THF267" s="184"/>
      <c r="THM267" s="186"/>
      <c r="THN267" s="183"/>
      <c r="THO267" s="184"/>
      <c r="THP267" s="184"/>
      <c r="THQ267" s="184"/>
      <c r="THR267" s="184"/>
      <c r="THS267" s="184"/>
      <c r="THT267" s="184"/>
      <c r="THU267" s="184"/>
      <c r="TIB267" s="186"/>
      <c r="TIC267" s="183"/>
      <c r="TID267" s="184"/>
      <c r="TIE267" s="184"/>
      <c r="TIF267" s="184"/>
      <c r="TIG267" s="184"/>
      <c r="TIH267" s="184"/>
      <c r="TII267" s="184"/>
      <c r="TIJ267" s="184"/>
      <c r="TIQ267" s="186"/>
      <c r="TIR267" s="183"/>
      <c r="TIS267" s="184"/>
      <c r="TIT267" s="184"/>
      <c r="TIU267" s="184"/>
      <c r="TIV267" s="184"/>
      <c r="TIW267" s="184"/>
      <c r="TIX267" s="184"/>
      <c r="TIY267" s="184"/>
      <c r="TJF267" s="186"/>
      <c r="TJG267" s="183"/>
      <c r="TJH267" s="184"/>
      <c r="TJI267" s="184"/>
      <c r="TJJ267" s="184"/>
      <c r="TJK267" s="184"/>
      <c r="TJL267" s="184"/>
      <c r="TJM267" s="184"/>
      <c r="TJN267" s="184"/>
      <c r="TJU267" s="186"/>
      <c r="TJV267" s="183"/>
      <c r="TJW267" s="184"/>
      <c r="TJX267" s="184"/>
      <c r="TJY267" s="184"/>
      <c r="TJZ267" s="184"/>
      <c r="TKA267" s="184"/>
      <c r="TKB267" s="184"/>
      <c r="TKC267" s="184"/>
      <c r="TKJ267" s="186"/>
      <c r="TKK267" s="183"/>
      <c r="TKL267" s="184"/>
      <c r="TKM267" s="184"/>
      <c r="TKN267" s="184"/>
      <c r="TKO267" s="184"/>
      <c r="TKP267" s="184"/>
      <c r="TKQ267" s="184"/>
      <c r="TKR267" s="184"/>
      <c r="TKY267" s="186"/>
      <c r="TKZ267" s="183"/>
      <c r="TLA267" s="184"/>
      <c r="TLB267" s="184"/>
      <c r="TLC267" s="184"/>
      <c r="TLD267" s="184"/>
      <c r="TLE267" s="184"/>
      <c r="TLF267" s="184"/>
      <c r="TLG267" s="184"/>
      <c r="TLN267" s="186"/>
      <c r="TLO267" s="183"/>
      <c r="TLP267" s="184"/>
      <c r="TLQ267" s="184"/>
      <c r="TLR267" s="184"/>
      <c r="TLS267" s="184"/>
      <c r="TLT267" s="184"/>
      <c r="TLU267" s="184"/>
      <c r="TLV267" s="184"/>
      <c r="TMC267" s="186"/>
      <c r="TMD267" s="183"/>
      <c r="TME267" s="184"/>
      <c r="TMF267" s="184"/>
      <c r="TMG267" s="184"/>
      <c r="TMH267" s="184"/>
      <c r="TMI267" s="184"/>
      <c r="TMJ267" s="184"/>
      <c r="TMK267" s="184"/>
      <c r="TMR267" s="186"/>
      <c r="TMS267" s="183"/>
      <c r="TMT267" s="184"/>
      <c r="TMU267" s="184"/>
      <c r="TMV267" s="184"/>
      <c r="TMW267" s="184"/>
      <c r="TMX267" s="184"/>
      <c r="TMY267" s="184"/>
      <c r="TMZ267" s="184"/>
      <c r="TNG267" s="186"/>
      <c r="TNH267" s="183"/>
      <c r="TNI267" s="184"/>
      <c r="TNJ267" s="184"/>
      <c r="TNK267" s="184"/>
      <c r="TNL267" s="184"/>
      <c r="TNM267" s="184"/>
      <c r="TNN267" s="184"/>
      <c r="TNO267" s="184"/>
      <c r="TNV267" s="186"/>
      <c r="TNW267" s="183"/>
      <c r="TNX267" s="184"/>
      <c r="TNY267" s="184"/>
      <c r="TNZ267" s="184"/>
      <c r="TOA267" s="184"/>
      <c r="TOB267" s="184"/>
      <c r="TOC267" s="184"/>
      <c r="TOD267" s="184"/>
      <c r="TOK267" s="186"/>
      <c r="TOL267" s="183"/>
      <c r="TOM267" s="184"/>
      <c r="TON267" s="184"/>
      <c r="TOO267" s="184"/>
      <c r="TOP267" s="184"/>
      <c r="TOQ267" s="184"/>
      <c r="TOR267" s="184"/>
      <c r="TOS267" s="184"/>
      <c r="TOZ267" s="186"/>
      <c r="TPA267" s="183"/>
      <c r="TPB267" s="184"/>
      <c r="TPC267" s="184"/>
      <c r="TPD267" s="184"/>
      <c r="TPE267" s="184"/>
      <c r="TPF267" s="184"/>
      <c r="TPG267" s="184"/>
      <c r="TPH267" s="184"/>
      <c r="TPO267" s="186"/>
      <c r="TPP267" s="183"/>
      <c r="TPQ267" s="184"/>
      <c r="TPR267" s="184"/>
      <c r="TPS267" s="184"/>
      <c r="TPT267" s="184"/>
      <c r="TPU267" s="184"/>
      <c r="TPV267" s="184"/>
      <c r="TPW267" s="184"/>
      <c r="TQD267" s="186"/>
      <c r="TQE267" s="183"/>
      <c r="TQF267" s="184"/>
      <c r="TQG267" s="184"/>
      <c r="TQH267" s="184"/>
      <c r="TQI267" s="184"/>
      <c r="TQJ267" s="184"/>
      <c r="TQK267" s="184"/>
      <c r="TQL267" s="184"/>
      <c r="TQS267" s="186"/>
      <c r="TQT267" s="183"/>
      <c r="TQU267" s="184"/>
      <c r="TQV267" s="184"/>
      <c r="TQW267" s="184"/>
      <c r="TQX267" s="184"/>
      <c r="TQY267" s="184"/>
      <c r="TQZ267" s="184"/>
      <c r="TRA267" s="184"/>
      <c r="TRH267" s="186"/>
      <c r="TRI267" s="183"/>
      <c r="TRJ267" s="184"/>
      <c r="TRK267" s="184"/>
      <c r="TRL267" s="184"/>
      <c r="TRM267" s="184"/>
      <c r="TRN267" s="184"/>
      <c r="TRO267" s="184"/>
      <c r="TRP267" s="184"/>
      <c r="TRW267" s="186"/>
      <c r="TRX267" s="183"/>
      <c r="TRY267" s="184"/>
      <c r="TRZ267" s="184"/>
      <c r="TSA267" s="184"/>
      <c r="TSB267" s="184"/>
      <c r="TSC267" s="184"/>
      <c r="TSD267" s="184"/>
      <c r="TSE267" s="184"/>
      <c r="TSL267" s="186"/>
      <c r="TSM267" s="183"/>
      <c r="TSN267" s="184"/>
      <c r="TSO267" s="184"/>
      <c r="TSP267" s="184"/>
      <c r="TSQ267" s="184"/>
      <c r="TSR267" s="184"/>
      <c r="TSS267" s="184"/>
      <c r="TST267" s="184"/>
      <c r="TTA267" s="186"/>
      <c r="TTB267" s="183"/>
      <c r="TTC267" s="184"/>
      <c r="TTD267" s="184"/>
      <c r="TTE267" s="184"/>
      <c r="TTF267" s="184"/>
      <c r="TTG267" s="184"/>
      <c r="TTH267" s="184"/>
      <c r="TTI267" s="184"/>
      <c r="TTP267" s="186"/>
      <c r="TTQ267" s="183"/>
      <c r="TTR267" s="184"/>
      <c r="TTS267" s="184"/>
      <c r="TTT267" s="184"/>
      <c r="TTU267" s="184"/>
      <c r="TTV267" s="184"/>
      <c r="TTW267" s="184"/>
      <c r="TTX267" s="184"/>
      <c r="TUE267" s="186"/>
      <c r="TUF267" s="183"/>
      <c r="TUG267" s="184"/>
      <c r="TUH267" s="184"/>
      <c r="TUI267" s="184"/>
      <c r="TUJ267" s="184"/>
      <c r="TUK267" s="184"/>
      <c r="TUL267" s="184"/>
      <c r="TUM267" s="184"/>
      <c r="TUT267" s="186"/>
      <c r="TUU267" s="183"/>
      <c r="TUV267" s="184"/>
      <c r="TUW267" s="184"/>
      <c r="TUX267" s="184"/>
      <c r="TUY267" s="184"/>
      <c r="TUZ267" s="184"/>
      <c r="TVA267" s="184"/>
      <c r="TVB267" s="184"/>
      <c r="TVI267" s="186"/>
      <c r="TVJ267" s="183"/>
      <c r="TVK267" s="184"/>
      <c r="TVL267" s="184"/>
      <c r="TVM267" s="184"/>
      <c r="TVN267" s="184"/>
      <c r="TVO267" s="184"/>
      <c r="TVP267" s="184"/>
      <c r="TVQ267" s="184"/>
      <c r="TVX267" s="186"/>
      <c r="TVY267" s="183"/>
      <c r="TVZ267" s="184"/>
      <c r="TWA267" s="184"/>
      <c r="TWB267" s="184"/>
      <c r="TWC267" s="184"/>
      <c r="TWD267" s="184"/>
      <c r="TWE267" s="184"/>
      <c r="TWF267" s="184"/>
      <c r="TWM267" s="186"/>
      <c r="TWN267" s="183"/>
      <c r="TWO267" s="184"/>
      <c r="TWP267" s="184"/>
      <c r="TWQ267" s="184"/>
      <c r="TWR267" s="184"/>
      <c r="TWS267" s="184"/>
      <c r="TWT267" s="184"/>
      <c r="TWU267" s="184"/>
      <c r="TXB267" s="186"/>
      <c r="TXC267" s="183"/>
      <c r="TXD267" s="184"/>
      <c r="TXE267" s="184"/>
      <c r="TXF267" s="184"/>
      <c r="TXG267" s="184"/>
      <c r="TXH267" s="184"/>
      <c r="TXI267" s="184"/>
      <c r="TXJ267" s="184"/>
      <c r="TXQ267" s="186"/>
      <c r="TXR267" s="183"/>
      <c r="TXS267" s="184"/>
      <c r="TXT267" s="184"/>
      <c r="TXU267" s="184"/>
      <c r="TXV267" s="184"/>
      <c r="TXW267" s="184"/>
      <c r="TXX267" s="184"/>
      <c r="TXY267" s="184"/>
      <c r="TYF267" s="186"/>
      <c r="TYG267" s="183"/>
      <c r="TYH267" s="184"/>
      <c r="TYI267" s="184"/>
      <c r="TYJ267" s="184"/>
      <c r="TYK267" s="184"/>
      <c r="TYL267" s="184"/>
      <c r="TYM267" s="184"/>
      <c r="TYN267" s="184"/>
      <c r="TYU267" s="186"/>
      <c r="TYV267" s="183"/>
      <c r="TYW267" s="184"/>
      <c r="TYX267" s="184"/>
      <c r="TYY267" s="184"/>
      <c r="TYZ267" s="184"/>
      <c r="TZA267" s="184"/>
      <c r="TZB267" s="184"/>
      <c r="TZC267" s="184"/>
      <c r="TZJ267" s="186"/>
      <c r="TZK267" s="183"/>
      <c r="TZL267" s="184"/>
      <c r="TZM267" s="184"/>
      <c r="TZN267" s="184"/>
      <c r="TZO267" s="184"/>
      <c r="TZP267" s="184"/>
      <c r="TZQ267" s="184"/>
      <c r="TZR267" s="184"/>
      <c r="TZY267" s="186"/>
      <c r="TZZ267" s="183"/>
      <c r="UAA267" s="184"/>
      <c r="UAB267" s="184"/>
      <c r="UAC267" s="184"/>
      <c r="UAD267" s="184"/>
      <c r="UAE267" s="184"/>
      <c r="UAF267" s="184"/>
      <c r="UAG267" s="184"/>
      <c r="UAN267" s="186"/>
      <c r="UAO267" s="183"/>
      <c r="UAP267" s="184"/>
      <c r="UAQ267" s="184"/>
      <c r="UAR267" s="184"/>
      <c r="UAS267" s="184"/>
      <c r="UAT267" s="184"/>
      <c r="UAU267" s="184"/>
      <c r="UAV267" s="184"/>
      <c r="UBC267" s="186"/>
      <c r="UBD267" s="183"/>
      <c r="UBE267" s="184"/>
      <c r="UBF267" s="184"/>
      <c r="UBG267" s="184"/>
      <c r="UBH267" s="184"/>
      <c r="UBI267" s="184"/>
      <c r="UBJ267" s="184"/>
      <c r="UBK267" s="184"/>
      <c r="UBR267" s="186"/>
      <c r="UBS267" s="183"/>
      <c r="UBT267" s="184"/>
      <c r="UBU267" s="184"/>
      <c r="UBV267" s="184"/>
      <c r="UBW267" s="184"/>
      <c r="UBX267" s="184"/>
      <c r="UBY267" s="184"/>
      <c r="UBZ267" s="184"/>
      <c r="UCG267" s="186"/>
      <c r="UCH267" s="183"/>
      <c r="UCI267" s="184"/>
      <c r="UCJ267" s="184"/>
      <c r="UCK267" s="184"/>
      <c r="UCL267" s="184"/>
      <c r="UCM267" s="184"/>
      <c r="UCN267" s="184"/>
      <c r="UCO267" s="184"/>
      <c r="UCV267" s="186"/>
      <c r="UCW267" s="183"/>
      <c r="UCX267" s="184"/>
      <c r="UCY267" s="184"/>
      <c r="UCZ267" s="184"/>
      <c r="UDA267" s="184"/>
      <c r="UDB267" s="184"/>
      <c r="UDC267" s="184"/>
      <c r="UDD267" s="184"/>
      <c r="UDK267" s="186"/>
      <c r="UDL267" s="183"/>
      <c r="UDM267" s="184"/>
      <c r="UDN267" s="184"/>
      <c r="UDO267" s="184"/>
      <c r="UDP267" s="184"/>
      <c r="UDQ267" s="184"/>
      <c r="UDR267" s="184"/>
      <c r="UDS267" s="184"/>
      <c r="UDZ267" s="186"/>
      <c r="UEA267" s="183"/>
      <c r="UEB267" s="184"/>
      <c r="UEC267" s="184"/>
      <c r="UED267" s="184"/>
      <c r="UEE267" s="184"/>
      <c r="UEF267" s="184"/>
      <c r="UEG267" s="184"/>
      <c r="UEH267" s="184"/>
      <c r="UEO267" s="186"/>
      <c r="UEP267" s="183"/>
      <c r="UEQ267" s="184"/>
      <c r="UER267" s="184"/>
      <c r="UES267" s="184"/>
      <c r="UET267" s="184"/>
      <c r="UEU267" s="184"/>
      <c r="UEV267" s="184"/>
      <c r="UEW267" s="184"/>
      <c r="UFD267" s="186"/>
      <c r="UFE267" s="183"/>
      <c r="UFF267" s="184"/>
      <c r="UFG267" s="184"/>
      <c r="UFH267" s="184"/>
      <c r="UFI267" s="184"/>
      <c r="UFJ267" s="184"/>
      <c r="UFK267" s="184"/>
      <c r="UFL267" s="184"/>
      <c r="UFS267" s="186"/>
      <c r="UFT267" s="183"/>
      <c r="UFU267" s="184"/>
      <c r="UFV267" s="184"/>
      <c r="UFW267" s="184"/>
      <c r="UFX267" s="184"/>
      <c r="UFY267" s="184"/>
      <c r="UFZ267" s="184"/>
      <c r="UGA267" s="184"/>
      <c r="UGH267" s="186"/>
      <c r="UGI267" s="183"/>
      <c r="UGJ267" s="184"/>
      <c r="UGK267" s="184"/>
      <c r="UGL267" s="184"/>
      <c r="UGM267" s="184"/>
      <c r="UGN267" s="184"/>
      <c r="UGO267" s="184"/>
      <c r="UGP267" s="184"/>
      <c r="UGW267" s="186"/>
      <c r="UGX267" s="183"/>
      <c r="UGY267" s="184"/>
      <c r="UGZ267" s="184"/>
      <c r="UHA267" s="184"/>
      <c r="UHB267" s="184"/>
      <c r="UHC267" s="184"/>
      <c r="UHD267" s="184"/>
      <c r="UHE267" s="184"/>
      <c r="UHL267" s="186"/>
      <c r="UHM267" s="183"/>
      <c r="UHN267" s="184"/>
      <c r="UHO267" s="184"/>
      <c r="UHP267" s="184"/>
      <c r="UHQ267" s="184"/>
      <c r="UHR267" s="184"/>
      <c r="UHS267" s="184"/>
      <c r="UHT267" s="184"/>
      <c r="UIA267" s="186"/>
      <c r="UIB267" s="183"/>
      <c r="UIC267" s="184"/>
      <c r="UID267" s="184"/>
      <c r="UIE267" s="184"/>
      <c r="UIF267" s="184"/>
      <c r="UIG267" s="184"/>
      <c r="UIH267" s="184"/>
      <c r="UII267" s="184"/>
      <c r="UIP267" s="186"/>
      <c r="UIQ267" s="183"/>
      <c r="UIR267" s="184"/>
      <c r="UIS267" s="184"/>
      <c r="UIT267" s="184"/>
      <c r="UIU267" s="184"/>
      <c r="UIV267" s="184"/>
      <c r="UIW267" s="184"/>
      <c r="UIX267" s="184"/>
      <c r="UJE267" s="186"/>
      <c r="UJF267" s="183"/>
      <c r="UJG267" s="184"/>
      <c r="UJH267" s="184"/>
      <c r="UJI267" s="184"/>
      <c r="UJJ267" s="184"/>
      <c r="UJK267" s="184"/>
      <c r="UJL267" s="184"/>
      <c r="UJM267" s="184"/>
      <c r="UJT267" s="186"/>
      <c r="UJU267" s="183"/>
      <c r="UJV267" s="184"/>
      <c r="UJW267" s="184"/>
      <c r="UJX267" s="184"/>
      <c r="UJY267" s="184"/>
      <c r="UJZ267" s="184"/>
      <c r="UKA267" s="184"/>
      <c r="UKB267" s="184"/>
      <c r="UKI267" s="186"/>
      <c r="UKJ267" s="183"/>
      <c r="UKK267" s="184"/>
      <c r="UKL267" s="184"/>
      <c r="UKM267" s="184"/>
      <c r="UKN267" s="184"/>
      <c r="UKO267" s="184"/>
      <c r="UKP267" s="184"/>
      <c r="UKQ267" s="184"/>
      <c r="UKX267" s="186"/>
      <c r="UKY267" s="183"/>
      <c r="UKZ267" s="184"/>
      <c r="ULA267" s="184"/>
      <c r="ULB267" s="184"/>
      <c r="ULC267" s="184"/>
      <c r="ULD267" s="184"/>
      <c r="ULE267" s="184"/>
      <c r="ULF267" s="184"/>
      <c r="ULM267" s="186"/>
      <c r="ULN267" s="183"/>
      <c r="ULO267" s="184"/>
      <c r="ULP267" s="184"/>
      <c r="ULQ267" s="184"/>
      <c r="ULR267" s="184"/>
      <c r="ULS267" s="184"/>
      <c r="ULT267" s="184"/>
      <c r="ULU267" s="184"/>
      <c r="UMB267" s="186"/>
      <c r="UMC267" s="183"/>
      <c r="UMD267" s="184"/>
      <c r="UME267" s="184"/>
      <c r="UMF267" s="184"/>
      <c r="UMG267" s="184"/>
      <c r="UMH267" s="184"/>
      <c r="UMI267" s="184"/>
      <c r="UMJ267" s="184"/>
      <c r="UMQ267" s="186"/>
      <c r="UMR267" s="183"/>
      <c r="UMS267" s="184"/>
      <c r="UMT267" s="184"/>
      <c r="UMU267" s="184"/>
      <c r="UMV267" s="184"/>
      <c r="UMW267" s="184"/>
      <c r="UMX267" s="184"/>
      <c r="UMY267" s="184"/>
      <c r="UNF267" s="186"/>
      <c r="UNG267" s="183"/>
      <c r="UNH267" s="184"/>
      <c r="UNI267" s="184"/>
      <c r="UNJ267" s="184"/>
      <c r="UNK267" s="184"/>
      <c r="UNL267" s="184"/>
      <c r="UNM267" s="184"/>
      <c r="UNN267" s="184"/>
      <c r="UNU267" s="186"/>
      <c r="UNV267" s="183"/>
      <c r="UNW267" s="184"/>
      <c r="UNX267" s="184"/>
      <c r="UNY267" s="184"/>
      <c r="UNZ267" s="184"/>
      <c r="UOA267" s="184"/>
      <c r="UOB267" s="184"/>
      <c r="UOC267" s="184"/>
      <c r="UOJ267" s="186"/>
      <c r="UOK267" s="183"/>
      <c r="UOL267" s="184"/>
      <c r="UOM267" s="184"/>
      <c r="UON267" s="184"/>
      <c r="UOO267" s="184"/>
      <c r="UOP267" s="184"/>
      <c r="UOQ267" s="184"/>
      <c r="UOR267" s="184"/>
      <c r="UOY267" s="186"/>
      <c r="UOZ267" s="183"/>
      <c r="UPA267" s="184"/>
      <c r="UPB267" s="184"/>
      <c r="UPC267" s="184"/>
      <c r="UPD267" s="184"/>
      <c r="UPE267" s="184"/>
      <c r="UPF267" s="184"/>
      <c r="UPG267" s="184"/>
      <c r="UPN267" s="186"/>
      <c r="UPO267" s="183"/>
      <c r="UPP267" s="184"/>
      <c r="UPQ267" s="184"/>
      <c r="UPR267" s="184"/>
      <c r="UPS267" s="184"/>
      <c r="UPT267" s="184"/>
      <c r="UPU267" s="184"/>
      <c r="UPV267" s="184"/>
      <c r="UQC267" s="186"/>
      <c r="UQD267" s="183"/>
      <c r="UQE267" s="184"/>
      <c r="UQF267" s="184"/>
      <c r="UQG267" s="184"/>
      <c r="UQH267" s="184"/>
      <c r="UQI267" s="184"/>
      <c r="UQJ267" s="184"/>
      <c r="UQK267" s="184"/>
      <c r="UQR267" s="186"/>
      <c r="UQS267" s="183"/>
      <c r="UQT267" s="184"/>
      <c r="UQU267" s="184"/>
      <c r="UQV267" s="184"/>
      <c r="UQW267" s="184"/>
      <c r="UQX267" s="184"/>
      <c r="UQY267" s="184"/>
      <c r="UQZ267" s="184"/>
      <c r="URG267" s="186"/>
      <c r="URH267" s="183"/>
      <c r="URI267" s="184"/>
      <c r="URJ267" s="184"/>
      <c r="URK267" s="184"/>
      <c r="URL267" s="184"/>
      <c r="URM267" s="184"/>
      <c r="URN267" s="184"/>
      <c r="URO267" s="184"/>
      <c r="URV267" s="186"/>
      <c r="URW267" s="183"/>
      <c r="URX267" s="184"/>
      <c r="URY267" s="184"/>
      <c r="URZ267" s="184"/>
      <c r="USA267" s="184"/>
      <c r="USB267" s="184"/>
      <c r="USC267" s="184"/>
      <c r="USD267" s="184"/>
      <c r="USK267" s="186"/>
      <c r="USL267" s="183"/>
      <c r="USM267" s="184"/>
      <c r="USN267" s="184"/>
      <c r="USO267" s="184"/>
      <c r="USP267" s="184"/>
      <c r="USQ267" s="184"/>
      <c r="USR267" s="184"/>
      <c r="USS267" s="184"/>
      <c r="USZ267" s="186"/>
      <c r="UTA267" s="183"/>
      <c r="UTB267" s="184"/>
      <c r="UTC267" s="184"/>
      <c r="UTD267" s="184"/>
      <c r="UTE267" s="184"/>
      <c r="UTF267" s="184"/>
      <c r="UTG267" s="184"/>
      <c r="UTH267" s="184"/>
      <c r="UTO267" s="186"/>
      <c r="UTP267" s="183"/>
      <c r="UTQ267" s="184"/>
      <c r="UTR267" s="184"/>
      <c r="UTS267" s="184"/>
      <c r="UTT267" s="184"/>
      <c r="UTU267" s="184"/>
      <c r="UTV267" s="184"/>
      <c r="UTW267" s="184"/>
      <c r="UUD267" s="186"/>
      <c r="UUE267" s="183"/>
      <c r="UUF267" s="184"/>
      <c r="UUG267" s="184"/>
      <c r="UUH267" s="184"/>
      <c r="UUI267" s="184"/>
      <c r="UUJ267" s="184"/>
      <c r="UUK267" s="184"/>
      <c r="UUL267" s="184"/>
      <c r="UUS267" s="186"/>
      <c r="UUT267" s="183"/>
      <c r="UUU267" s="184"/>
      <c r="UUV267" s="184"/>
      <c r="UUW267" s="184"/>
      <c r="UUX267" s="184"/>
      <c r="UUY267" s="184"/>
      <c r="UUZ267" s="184"/>
      <c r="UVA267" s="184"/>
      <c r="UVH267" s="186"/>
      <c r="UVI267" s="183"/>
      <c r="UVJ267" s="184"/>
      <c r="UVK267" s="184"/>
      <c r="UVL267" s="184"/>
      <c r="UVM267" s="184"/>
      <c r="UVN267" s="184"/>
      <c r="UVO267" s="184"/>
      <c r="UVP267" s="184"/>
      <c r="UVW267" s="186"/>
      <c r="UVX267" s="183"/>
      <c r="UVY267" s="184"/>
      <c r="UVZ267" s="184"/>
      <c r="UWA267" s="184"/>
      <c r="UWB267" s="184"/>
      <c r="UWC267" s="184"/>
      <c r="UWD267" s="184"/>
      <c r="UWE267" s="184"/>
      <c r="UWL267" s="186"/>
      <c r="UWM267" s="183"/>
      <c r="UWN267" s="184"/>
      <c r="UWO267" s="184"/>
      <c r="UWP267" s="184"/>
      <c r="UWQ267" s="184"/>
      <c r="UWR267" s="184"/>
      <c r="UWS267" s="184"/>
      <c r="UWT267" s="184"/>
      <c r="UXA267" s="186"/>
      <c r="UXB267" s="183"/>
      <c r="UXC267" s="184"/>
      <c r="UXD267" s="184"/>
      <c r="UXE267" s="184"/>
      <c r="UXF267" s="184"/>
      <c r="UXG267" s="184"/>
      <c r="UXH267" s="184"/>
      <c r="UXI267" s="184"/>
      <c r="UXP267" s="186"/>
      <c r="UXQ267" s="183"/>
      <c r="UXR267" s="184"/>
      <c r="UXS267" s="184"/>
      <c r="UXT267" s="184"/>
      <c r="UXU267" s="184"/>
      <c r="UXV267" s="184"/>
      <c r="UXW267" s="184"/>
      <c r="UXX267" s="184"/>
      <c r="UYE267" s="186"/>
      <c r="UYF267" s="183"/>
      <c r="UYG267" s="184"/>
      <c r="UYH267" s="184"/>
      <c r="UYI267" s="184"/>
      <c r="UYJ267" s="184"/>
      <c r="UYK267" s="184"/>
      <c r="UYL267" s="184"/>
      <c r="UYM267" s="184"/>
      <c r="UYT267" s="186"/>
      <c r="UYU267" s="183"/>
      <c r="UYV267" s="184"/>
      <c r="UYW267" s="184"/>
      <c r="UYX267" s="184"/>
      <c r="UYY267" s="184"/>
      <c r="UYZ267" s="184"/>
      <c r="UZA267" s="184"/>
      <c r="UZB267" s="184"/>
      <c r="UZI267" s="186"/>
      <c r="UZJ267" s="183"/>
      <c r="UZK267" s="184"/>
      <c r="UZL267" s="184"/>
      <c r="UZM267" s="184"/>
      <c r="UZN267" s="184"/>
      <c r="UZO267" s="184"/>
      <c r="UZP267" s="184"/>
      <c r="UZQ267" s="184"/>
      <c r="UZX267" s="186"/>
      <c r="UZY267" s="183"/>
      <c r="UZZ267" s="184"/>
      <c r="VAA267" s="184"/>
      <c r="VAB267" s="184"/>
      <c r="VAC267" s="184"/>
      <c r="VAD267" s="184"/>
      <c r="VAE267" s="184"/>
      <c r="VAF267" s="184"/>
      <c r="VAM267" s="186"/>
      <c r="VAN267" s="183"/>
      <c r="VAO267" s="184"/>
      <c r="VAP267" s="184"/>
      <c r="VAQ267" s="184"/>
      <c r="VAR267" s="184"/>
      <c r="VAS267" s="184"/>
      <c r="VAT267" s="184"/>
      <c r="VAU267" s="184"/>
      <c r="VBB267" s="186"/>
      <c r="VBC267" s="183"/>
      <c r="VBD267" s="184"/>
      <c r="VBE267" s="184"/>
      <c r="VBF267" s="184"/>
      <c r="VBG267" s="184"/>
      <c r="VBH267" s="184"/>
      <c r="VBI267" s="184"/>
      <c r="VBJ267" s="184"/>
      <c r="VBQ267" s="186"/>
      <c r="VBR267" s="183"/>
      <c r="VBS267" s="184"/>
      <c r="VBT267" s="184"/>
      <c r="VBU267" s="184"/>
      <c r="VBV267" s="184"/>
      <c r="VBW267" s="184"/>
      <c r="VBX267" s="184"/>
      <c r="VBY267" s="184"/>
      <c r="VCF267" s="186"/>
      <c r="VCG267" s="183"/>
      <c r="VCH267" s="184"/>
      <c r="VCI267" s="184"/>
      <c r="VCJ267" s="184"/>
      <c r="VCK267" s="184"/>
      <c r="VCL267" s="184"/>
      <c r="VCM267" s="184"/>
      <c r="VCN267" s="184"/>
      <c r="VCU267" s="186"/>
      <c r="VCV267" s="183"/>
      <c r="VCW267" s="184"/>
      <c r="VCX267" s="184"/>
      <c r="VCY267" s="184"/>
      <c r="VCZ267" s="184"/>
      <c r="VDA267" s="184"/>
      <c r="VDB267" s="184"/>
      <c r="VDC267" s="184"/>
      <c r="VDJ267" s="186"/>
      <c r="VDK267" s="183"/>
      <c r="VDL267" s="184"/>
      <c r="VDM267" s="184"/>
      <c r="VDN267" s="184"/>
      <c r="VDO267" s="184"/>
      <c r="VDP267" s="184"/>
      <c r="VDQ267" s="184"/>
      <c r="VDR267" s="184"/>
      <c r="VDY267" s="186"/>
      <c r="VDZ267" s="183"/>
      <c r="VEA267" s="184"/>
      <c r="VEB267" s="184"/>
      <c r="VEC267" s="184"/>
      <c r="VED267" s="184"/>
      <c r="VEE267" s="184"/>
      <c r="VEF267" s="184"/>
      <c r="VEG267" s="184"/>
      <c r="VEN267" s="186"/>
      <c r="VEO267" s="183"/>
      <c r="VEP267" s="184"/>
      <c r="VEQ267" s="184"/>
      <c r="VER267" s="184"/>
      <c r="VES267" s="184"/>
      <c r="VET267" s="184"/>
      <c r="VEU267" s="184"/>
      <c r="VEV267" s="184"/>
      <c r="VFC267" s="186"/>
      <c r="VFD267" s="183"/>
      <c r="VFE267" s="184"/>
      <c r="VFF267" s="184"/>
      <c r="VFG267" s="184"/>
      <c r="VFH267" s="184"/>
      <c r="VFI267" s="184"/>
      <c r="VFJ267" s="184"/>
      <c r="VFK267" s="184"/>
      <c r="VFR267" s="186"/>
      <c r="VFS267" s="183"/>
      <c r="VFT267" s="184"/>
      <c r="VFU267" s="184"/>
      <c r="VFV267" s="184"/>
      <c r="VFW267" s="184"/>
      <c r="VFX267" s="184"/>
      <c r="VFY267" s="184"/>
      <c r="VFZ267" s="184"/>
      <c r="VGG267" s="186"/>
      <c r="VGH267" s="183"/>
      <c r="VGI267" s="184"/>
      <c r="VGJ267" s="184"/>
      <c r="VGK267" s="184"/>
      <c r="VGL267" s="184"/>
      <c r="VGM267" s="184"/>
      <c r="VGN267" s="184"/>
      <c r="VGO267" s="184"/>
      <c r="VGV267" s="186"/>
      <c r="VGW267" s="183"/>
      <c r="VGX267" s="184"/>
      <c r="VGY267" s="184"/>
      <c r="VGZ267" s="184"/>
      <c r="VHA267" s="184"/>
      <c r="VHB267" s="184"/>
      <c r="VHC267" s="184"/>
      <c r="VHD267" s="184"/>
      <c r="VHK267" s="186"/>
      <c r="VHL267" s="183"/>
      <c r="VHM267" s="184"/>
      <c r="VHN267" s="184"/>
      <c r="VHO267" s="184"/>
      <c r="VHP267" s="184"/>
      <c r="VHQ267" s="184"/>
      <c r="VHR267" s="184"/>
      <c r="VHS267" s="184"/>
      <c r="VHZ267" s="186"/>
      <c r="VIA267" s="183"/>
      <c r="VIB267" s="184"/>
      <c r="VIC267" s="184"/>
      <c r="VID267" s="184"/>
      <c r="VIE267" s="184"/>
      <c r="VIF267" s="184"/>
      <c r="VIG267" s="184"/>
      <c r="VIH267" s="184"/>
      <c r="VIO267" s="186"/>
      <c r="VIP267" s="183"/>
      <c r="VIQ267" s="184"/>
      <c r="VIR267" s="184"/>
      <c r="VIS267" s="184"/>
      <c r="VIT267" s="184"/>
      <c r="VIU267" s="184"/>
      <c r="VIV267" s="184"/>
      <c r="VIW267" s="184"/>
      <c r="VJD267" s="186"/>
      <c r="VJE267" s="183"/>
      <c r="VJF267" s="184"/>
      <c r="VJG267" s="184"/>
      <c r="VJH267" s="184"/>
      <c r="VJI267" s="184"/>
      <c r="VJJ267" s="184"/>
      <c r="VJK267" s="184"/>
      <c r="VJL267" s="184"/>
      <c r="VJS267" s="186"/>
      <c r="VJT267" s="183"/>
      <c r="VJU267" s="184"/>
      <c r="VJV267" s="184"/>
      <c r="VJW267" s="184"/>
      <c r="VJX267" s="184"/>
      <c r="VJY267" s="184"/>
      <c r="VJZ267" s="184"/>
      <c r="VKA267" s="184"/>
      <c r="VKH267" s="186"/>
      <c r="VKI267" s="183"/>
      <c r="VKJ267" s="184"/>
      <c r="VKK267" s="184"/>
      <c r="VKL267" s="184"/>
      <c r="VKM267" s="184"/>
      <c r="VKN267" s="184"/>
      <c r="VKO267" s="184"/>
      <c r="VKP267" s="184"/>
      <c r="VKW267" s="186"/>
      <c r="VKX267" s="183"/>
      <c r="VKY267" s="184"/>
      <c r="VKZ267" s="184"/>
      <c r="VLA267" s="184"/>
      <c r="VLB267" s="184"/>
      <c r="VLC267" s="184"/>
      <c r="VLD267" s="184"/>
      <c r="VLE267" s="184"/>
      <c r="VLL267" s="186"/>
      <c r="VLM267" s="183"/>
      <c r="VLN267" s="184"/>
      <c r="VLO267" s="184"/>
      <c r="VLP267" s="184"/>
      <c r="VLQ267" s="184"/>
      <c r="VLR267" s="184"/>
      <c r="VLS267" s="184"/>
      <c r="VLT267" s="184"/>
      <c r="VMA267" s="186"/>
      <c r="VMB267" s="183"/>
      <c r="VMC267" s="184"/>
      <c r="VMD267" s="184"/>
      <c r="VME267" s="184"/>
      <c r="VMF267" s="184"/>
      <c r="VMG267" s="184"/>
      <c r="VMH267" s="184"/>
      <c r="VMI267" s="184"/>
      <c r="VMP267" s="186"/>
      <c r="VMQ267" s="183"/>
      <c r="VMR267" s="184"/>
      <c r="VMS267" s="184"/>
      <c r="VMT267" s="184"/>
      <c r="VMU267" s="184"/>
      <c r="VMV267" s="184"/>
      <c r="VMW267" s="184"/>
      <c r="VMX267" s="184"/>
      <c r="VNE267" s="186"/>
      <c r="VNF267" s="183"/>
      <c r="VNG267" s="184"/>
      <c r="VNH267" s="184"/>
      <c r="VNI267" s="184"/>
      <c r="VNJ267" s="184"/>
      <c r="VNK267" s="184"/>
      <c r="VNL267" s="184"/>
      <c r="VNM267" s="184"/>
      <c r="VNT267" s="186"/>
      <c r="VNU267" s="183"/>
      <c r="VNV267" s="184"/>
      <c r="VNW267" s="184"/>
      <c r="VNX267" s="184"/>
      <c r="VNY267" s="184"/>
      <c r="VNZ267" s="184"/>
      <c r="VOA267" s="184"/>
      <c r="VOB267" s="184"/>
      <c r="VOI267" s="186"/>
      <c r="VOJ267" s="183"/>
      <c r="VOK267" s="184"/>
      <c r="VOL267" s="184"/>
      <c r="VOM267" s="184"/>
      <c r="VON267" s="184"/>
      <c r="VOO267" s="184"/>
      <c r="VOP267" s="184"/>
      <c r="VOQ267" s="184"/>
      <c r="VOX267" s="186"/>
      <c r="VOY267" s="183"/>
      <c r="VOZ267" s="184"/>
      <c r="VPA267" s="184"/>
      <c r="VPB267" s="184"/>
      <c r="VPC267" s="184"/>
      <c r="VPD267" s="184"/>
      <c r="VPE267" s="184"/>
      <c r="VPF267" s="184"/>
      <c r="VPM267" s="186"/>
      <c r="VPN267" s="183"/>
      <c r="VPO267" s="184"/>
      <c r="VPP267" s="184"/>
      <c r="VPQ267" s="184"/>
      <c r="VPR267" s="184"/>
      <c r="VPS267" s="184"/>
      <c r="VPT267" s="184"/>
      <c r="VPU267" s="184"/>
      <c r="VQB267" s="186"/>
      <c r="VQC267" s="183"/>
      <c r="VQD267" s="184"/>
      <c r="VQE267" s="184"/>
      <c r="VQF267" s="184"/>
      <c r="VQG267" s="184"/>
      <c r="VQH267" s="184"/>
      <c r="VQI267" s="184"/>
      <c r="VQJ267" s="184"/>
      <c r="VQQ267" s="186"/>
      <c r="VQR267" s="183"/>
      <c r="VQS267" s="184"/>
      <c r="VQT267" s="184"/>
      <c r="VQU267" s="184"/>
      <c r="VQV267" s="184"/>
      <c r="VQW267" s="184"/>
      <c r="VQX267" s="184"/>
      <c r="VQY267" s="184"/>
      <c r="VRF267" s="186"/>
      <c r="VRG267" s="183"/>
      <c r="VRH267" s="184"/>
      <c r="VRI267" s="184"/>
      <c r="VRJ267" s="184"/>
      <c r="VRK267" s="184"/>
      <c r="VRL267" s="184"/>
      <c r="VRM267" s="184"/>
      <c r="VRN267" s="184"/>
      <c r="VRU267" s="186"/>
      <c r="VRV267" s="183"/>
      <c r="VRW267" s="184"/>
      <c r="VRX267" s="184"/>
      <c r="VRY267" s="184"/>
      <c r="VRZ267" s="184"/>
      <c r="VSA267" s="184"/>
      <c r="VSB267" s="184"/>
      <c r="VSC267" s="184"/>
      <c r="VSJ267" s="186"/>
      <c r="VSK267" s="183"/>
      <c r="VSL267" s="184"/>
      <c r="VSM267" s="184"/>
      <c r="VSN267" s="184"/>
      <c r="VSO267" s="184"/>
      <c r="VSP267" s="184"/>
      <c r="VSQ267" s="184"/>
      <c r="VSR267" s="184"/>
      <c r="VSY267" s="186"/>
      <c r="VSZ267" s="183"/>
      <c r="VTA267" s="184"/>
      <c r="VTB267" s="184"/>
      <c r="VTC267" s="184"/>
      <c r="VTD267" s="184"/>
      <c r="VTE267" s="184"/>
      <c r="VTF267" s="184"/>
      <c r="VTG267" s="184"/>
      <c r="VTN267" s="186"/>
      <c r="VTO267" s="183"/>
      <c r="VTP267" s="184"/>
      <c r="VTQ267" s="184"/>
      <c r="VTR267" s="184"/>
      <c r="VTS267" s="184"/>
      <c r="VTT267" s="184"/>
      <c r="VTU267" s="184"/>
      <c r="VTV267" s="184"/>
      <c r="VUC267" s="186"/>
      <c r="VUD267" s="183"/>
      <c r="VUE267" s="184"/>
      <c r="VUF267" s="184"/>
      <c r="VUG267" s="184"/>
      <c r="VUH267" s="184"/>
      <c r="VUI267" s="184"/>
      <c r="VUJ267" s="184"/>
      <c r="VUK267" s="184"/>
      <c r="VUR267" s="186"/>
      <c r="VUS267" s="183"/>
      <c r="VUT267" s="184"/>
      <c r="VUU267" s="184"/>
      <c r="VUV267" s="184"/>
      <c r="VUW267" s="184"/>
      <c r="VUX267" s="184"/>
      <c r="VUY267" s="184"/>
      <c r="VUZ267" s="184"/>
      <c r="VVG267" s="186"/>
      <c r="VVH267" s="183"/>
      <c r="VVI267" s="184"/>
      <c r="VVJ267" s="184"/>
      <c r="VVK267" s="184"/>
      <c r="VVL267" s="184"/>
      <c r="VVM267" s="184"/>
      <c r="VVN267" s="184"/>
      <c r="VVO267" s="184"/>
      <c r="VVV267" s="186"/>
      <c r="VVW267" s="183"/>
      <c r="VVX267" s="184"/>
      <c r="VVY267" s="184"/>
      <c r="VVZ267" s="184"/>
      <c r="VWA267" s="184"/>
      <c r="VWB267" s="184"/>
      <c r="VWC267" s="184"/>
      <c r="VWD267" s="184"/>
      <c r="VWK267" s="186"/>
      <c r="VWL267" s="183"/>
      <c r="VWM267" s="184"/>
      <c r="VWN267" s="184"/>
      <c r="VWO267" s="184"/>
      <c r="VWP267" s="184"/>
      <c r="VWQ267" s="184"/>
      <c r="VWR267" s="184"/>
      <c r="VWS267" s="184"/>
      <c r="VWZ267" s="186"/>
      <c r="VXA267" s="183"/>
      <c r="VXB267" s="184"/>
      <c r="VXC267" s="184"/>
      <c r="VXD267" s="184"/>
      <c r="VXE267" s="184"/>
      <c r="VXF267" s="184"/>
      <c r="VXG267" s="184"/>
      <c r="VXH267" s="184"/>
      <c r="VXO267" s="186"/>
      <c r="VXP267" s="183"/>
      <c r="VXQ267" s="184"/>
      <c r="VXR267" s="184"/>
      <c r="VXS267" s="184"/>
      <c r="VXT267" s="184"/>
      <c r="VXU267" s="184"/>
      <c r="VXV267" s="184"/>
      <c r="VXW267" s="184"/>
      <c r="VYD267" s="186"/>
      <c r="VYE267" s="183"/>
      <c r="VYF267" s="184"/>
      <c r="VYG267" s="184"/>
      <c r="VYH267" s="184"/>
      <c r="VYI267" s="184"/>
      <c r="VYJ267" s="184"/>
      <c r="VYK267" s="184"/>
      <c r="VYL267" s="184"/>
      <c r="VYS267" s="186"/>
      <c r="VYT267" s="183"/>
      <c r="VYU267" s="184"/>
      <c r="VYV267" s="184"/>
      <c r="VYW267" s="184"/>
      <c r="VYX267" s="184"/>
      <c r="VYY267" s="184"/>
      <c r="VYZ267" s="184"/>
      <c r="VZA267" s="184"/>
      <c r="VZH267" s="186"/>
      <c r="VZI267" s="183"/>
      <c r="VZJ267" s="184"/>
      <c r="VZK267" s="184"/>
      <c r="VZL267" s="184"/>
      <c r="VZM267" s="184"/>
      <c r="VZN267" s="184"/>
      <c r="VZO267" s="184"/>
      <c r="VZP267" s="184"/>
      <c r="VZW267" s="186"/>
      <c r="VZX267" s="183"/>
      <c r="VZY267" s="184"/>
      <c r="VZZ267" s="184"/>
      <c r="WAA267" s="184"/>
      <c r="WAB267" s="184"/>
      <c r="WAC267" s="184"/>
      <c r="WAD267" s="184"/>
      <c r="WAE267" s="184"/>
      <c r="WAL267" s="186"/>
      <c r="WAM267" s="183"/>
      <c r="WAN267" s="184"/>
      <c r="WAO267" s="184"/>
      <c r="WAP267" s="184"/>
      <c r="WAQ267" s="184"/>
      <c r="WAR267" s="184"/>
      <c r="WAS267" s="184"/>
      <c r="WAT267" s="184"/>
      <c r="WBA267" s="186"/>
      <c r="WBB267" s="183"/>
      <c r="WBC267" s="184"/>
      <c r="WBD267" s="184"/>
      <c r="WBE267" s="184"/>
      <c r="WBF267" s="184"/>
      <c r="WBG267" s="184"/>
      <c r="WBH267" s="184"/>
      <c r="WBI267" s="184"/>
      <c r="WBP267" s="186"/>
      <c r="WBQ267" s="183"/>
      <c r="WBR267" s="184"/>
      <c r="WBS267" s="184"/>
      <c r="WBT267" s="184"/>
      <c r="WBU267" s="184"/>
      <c r="WBV267" s="184"/>
      <c r="WBW267" s="184"/>
      <c r="WBX267" s="184"/>
      <c r="WCE267" s="186"/>
      <c r="WCF267" s="183"/>
      <c r="WCG267" s="184"/>
      <c r="WCH267" s="184"/>
      <c r="WCI267" s="184"/>
      <c r="WCJ267" s="184"/>
      <c r="WCK267" s="184"/>
      <c r="WCL267" s="184"/>
      <c r="WCM267" s="184"/>
      <c r="WCT267" s="186"/>
      <c r="WCU267" s="183"/>
      <c r="WCV267" s="184"/>
      <c r="WCW267" s="184"/>
      <c r="WCX267" s="184"/>
      <c r="WCY267" s="184"/>
      <c r="WCZ267" s="184"/>
      <c r="WDA267" s="184"/>
      <c r="WDB267" s="184"/>
      <c r="WDI267" s="186"/>
      <c r="WDJ267" s="183"/>
      <c r="WDK267" s="184"/>
      <c r="WDL267" s="184"/>
      <c r="WDM267" s="184"/>
      <c r="WDN267" s="184"/>
      <c r="WDO267" s="184"/>
      <c r="WDP267" s="184"/>
      <c r="WDQ267" s="184"/>
      <c r="WDX267" s="186"/>
      <c r="WDY267" s="183"/>
      <c r="WDZ267" s="184"/>
      <c r="WEA267" s="184"/>
      <c r="WEB267" s="184"/>
      <c r="WEC267" s="184"/>
      <c r="WED267" s="184"/>
      <c r="WEE267" s="184"/>
      <c r="WEF267" s="184"/>
      <c r="WEM267" s="186"/>
      <c r="WEN267" s="183"/>
      <c r="WEO267" s="184"/>
      <c r="WEP267" s="184"/>
      <c r="WEQ267" s="184"/>
      <c r="WER267" s="184"/>
      <c r="WES267" s="184"/>
      <c r="WET267" s="184"/>
      <c r="WEU267" s="184"/>
      <c r="WFB267" s="186"/>
      <c r="WFC267" s="183"/>
      <c r="WFD267" s="184"/>
      <c r="WFE267" s="184"/>
      <c r="WFF267" s="184"/>
      <c r="WFG267" s="184"/>
      <c r="WFH267" s="184"/>
      <c r="WFI267" s="184"/>
      <c r="WFJ267" s="184"/>
      <c r="WFQ267" s="186"/>
      <c r="WFR267" s="183"/>
      <c r="WFS267" s="184"/>
      <c r="WFT267" s="184"/>
      <c r="WFU267" s="184"/>
      <c r="WFV267" s="184"/>
      <c r="WFW267" s="184"/>
      <c r="WFX267" s="184"/>
      <c r="WFY267" s="184"/>
      <c r="WGF267" s="186"/>
      <c r="WGG267" s="183"/>
      <c r="WGH267" s="184"/>
      <c r="WGI267" s="184"/>
      <c r="WGJ267" s="184"/>
      <c r="WGK267" s="184"/>
      <c r="WGL267" s="184"/>
      <c r="WGM267" s="184"/>
      <c r="WGN267" s="184"/>
      <c r="WGU267" s="186"/>
      <c r="WGV267" s="183"/>
      <c r="WGW267" s="184"/>
      <c r="WGX267" s="184"/>
      <c r="WGY267" s="184"/>
      <c r="WGZ267" s="184"/>
      <c r="WHA267" s="184"/>
      <c r="WHB267" s="184"/>
      <c r="WHC267" s="184"/>
      <c r="WHJ267" s="186"/>
      <c r="WHK267" s="183"/>
      <c r="WHL267" s="184"/>
      <c r="WHM267" s="184"/>
      <c r="WHN267" s="184"/>
      <c r="WHO267" s="184"/>
      <c r="WHP267" s="184"/>
      <c r="WHQ267" s="184"/>
      <c r="WHR267" s="184"/>
      <c r="WHY267" s="186"/>
      <c r="WHZ267" s="183"/>
      <c r="WIA267" s="184"/>
      <c r="WIB267" s="184"/>
      <c r="WIC267" s="184"/>
      <c r="WID267" s="184"/>
      <c r="WIE267" s="184"/>
      <c r="WIF267" s="184"/>
      <c r="WIG267" s="184"/>
      <c r="WIN267" s="186"/>
      <c r="WIO267" s="183"/>
      <c r="WIP267" s="184"/>
      <c r="WIQ267" s="184"/>
      <c r="WIR267" s="184"/>
      <c r="WIS267" s="184"/>
      <c r="WIT267" s="184"/>
      <c r="WIU267" s="184"/>
      <c r="WIV267" s="184"/>
      <c r="WJC267" s="186"/>
      <c r="WJD267" s="183"/>
      <c r="WJE267" s="184"/>
      <c r="WJF267" s="184"/>
      <c r="WJG267" s="184"/>
      <c r="WJH267" s="184"/>
      <c r="WJI267" s="184"/>
      <c r="WJJ267" s="184"/>
      <c r="WJK267" s="184"/>
      <c r="WJR267" s="186"/>
      <c r="WJS267" s="183"/>
      <c r="WJT267" s="184"/>
      <c r="WJU267" s="184"/>
      <c r="WJV267" s="184"/>
      <c r="WJW267" s="184"/>
      <c r="WJX267" s="184"/>
      <c r="WJY267" s="184"/>
      <c r="WJZ267" s="184"/>
      <c r="WKG267" s="186"/>
      <c r="WKH267" s="183"/>
      <c r="WKI267" s="184"/>
      <c r="WKJ267" s="184"/>
      <c r="WKK267" s="184"/>
      <c r="WKL267" s="184"/>
      <c r="WKM267" s="184"/>
      <c r="WKN267" s="184"/>
      <c r="WKO267" s="184"/>
      <c r="WKV267" s="186"/>
      <c r="WKW267" s="183"/>
      <c r="WKX267" s="184"/>
      <c r="WKY267" s="184"/>
      <c r="WKZ267" s="184"/>
      <c r="WLA267" s="184"/>
      <c r="WLB267" s="184"/>
      <c r="WLC267" s="184"/>
      <c r="WLD267" s="184"/>
      <c r="WLK267" s="186"/>
      <c r="WLL267" s="183"/>
      <c r="WLM267" s="184"/>
      <c r="WLN267" s="184"/>
      <c r="WLO267" s="184"/>
      <c r="WLP267" s="184"/>
      <c r="WLQ267" s="184"/>
      <c r="WLR267" s="184"/>
      <c r="WLS267" s="184"/>
      <c r="WLZ267" s="186"/>
      <c r="WMA267" s="183"/>
      <c r="WMB267" s="184"/>
      <c r="WMC267" s="184"/>
      <c r="WMD267" s="184"/>
      <c r="WME267" s="184"/>
      <c r="WMF267" s="184"/>
      <c r="WMG267" s="184"/>
      <c r="WMH267" s="184"/>
      <c r="WMO267" s="186"/>
      <c r="WMP267" s="183"/>
      <c r="WMQ267" s="184"/>
      <c r="WMR267" s="184"/>
      <c r="WMS267" s="184"/>
      <c r="WMT267" s="184"/>
      <c r="WMU267" s="184"/>
      <c r="WMV267" s="184"/>
      <c r="WMW267" s="184"/>
      <c r="WND267" s="186"/>
      <c r="WNE267" s="183"/>
      <c r="WNF267" s="184"/>
      <c r="WNG267" s="184"/>
      <c r="WNH267" s="184"/>
      <c r="WNI267" s="184"/>
      <c r="WNJ267" s="184"/>
      <c r="WNK267" s="184"/>
      <c r="WNL267" s="184"/>
      <c r="WNS267" s="186"/>
      <c r="WNT267" s="183"/>
      <c r="WNU267" s="184"/>
      <c r="WNV267" s="184"/>
      <c r="WNW267" s="184"/>
      <c r="WNX267" s="184"/>
      <c r="WNY267" s="184"/>
      <c r="WNZ267" s="184"/>
      <c r="WOA267" s="184"/>
      <c r="WOH267" s="186"/>
      <c r="WOI267" s="183"/>
      <c r="WOJ267" s="184"/>
      <c r="WOK267" s="184"/>
      <c r="WOL267" s="184"/>
      <c r="WOM267" s="184"/>
      <c r="WON267" s="184"/>
      <c r="WOO267" s="184"/>
      <c r="WOP267" s="184"/>
      <c r="WOW267" s="186"/>
      <c r="WOX267" s="183"/>
      <c r="WOY267" s="184"/>
      <c r="WOZ267" s="184"/>
      <c r="WPA267" s="184"/>
      <c r="WPB267" s="184"/>
      <c r="WPC267" s="184"/>
      <c r="WPD267" s="184"/>
      <c r="WPE267" s="184"/>
      <c r="WPL267" s="186"/>
      <c r="WPM267" s="183"/>
      <c r="WPN267" s="184"/>
      <c r="WPO267" s="184"/>
      <c r="WPP267" s="184"/>
      <c r="WPQ267" s="184"/>
      <c r="WPR267" s="184"/>
      <c r="WPS267" s="184"/>
      <c r="WPT267" s="184"/>
      <c r="WQA267" s="186"/>
      <c r="WQB267" s="183"/>
      <c r="WQC267" s="184"/>
      <c r="WQD267" s="184"/>
      <c r="WQE267" s="184"/>
      <c r="WQF267" s="184"/>
      <c r="WQG267" s="184"/>
      <c r="WQH267" s="184"/>
      <c r="WQI267" s="184"/>
      <c r="WQP267" s="186"/>
      <c r="WQQ267" s="183"/>
      <c r="WQR267" s="184"/>
      <c r="WQS267" s="184"/>
      <c r="WQT267" s="184"/>
      <c r="WQU267" s="184"/>
      <c r="WQV267" s="184"/>
      <c r="WQW267" s="184"/>
      <c r="WQX267" s="184"/>
      <c r="WRE267" s="186"/>
      <c r="WRF267" s="183"/>
      <c r="WRG267" s="184"/>
      <c r="WRH267" s="184"/>
      <c r="WRI267" s="184"/>
      <c r="WRJ267" s="184"/>
      <c r="WRK267" s="184"/>
      <c r="WRL267" s="184"/>
      <c r="WRM267" s="184"/>
      <c r="WRT267" s="186"/>
      <c r="WRU267" s="183"/>
      <c r="WRV267" s="184"/>
      <c r="WRW267" s="184"/>
      <c r="WRX267" s="184"/>
      <c r="WRY267" s="184"/>
      <c r="WRZ267" s="184"/>
      <c r="WSA267" s="184"/>
      <c r="WSB267" s="184"/>
      <c r="WSI267" s="186"/>
      <c r="WSJ267" s="183"/>
      <c r="WSK267" s="184"/>
      <c r="WSL267" s="184"/>
      <c r="WSM267" s="184"/>
      <c r="WSN267" s="184"/>
      <c r="WSO267" s="184"/>
      <c r="WSP267" s="184"/>
      <c r="WSQ267" s="184"/>
      <c r="WSX267" s="186"/>
      <c r="WSY267" s="183"/>
      <c r="WSZ267" s="184"/>
      <c r="WTA267" s="184"/>
      <c r="WTB267" s="184"/>
      <c r="WTC267" s="184"/>
      <c r="WTD267" s="184"/>
      <c r="WTE267" s="184"/>
      <c r="WTF267" s="184"/>
      <c r="WTM267" s="186"/>
      <c r="WTN267" s="183"/>
      <c r="WTO267" s="184"/>
      <c r="WTP267" s="184"/>
      <c r="WTQ267" s="184"/>
      <c r="WTR267" s="184"/>
      <c r="WTS267" s="184"/>
      <c r="WTT267" s="184"/>
      <c r="WTU267" s="184"/>
      <c r="WUB267" s="186"/>
      <c r="WUC267" s="183"/>
      <c r="WUD267" s="184"/>
      <c r="WUE267" s="184"/>
      <c r="WUF267" s="184"/>
      <c r="WUG267" s="184"/>
      <c r="WUH267" s="184"/>
      <c r="WUI267" s="184"/>
      <c r="WUJ267" s="184"/>
      <c r="WUQ267" s="186"/>
      <c r="WUR267" s="183"/>
      <c r="WUS267" s="184"/>
      <c r="WUT267" s="184"/>
      <c r="WUU267" s="184"/>
      <c r="WUV267" s="184"/>
      <c r="WUW267" s="184"/>
      <c r="WUX267" s="184"/>
      <c r="WUY267" s="184"/>
      <c r="WVF267" s="186"/>
      <c r="WVG267" s="183"/>
      <c r="WVH267" s="184"/>
      <c r="WVI267" s="184"/>
      <c r="WVJ267" s="184"/>
      <c r="WVK267" s="184"/>
      <c r="WVL267" s="184"/>
      <c r="WVM267" s="184"/>
      <c r="WVN267" s="184"/>
      <c r="WVU267" s="186"/>
      <c r="WVV267" s="183"/>
      <c r="WVW267" s="184"/>
      <c r="WVX267" s="184"/>
      <c r="WVY267" s="184"/>
      <c r="WVZ267" s="184"/>
      <c r="WWA267" s="184"/>
      <c r="WWB267" s="184"/>
      <c r="WWC267" s="184"/>
      <c r="WWJ267" s="186"/>
      <c r="WWK267" s="183"/>
      <c r="WWL267" s="184"/>
      <c r="WWM267" s="184"/>
      <c r="WWN267" s="184"/>
      <c r="WWO267" s="184"/>
      <c r="WWP267" s="184"/>
      <c r="WWQ267" s="184"/>
      <c r="WWR267" s="184"/>
      <c r="WWY267" s="186"/>
      <c r="WWZ267" s="183"/>
      <c r="WXA267" s="184"/>
      <c r="WXB267" s="184"/>
      <c r="WXC267" s="184"/>
      <c r="WXD267" s="184"/>
      <c r="WXE267" s="184"/>
      <c r="WXF267" s="184"/>
      <c r="WXG267" s="184"/>
      <c r="WXN267" s="186"/>
      <c r="WXO267" s="183"/>
      <c r="WXP267" s="184"/>
      <c r="WXQ267" s="184"/>
      <c r="WXR267" s="184"/>
      <c r="WXS267" s="184"/>
      <c r="WXT267" s="184"/>
      <c r="WXU267" s="184"/>
      <c r="WXV267" s="184"/>
      <c r="WYC267" s="186"/>
      <c r="WYD267" s="183"/>
      <c r="WYE267" s="184"/>
      <c r="WYF267" s="184"/>
      <c r="WYG267" s="184"/>
      <c r="WYH267" s="184"/>
      <c r="WYI267" s="184"/>
      <c r="WYJ267" s="184"/>
      <c r="WYK267" s="184"/>
      <c r="WYR267" s="186"/>
      <c r="WYS267" s="183"/>
      <c r="WYT267" s="184"/>
      <c r="WYU267" s="184"/>
      <c r="WYV267" s="184"/>
      <c r="WYW267" s="184"/>
      <c r="WYX267" s="184"/>
      <c r="WYY267" s="184"/>
      <c r="WYZ267" s="184"/>
      <c r="WZG267" s="186"/>
      <c r="WZH267" s="183"/>
      <c r="WZI267" s="184"/>
      <c r="WZJ267" s="184"/>
      <c r="WZK267" s="184"/>
      <c r="WZL267" s="184"/>
      <c r="WZM267" s="184"/>
      <c r="WZN267" s="184"/>
      <c r="WZO267" s="184"/>
      <c r="WZV267" s="186"/>
      <c r="WZW267" s="183"/>
      <c r="WZX267" s="184"/>
      <c r="WZY267" s="184"/>
      <c r="WZZ267" s="184"/>
      <c r="XAA267" s="184"/>
      <c r="XAB267" s="184"/>
      <c r="XAC267" s="184"/>
      <c r="XAD267" s="184"/>
      <c r="XAK267" s="186"/>
      <c r="XAL267" s="183"/>
      <c r="XAM267" s="184"/>
      <c r="XAN267" s="184"/>
      <c r="XAO267" s="184"/>
      <c r="XAP267" s="184"/>
      <c r="XAQ267" s="184"/>
      <c r="XAR267" s="184"/>
      <c r="XAS267" s="184"/>
      <c r="XAZ267" s="186"/>
      <c r="XBA267" s="183"/>
      <c r="XBB267" s="184"/>
      <c r="XBC267" s="184"/>
      <c r="XBD267" s="184"/>
      <c r="XBE267" s="184"/>
      <c r="XBF267" s="184"/>
      <c r="XBG267" s="184"/>
      <c r="XBH267" s="184"/>
      <c r="XBO267" s="186"/>
      <c r="XBP267" s="183"/>
      <c r="XBQ267" s="184"/>
      <c r="XBR267" s="184"/>
      <c r="XBS267" s="184"/>
      <c r="XBT267" s="184"/>
      <c r="XBU267" s="184"/>
      <c r="XBV267" s="184"/>
      <c r="XBW267" s="184"/>
      <c r="XCD267" s="186"/>
      <c r="XCE267" s="183"/>
      <c r="XCF267" s="184"/>
      <c r="XCG267" s="184"/>
      <c r="XCH267" s="184"/>
      <c r="XCI267" s="184"/>
      <c r="XCJ267" s="184"/>
      <c r="XCK267" s="184"/>
      <c r="XCL267" s="184"/>
      <c r="XCS267" s="186"/>
      <c r="XCT267" s="183"/>
      <c r="XCU267" s="184"/>
      <c r="XCV267" s="184"/>
      <c r="XCW267" s="184"/>
      <c r="XCX267" s="184"/>
      <c r="XCY267" s="184"/>
      <c r="XCZ267" s="184"/>
      <c r="XDA267" s="184"/>
      <c r="XDH267" s="186"/>
      <c r="XDI267" s="183"/>
      <c r="XDJ267" s="184"/>
      <c r="XDK267" s="184"/>
      <c r="XDL267" s="184"/>
      <c r="XDM267" s="184"/>
      <c r="XDN267" s="184"/>
      <c r="XDO267" s="184"/>
      <c r="XDP267" s="184"/>
      <c r="XDW267" s="186"/>
      <c r="XDX267" s="183"/>
      <c r="XDY267" s="184"/>
      <c r="XDZ267" s="184"/>
      <c r="XEA267" s="184"/>
      <c r="XEB267" s="184"/>
      <c r="XEC267" s="184"/>
      <c r="XED267" s="184"/>
      <c r="XEE267" s="184"/>
      <c r="XEL267" s="186"/>
      <c r="XEM267" s="183"/>
      <c r="XEN267" s="184"/>
      <c r="XEO267" s="184"/>
      <c r="XEP267" s="184"/>
      <c r="XEQ267" s="184"/>
      <c r="XER267" s="184"/>
      <c r="XES267" s="184"/>
      <c r="XET267" s="184"/>
      <c r="XFA267" s="186"/>
      <c r="XFB267" s="183"/>
      <c r="XFC267" s="184"/>
      <c r="XFD267" s="184"/>
    </row>
    <row r="268" spans="1:3069 3076:6144 6151:7164 7171:10239 10246:11259 11266:14334 14341:15354 15361:16384">
      <c r="A268" s="1" t="s">
        <v>89</v>
      </c>
      <c r="B268" s="8">
        <v>126.9</v>
      </c>
      <c r="C268" s="8">
        <v>131.1</v>
      </c>
      <c r="D268" s="8">
        <v>117.7</v>
      </c>
      <c r="E268" s="8">
        <v>127.7</v>
      </c>
      <c r="F268" s="8">
        <v>156.9</v>
      </c>
      <c r="G268" s="8">
        <v>172.7</v>
      </c>
      <c r="P268" s="42"/>
    </row>
    <row r="269" spans="1:3069 3076:6144 6151:7164 7171:10239 10246:11259 11266:14334 14341:15354 15361:16384">
      <c r="A269" s="130" t="s">
        <v>371</v>
      </c>
      <c r="B269" s="42">
        <f t="shared" ref="B269" si="33">B268/B264</f>
        <v>0.15322385897126298</v>
      </c>
      <c r="C269" s="42">
        <f t="shared" ref="C269" si="34">C268/C264</f>
        <v>0.14371848278886207</v>
      </c>
      <c r="D269" s="42">
        <f>D268/D264</f>
        <v>0.13134694788528067</v>
      </c>
      <c r="E269" s="42">
        <f t="shared" ref="E269" si="35">E268/E264</f>
        <v>0.13088039356359538</v>
      </c>
      <c r="F269" s="42">
        <f t="shared" ref="F269" si="36">F268/F264</f>
        <v>0.1464302379841344</v>
      </c>
      <c r="G269" s="42">
        <f t="shared" ref="G269" si="37">G268/G264</f>
        <v>0.15291305117761642</v>
      </c>
      <c r="H269" s="42">
        <f>AVERAGE(C269:G269)</f>
        <v>0.1410578226798978</v>
      </c>
      <c r="I269" s="42"/>
      <c r="P269" s="87"/>
    </row>
    <row r="270" spans="1:3069 3076:6144 6151:7164 7171:10239 10246:11259 11266:14334 14341:15354 15361:16384">
      <c r="A270" s="1" t="s">
        <v>90</v>
      </c>
      <c r="B270" s="8">
        <v>0</v>
      </c>
      <c r="C270" s="8">
        <v>0</v>
      </c>
      <c r="D270" s="8">
        <v>10</v>
      </c>
      <c r="E270" s="8">
        <v>11.1</v>
      </c>
      <c r="F270" s="8">
        <v>12.7</v>
      </c>
      <c r="G270" s="8">
        <v>13.5</v>
      </c>
    </row>
    <row r="271" spans="1:3069 3076:6144 6151:7164 7171:10239 10246:11259 11266:14334 14341:15354 15361:16384">
      <c r="A271" s="130" t="s">
        <v>371</v>
      </c>
      <c r="B271" s="42"/>
      <c r="C271" s="42"/>
      <c r="D271" s="42">
        <f>D270/D264</f>
        <v>1.1159468809284678E-2</v>
      </c>
      <c r="E271" s="42">
        <f t="shared" ref="E271" si="38">E270/E264</f>
        <v>1.1376447678589729E-2</v>
      </c>
      <c r="F271" s="42">
        <f t="shared" ref="F271" si="39">F270/F264</f>
        <v>1.185254316378908E-2</v>
      </c>
      <c r="G271" s="42">
        <f t="shared" ref="G271" si="40">G270/G264</f>
        <v>1.1953249513015759E-2</v>
      </c>
      <c r="H271" s="42">
        <f>AVERAGE(C271:G271)</f>
        <v>1.1585427291169811E-2</v>
      </c>
      <c r="I271" s="42"/>
    </row>
    <row r="272" spans="1:3069 3076:6144 6151:7164 7171:10239 10246:11259 11266:14334 14341:15354 15361:16384">
      <c r="A272" s="1" t="s">
        <v>91</v>
      </c>
      <c r="B272" s="8">
        <f>B362</f>
        <v>109.4295730100158</v>
      </c>
      <c r="C272" s="8">
        <f t="shared" ref="C272:G272" si="41">C362</f>
        <v>114.30899132816064</v>
      </c>
      <c r="D272" s="8">
        <f t="shared" si="41"/>
        <v>115.90867579908677</v>
      </c>
      <c r="E272" s="8">
        <f t="shared" si="41"/>
        <v>145.25452930728241</v>
      </c>
      <c r="F272" s="8">
        <f t="shared" si="41"/>
        <v>164.62597239648682</v>
      </c>
      <c r="G272" s="8">
        <f t="shared" si="41"/>
        <v>185.05432497978981</v>
      </c>
    </row>
    <row r="273" spans="1:3069 3076:6144 6151:7164 7171:10239 10246:11259 11266:14334 14341:15354 15361:16384">
      <c r="A273" s="130" t="s">
        <v>371</v>
      </c>
      <c r="B273" s="42">
        <f>B272/B264</f>
        <v>0.1321294047452497</v>
      </c>
      <c r="C273" s="42">
        <f t="shared" ref="C273" si="42">C272/C264</f>
        <v>0.12531132572699039</v>
      </c>
      <c r="D273" s="42">
        <f t="shared" ref="D273" si="43">D272/D264</f>
        <v>0.12934792523053984</v>
      </c>
      <c r="E273" s="42">
        <f t="shared" ref="E273" si="44">E272/E264</f>
        <v>0.14887212186869161</v>
      </c>
      <c r="F273" s="42">
        <f t="shared" ref="F273" si="45">F272/F264</f>
        <v>0.15364066485906375</v>
      </c>
      <c r="G273" s="42">
        <f t="shared" ref="G273" si="46">G272/G264</f>
        <v>0.1638518903663802</v>
      </c>
      <c r="H273" s="42">
        <f>AVERAGE(C273:G273)</f>
        <v>0.14420478561033315</v>
      </c>
      <c r="I273" s="42"/>
    </row>
    <row r="274" spans="1:3069 3076:6144 6151:7164 7171:10239 10246:11259 11266:14334 14341:15354 15361:16384">
      <c r="A274" s="1" t="s">
        <v>142</v>
      </c>
      <c r="B274" s="8">
        <f>B381</f>
        <v>10.329573010015816</v>
      </c>
      <c r="C274" s="8">
        <f t="shared" ref="C274:G274" si="47">C381</f>
        <v>9.7089913281606588</v>
      </c>
      <c r="D274" s="8">
        <f t="shared" si="47"/>
        <v>9.2086757990867589</v>
      </c>
      <c r="E274" s="8">
        <f t="shared" si="47"/>
        <v>8.9545293072824155</v>
      </c>
      <c r="F274" s="8">
        <f t="shared" si="47"/>
        <v>10.125972396486826</v>
      </c>
      <c r="G274" s="8">
        <f t="shared" si="47"/>
        <v>9.3543249797898138</v>
      </c>
    </row>
    <row r="275" spans="1:3069 3076:6144 6151:7164 7171:10239 10246:11259 11266:14334 14341:15354 15361:16384">
      <c r="A275" s="1" t="s">
        <v>143</v>
      </c>
      <c r="B275" s="8">
        <f>B387</f>
        <v>19.270426989984188</v>
      </c>
      <c r="C275" s="8">
        <f t="shared" ref="C275:G275" si="48">C387</f>
        <v>21.391008671839341</v>
      </c>
      <c r="D275" s="8">
        <f t="shared" si="48"/>
        <v>20.891324200913242</v>
      </c>
      <c r="E275" s="8">
        <f t="shared" si="48"/>
        <v>18.745470692717586</v>
      </c>
      <c r="F275" s="8">
        <f t="shared" si="48"/>
        <v>18.974027603513175</v>
      </c>
      <c r="G275" s="8">
        <f t="shared" si="48"/>
        <v>16.445675020210185</v>
      </c>
    </row>
    <row r="276" spans="1:3069 3076:6144 6151:7164 7171:10239 10246:11259 11266:14334 14341:15354 15361:16384">
      <c r="A276" s="1" t="s">
        <v>144</v>
      </c>
      <c r="B276" s="8">
        <v>0</v>
      </c>
      <c r="C276" s="8">
        <v>0</v>
      </c>
      <c r="D276" s="8">
        <v>61.7</v>
      </c>
      <c r="E276" s="8">
        <v>0</v>
      </c>
      <c r="F276" s="8">
        <v>29.7</v>
      </c>
      <c r="G276" s="8"/>
    </row>
    <row r="277" spans="1:3069 3076:6144 6151:7164 7171:10239 10246:11259 11266:14334 14341:15354 15361:16384">
      <c r="A277" s="1" t="s">
        <v>145</v>
      </c>
      <c r="B277" s="159">
        <f t="shared" ref="B277:G277" si="49">B266-B268-B270-B272-B274-B275-B276</f>
        <v>113.2</v>
      </c>
      <c r="C277" s="159">
        <f t="shared" si="49"/>
        <v>135.30000000000004</v>
      </c>
      <c r="D277" s="159">
        <f t="shared" si="49"/>
        <v>46.199999999999989</v>
      </c>
      <c r="E277" s="159">
        <f t="shared" si="49"/>
        <v>104.2</v>
      </c>
      <c r="F277" s="159">
        <f t="shared" si="49"/>
        <v>83.100000000000094</v>
      </c>
      <c r="G277" s="159">
        <f t="shared" si="49"/>
        <v>116.20000000000007</v>
      </c>
    </row>
    <row r="278" spans="1:3069 3076:6144 6151:7164 7171:10239 10246:11259 11266:14334 14341:15354 15361:16384">
      <c r="A278" s="1"/>
      <c r="B278" s="8"/>
      <c r="C278" s="8"/>
      <c r="D278" s="8"/>
      <c r="E278" s="8"/>
      <c r="F278" s="8"/>
      <c r="G278" s="27"/>
    </row>
    <row r="279" spans="1:3069 3076:6144 6151:7164 7171:10239 10246:11259 11266:14334 14341:15354 15361:16384">
      <c r="A279" s="161" t="s">
        <v>49</v>
      </c>
      <c r="B279" s="162">
        <v>2020</v>
      </c>
      <c r="C279" s="162">
        <v>2021</v>
      </c>
      <c r="D279" s="162">
        <v>2022</v>
      </c>
      <c r="E279" s="162">
        <v>2023</v>
      </c>
      <c r="F279" s="163">
        <v>2024</v>
      </c>
      <c r="G279" s="163">
        <v>2025</v>
      </c>
      <c r="H279" s="372" t="s">
        <v>369</v>
      </c>
    </row>
    <row r="280" spans="1:3069 3076:6144 6151:7164 7171:10239 10246:11259 11266:14334 14341:15354 15361:16384">
      <c r="A280" s="1" t="s">
        <v>139</v>
      </c>
      <c r="B280" s="8">
        <v>300</v>
      </c>
      <c r="C280" s="8">
        <v>336</v>
      </c>
      <c r="D280" s="8">
        <v>348.5</v>
      </c>
      <c r="E280" s="8">
        <v>321</v>
      </c>
      <c r="F280" s="8">
        <v>303.3</v>
      </c>
      <c r="G280" s="8">
        <v>299</v>
      </c>
    </row>
    <row r="281" spans="1:3069 3076:6144 6151:7164 7171:10239 10246:11259 11266:14334 14341:15354 15361:16384">
      <c r="A281" s="1" t="s">
        <v>140</v>
      </c>
      <c r="B281" s="8">
        <f>B338</f>
        <v>190.83990511333684</v>
      </c>
      <c r="C281" s="8">
        <f t="shared" ref="C281:G281" si="50">C338</f>
        <v>218.49233226837063</v>
      </c>
      <c r="D281" s="8">
        <f t="shared" si="50"/>
        <v>226.4780821917808</v>
      </c>
      <c r="E281" s="8">
        <f t="shared" si="50"/>
        <v>211.90355239786857</v>
      </c>
      <c r="F281" s="8">
        <f t="shared" si="50"/>
        <v>189.95069008782937</v>
      </c>
      <c r="G281" s="8">
        <f t="shared" si="50"/>
        <v>186.23043654001617</v>
      </c>
    </row>
    <row r="282" spans="1:3069 3076:6144 6151:7164 7171:10239 10246:11259 11266:14334 14341:15354 15361:16384" ht="14.25" customHeight="1">
      <c r="A282" s="1" t="s">
        <v>141</v>
      </c>
      <c r="B282" s="159">
        <f t="shared" ref="B282:G282" si="51">B280-B281</f>
        <v>109.16009488666316</v>
      </c>
      <c r="C282" s="159">
        <f t="shared" si="51"/>
        <v>117.50766773162937</v>
      </c>
      <c r="D282" s="159">
        <f t="shared" si="51"/>
        <v>122.0219178082192</v>
      </c>
      <c r="E282" s="159">
        <f t="shared" si="51"/>
        <v>109.09644760213143</v>
      </c>
      <c r="F282" s="159">
        <f t="shared" si="51"/>
        <v>113.34930991217064</v>
      </c>
      <c r="G282" s="159">
        <f t="shared" si="51"/>
        <v>112.76956345998383</v>
      </c>
    </row>
    <row r="283" spans="1:3069 3076:6144 6151:7164 7171:10239 10246:11259 11266:14334 14341:15354 15361:16384" s="185" customFormat="1">
      <c r="A283" s="183" t="s">
        <v>118</v>
      </c>
      <c r="B283" s="184">
        <f t="shared" ref="B283:G283" si="52">B282/B280</f>
        <v>0.36386698295554387</v>
      </c>
      <c r="C283" s="184">
        <f t="shared" si="52"/>
        <v>0.34972520158223025</v>
      </c>
      <c r="D283" s="184">
        <f t="shared" si="52"/>
        <v>0.35013462785715693</v>
      </c>
      <c r="E283" s="184">
        <f t="shared" si="52"/>
        <v>0.33986432274807299</v>
      </c>
      <c r="F283" s="184">
        <f t="shared" si="52"/>
        <v>0.37372011181065162</v>
      </c>
      <c r="G283" s="184">
        <f t="shared" si="52"/>
        <v>0.37715573063539742</v>
      </c>
      <c r="H283" s="184">
        <f>AVERAGE(C283,E283:G283)</f>
        <v>0.36011634169408807</v>
      </c>
      <c r="I283" s="184"/>
      <c r="P283" s="186"/>
      <c r="Q283" s="183"/>
      <c r="R283" s="184"/>
      <c r="S283" s="184"/>
      <c r="T283" s="184"/>
      <c r="U283" s="184"/>
      <c r="V283" s="184"/>
      <c r="W283" s="184"/>
      <c r="X283" s="184"/>
      <c r="AE283" s="186"/>
      <c r="AF283" s="183"/>
      <c r="AG283" s="184"/>
      <c r="AH283" s="184"/>
      <c r="AI283" s="184"/>
      <c r="AJ283" s="184"/>
      <c r="AK283" s="184"/>
      <c r="AL283" s="184"/>
      <c r="AM283" s="184"/>
      <c r="AT283" s="186"/>
      <c r="AU283" s="183"/>
      <c r="AV283" s="184"/>
      <c r="AW283" s="184"/>
      <c r="AX283" s="184"/>
      <c r="AY283" s="184"/>
      <c r="AZ283" s="184"/>
      <c r="BA283" s="184"/>
      <c r="BB283" s="184"/>
      <c r="BI283" s="186"/>
      <c r="BJ283" s="183"/>
      <c r="BK283" s="184"/>
      <c r="BL283" s="184"/>
      <c r="BM283" s="184"/>
      <c r="BN283" s="184"/>
      <c r="BO283" s="184"/>
      <c r="BP283" s="184"/>
      <c r="BQ283" s="184"/>
      <c r="BX283" s="186"/>
      <c r="BY283" s="183"/>
      <c r="BZ283" s="184"/>
      <c r="CA283" s="184"/>
      <c r="CB283" s="184"/>
      <c r="CC283" s="184"/>
      <c r="CD283" s="184"/>
      <c r="CE283" s="184"/>
      <c r="CF283" s="184"/>
      <c r="CM283" s="186"/>
      <c r="CN283" s="183"/>
      <c r="CO283" s="184"/>
      <c r="CP283" s="184"/>
      <c r="CQ283" s="184"/>
      <c r="CR283" s="184"/>
      <c r="CS283" s="184"/>
      <c r="CT283" s="184"/>
      <c r="CU283" s="184"/>
      <c r="DB283" s="186"/>
      <c r="DC283" s="183"/>
      <c r="DD283" s="184"/>
      <c r="DE283" s="184"/>
      <c r="DF283" s="184"/>
      <c r="DG283" s="184"/>
      <c r="DH283" s="184"/>
      <c r="DI283" s="184"/>
      <c r="DJ283" s="184"/>
      <c r="DQ283" s="186"/>
      <c r="DR283" s="183"/>
      <c r="DS283" s="184"/>
      <c r="DT283" s="184"/>
      <c r="DU283" s="184"/>
      <c r="DV283" s="184"/>
      <c r="DW283" s="184"/>
      <c r="DX283" s="184"/>
      <c r="DY283" s="184"/>
      <c r="EF283" s="186"/>
      <c r="EG283" s="183"/>
      <c r="EH283" s="184"/>
      <c r="EI283" s="184"/>
      <c r="EJ283" s="184"/>
      <c r="EK283" s="184"/>
      <c r="EL283" s="184"/>
      <c r="EM283" s="184"/>
      <c r="EN283" s="184"/>
      <c r="EU283" s="186"/>
      <c r="EV283" s="183"/>
      <c r="EW283" s="184"/>
      <c r="EX283" s="184"/>
      <c r="EY283" s="184"/>
      <c r="EZ283" s="184"/>
      <c r="FA283" s="184"/>
      <c r="FB283" s="184"/>
      <c r="FC283" s="184"/>
      <c r="FJ283" s="186"/>
      <c r="FK283" s="183"/>
      <c r="FL283" s="184"/>
      <c r="FM283" s="184"/>
      <c r="FN283" s="184"/>
      <c r="FO283" s="184"/>
      <c r="FP283" s="184"/>
      <c r="FQ283" s="184"/>
      <c r="FR283" s="184"/>
      <c r="FY283" s="186"/>
      <c r="FZ283" s="183"/>
      <c r="GA283" s="184"/>
      <c r="GB283" s="184"/>
      <c r="GC283" s="184"/>
      <c r="GD283" s="184"/>
      <c r="GE283" s="184"/>
      <c r="GF283" s="184"/>
      <c r="GG283" s="184"/>
      <c r="GN283" s="186"/>
      <c r="GO283" s="183"/>
      <c r="GP283" s="184"/>
      <c r="GQ283" s="184"/>
      <c r="GR283" s="184"/>
      <c r="GS283" s="184"/>
      <c r="GT283" s="184"/>
      <c r="GU283" s="184"/>
      <c r="GV283" s="184"/>
      <c r="HC283" s="186"/>
      <c r="HD283" s="183"/>
      <c r="HE283" s="184"/>
      <c r="HF283" s="184"/>
      <c r="HG283" s="184"/>
      <c r="HH283" s="184"/>
      <c r="HI283" s="184"/>
      <c r="HJ283" s="184"/>
      <c r="HK283" s="184"/>
      <c r="HR283" s="186"/>
      <c r="HS283" s="183"/>
      <c r="HT283" s="184"/>
      <c r="HU283" s="184"/>
      <c r="HV283" s="184"/>
      <c r="HW283" s="184"/>
      <c r="HX283" s="184"/>
      <c r="HY283" s="184"/>
      <c r="HZ283" s="184"/>
      <c r="IG283" s="186"/>
      <c r="IH283" s="183"/>
      <c r="II283" s="184"/>
      <c r="IJ283" s="184"/>
      <c r="IK283" s="184"/>
      <c r="IL283" s="184"/>
      <c r="IM283" s="184"/>
      <c r="IN283" s="184"/>
      <c r="IO283" s="184"/>
      <c r="IV283" s="186"/>
      <c r="IW283" s="183"/>
      <c r="IX283" s="184"/>
      <c r="IY283" s="184"/>
      <c r="IZ283" s="184"/>
      <c r="JA283" s="184"/>
      <c r="JB283" s="184"/>
      <c r="JC283" s="184"/>
      <c r="JD283" s="184"/>
      <c r="JK283" s="186"/>
      <c r="JL283" s="183"/>
      <c r="JM283" s="184"/>
      <c r="JN283" s="184"/>
      <c r="JO283" s="184"/>
      <c r="JP283" s="184"/>
      <c r="JQ283" s="184"/>
      <c r="JR283" s="184"/>
      <c r="JS283" s="184"/>
      <c r="JZ283" s="186"/>
      <c r="KA283" s="183"/>
      <c r="KB283" s="184"/>
      <c r="KC283" s="184"/>
      <c r="KD283" s="184"/>
      <c r="KE283" s="184"/>
      <c r="KF283" s="184"/>
      <c r="KG283" s="184"/>
      <c r="KH283" s="184"/>
      <c r="KO283" s="186"/>
      <c r="KP283" s="183"/>
      <c r="KQ283" s="184"/>
      <c r="KR283" s="184"/>
      <c r="KS283" s="184"/>
      <c r="KT283" s="184"/>
      <c r="KU283" s="184"/>
      <c r="KV283" s="184"/>
      <c r="KW283" s="184"/>
      <c r="LD283" s="186"/>
      <c r="LE283" s="183"/>
      <c r="LF283" s="184"/>
      <c r="LG283" s="184"/>
      <c r="LH283" s="184"/>
      <c r="LI283" s="184"/>
      <c r="LJ283" s="184"/>
      <c r="LK283" s="184"/>
      <c r="LL283" s="184"/>
      <c r="LS283" s="186"/>
      <c r="LT283" s="183"/>
      <c r="LU283" s="184"/>
      <c r="LV283" s="184"/>
      <c r="LW283" s="184"/>
      <c r="LX283" s="184"/>
      <c r="LY283" s="184"/>
      <c r="LZ283" s="184"/>
      <c r="MA283" s="184"/>
      <c r="MH283" s="186"/>
      <c r="MI283" s="183"/>
      <c r="MJ283" s="184"/>
      <c r="MK283" s="184"/>
      <c r="ML283" s="184"/>
      <c r="MM283" s="184"/>
      <c r="MN283" s="184"/>
      <c r="MO283" s="184"/>
      <c r="MP283" s="184"/>
      <c r="MW283" s="186"/>
      <c r="MX283" s="183"/>
      <c r="MY283" s="184"/>
      <c r="MZ283" s="184"/>
      <c r="NA283" s="184"/>
      <c r="NB283" s="184"/>
      <c r="NC283" s="184"/>
      <c r="ND283" s="184"/>
      <c r="NE283" s="184"/>
      <c r="NL283" s="186"/>
      <c r="NM283" s="183"/>
      <c r="NN283" s="184"/>
      <c r="NO283" s="184"/>
      <c r="NP283" s="184"/>
      <c r="NQ283" s="184"/>
      <c r="NR283" s="184"/>
      <c r="NS283" s="184"/>
      <c r="NT283" s="184"/>
      <c r="OA283" s="186"/>
      <c r="OB283" s="183"/>
      <c r="OC283" s="184"/>
      <c r="OD283" s="184"/>
      <c r="OE283" s="184"/>
      <c r="OF283" s="184"/>
      <c r="OG283" s="184"/>
      <c r="OH283" s="184"/>
      <c r="OI283" s="184"/>
      <c r="OP283" s="186"/>
      <c r="OQ283" s="183"/>
      <c r="OR283" s="184"/>
      <c r="OS283" s="184"/>
      <c r="OT283" s="184"/>
      <c r="OU283" s="184"/>
      <c r="OV283" s="184"/>
      <c r="OW283" s="184"/>
      <c r="OX283" s="184"/>
      <c r="PE283" s="186"/>
      <c r="PF283" s="183"/>
      <c r="PG283" s="184"/>
      <c r="PH283" s="184"/>
      <c r="PI283" s="184"/>
      <c r="PJ283" s="184"/>
      <c r="PK283" s="184"/>
      <c r="PL283" s="184"/>
      <c r="PM283" s="184"/>
      <c r="PT283" s="186"/>
      <c r="PU283" s="183"/>
      <c r="PV283" s="184"/>
      <c r="PW283" s="184"/>
      <c r="PX283" s="184"/>
      <c r="PY283" s="184"/>
      <c r="PZ283" s="184"/>
      <c r="QA283" s="184"/>
      <c r="QB283" s="184"/>
      <c r="QI283" s="186"/>
      <c r="QJ283" s="183"/>
      <c r="QK283" s="184"/>
      <c r="QL283" s="184"/>
      <c r="QM283" s="184"/>
      <c r="QN283" s="184"/>
      <c r="QO283" s="184"/>
      <c r="QP283" s="184"/>
      <c r="QQ283" s="184"/>
      <c r="QX283" s="186"/>
      <c r="QY283" s="183"/>
      <c r="QZ283" s="184"/>
      <c r="RA283" s="184"/>
      <c r="RB283" s="184"/>
      <c r="RC283" s="184"/>
      <c r="RD283" s="184"/>
      <c r="RE283" s="184"/>
      <c r="RF283" s="184"/>
      <c r="RM283" s="186"/>
      <c r="RN283" s="183"/>
      <c r="RO283" s="184"/>
      <c r="RP283" s="184"/>
      <c r="RQ283" s="184"/>
      <c r="RR283" s="184"/>
      <c r="RS283" s="184"/>
      <c r="RT283" s="184"/>
      <c r="RU283" s="184"/>
      <c r="SB283" s="186"/>
      <c r="SC283" s="183"/>
      <c r="SD283" s="184"/>
      <c r="SE283" s="184"/>
      <c r="SF283" s="184"/>
      <c r="SG283" s="184"/>
      <c r="SH283" s="184"/>
      <c r="SI283" s="184"/>
      <c r="SJ283" s="184"/>
      <c r="SQ283" s="186"/>
      <c r="SR283" s="183"/>
      <c r="SS283" s="184"/>
      <c r="ST283" s="184"/>
      <c r="SU283" s="184"/>
      <c r="SV283" s="184"/>
      <c r="SW283" s="184"/>
      <c r="SX283" s="184"/>
      <c r="SY283" s="184"/>
      <c r="TF283" s="186"/>
      <c r="TG283" s="183"/>
      <c r="TH283" s="184"/>
      <c r="TI283" s="184"/>
      <c r="TJ283" s="184"/>
      <c r="TK283" s="184"/>
      <c r="TL283" s="184"/>
      <c r="TM283" s="184"/>
      <c r="TN283" s="184"/>
      <c r="TU283" s="186"/>
      <c r="TV283" s="183"/>
      <c r="TW283" s="184"/>
      <c r="TX283" s="184"/>
      <c r="TY283" s="184"/>
      <c r="TZ283" s="184"/>
      <c r="UA283" s="184"/>
      <c r="UB283" s="184"/>
      <c r="UC283" s="184"/>
      <c r="UJ283" s="186"/>
      <c r="UK283" s="183"/>
      <c r="UL283" s="184"/>
      <c r="UM283" s="184"/>
      <c r="UN283" s="184"/>
      <c r="UO283" s="184"/>
      <c r="UP283" s="184"/>
      <c r="UQ283" s="184"/>
      <c r="UR283" s="184"/>
      <c r="UY283" s="186"/>
      <c r="UZ283" s="183"/>
      <c r="VA283" s="184"/>
      <c r="VB283" s="184"/>
      <c r="VC283" s="184"/>
      <c r="VD283" s="184"/>
      <c r="VE283" s="184"/>
      <c r="VF283" s="184"/>
      <c r="VG283" s="184"/>
      <c r="VN283" s="186"/>
      <c r="VO283" s="183"/>
      <c r="VP283" s="184"/>
      <c r="VQ283" s="184"/>
      <c r="VR283" s="184"/>
      <c r="VS283" s="184"/>
      <c r="VT283" s="184"/>
      <c r="VU283" s="184"/>
      <c r="VV283" s="184"/>
      <c r="WC283" s="186"/>
      <c r="WD283" s="183"/>
      <c r="WE283" s="184"/>
      <c r="WF283" s="184"/>
      <c r="WG283" s="184"/>
      <c r="WH283" s="184"/>
      <c r="WI283" s="184"/>
      <c r="WJ283" s="184"/>
      <c r="WK283" s="184"/>
      <c r="WR283" s="186"/>
      <c r="WS283" s="183"/>
      <c r="WT283" s="184"/>
      <c r="WU283" s="184"/>
      <c r="WV283" s="184"/>
      <c r="WW283" s="184"/>
      <c r="WX283" s="184"/>
      <c r="WY283" s="184"/>
      <c r="WZ283" s="184"/>
      <c r="XG283" s="186"/>
      <c r="XH283" s="183"/>
      <c r="XI283" s="184"/>
      <c r="XJ283" s="184"/>
      <c r="XK283" s="184"/>
      <c r="XL283" s="184"/>
      <c r="XM283" s="184"/>
      <c r="XN283" s="184"/>
      <c r="XO283" s="184"/>
      <c r="XV283" s="186"/>
      <c r="XW283" s="183"/>
      <c r="XX283" s="184"/>
      <c r="XY283" s="184"/>
      <c r="XZ283" s="184"/>
      <c r="YA283" s="184"/>
      <c r="YB283" s="184"/>
      <c r="YC283" s="184"/>
      <c r="YD283" s="184"/>
      <c r="YK283" s="186"/>
      <c r="YL283" s="183"/>
      <c r="YM283" s="184"/>
      <c r="YN283" s="184"/>
      <c r="YO283" s="184"/>
      <c r="YP283" s="184"/>
      <c r="YQ283" s="184"/>
      <c r="YR283" s="184"/>
      <c r="YS283" s="184"/>
      <c r="YZ283" s="186"/>
      <c r="ZA283" s="183"/>
      <c r="ZB283" s="184"/>
      <c r="ZC283" s="184"/>
      <c r="ZD283" s="184"/>
      <c r="ZE283" s="184"/>
      <c r="ZF283" s="184"/>
      <c r="ZG283" s="184"/>
      <c r="ZH283" s="184"/>
      <c r="ZO283" s="186"/>
      <c r="ZP283" s="183"/>
      <c r="ZQ283" s="184"/>
      <c r="ZR283" s="184"/>
      <c r="ZS283" s="184"/>
      <c r="ZT283" s="184"/>
      <c r="ZU283" s="184"/>
      <c r="ZV283" s="184"/>
      <c r="ZW283" s="184"/>
      <c r="AAD283" s="186"/>
      <c r="AAE283" s="183"/>
      <c r="AAF283" s="184"/>
      <c r="AAG283" s="184"/>
      <c r="AAH283" s="184"/>
      <c r="AAI283" s="184"/>
      <c r="AAJ283" s="184"/>
      <c r="AAK283" s="184"/>
      <c r="AAL283" s="184"/>
      <c r="AAS283" s="186"/>
      <c r="AAT283" s="183"/>
      <c r="AAU283" s="184"/>
      <c r="AAV283" s="184"/>
      <c r="AAW283" s="184"/>
      <c r="AAX283" s="184"/>
      <c r="AAY283" s="184"/>
      <c r="AAZ283" s="184"/>
      <c r="ABA283" s="184"/>
      <c r="ABH283" s="186"/>
      <c r="ABI283" s="183"/>
      <c r="ABJ283" s="184"/>
      <c r="ABK283" s="184"/>
      <c r="ABL283" s="184"/>
      <c r="ABM283" s="184"/>
      <c r="ABN283" s="184"/>
      <c r="ABO283" s="184"/>
      <c r="ABP283" s="184"/>
      <c r="ABW283" s="186"/>
      <c r="ABX283" s="183"/>
      <c r="ABY283" s="184"/>
      <c r="ABZ283" s="184"/>
      <c r="ACA283" s="184"/>
      <c r="ACB283" s="184"/>
      <c r="ACC283" s="184"/>
      <c r="ACD283" s="184"/>
      <c r="ACE283" s="184"/>
      <c r="ACL283" s="186"/>
      <c r="ACM283" s="183"/>
      <c r="ACN283" s="184"/>
      <c r="ACO283" s="184"/>
      <c r="ACP283" s="184"/>
      <c r="ACQ283" s="184"/>
      <c r="ACR283" s="184"/>
      <c r="ACS283" s="184"/>
      <c r="ACT283" s="184"/>
      <c r="ADA283" s="186"/>
      <c r="ADB283" s="183"/>
      <c r="ADC283" s="184"/>
      <c r="ADD283" s="184"/>
      <c r="ADE283" s="184"/>
      <c r="ADF283" s="184"/>
      <c r="ADG283" s="184"/>
      <c r="ADH283" s="184"/>
      <c r="ADI283" s="184"/>
      <c r="ADP283" s="186"/>
      <c r="ADQ283" s="183"/>
      <c r="ADR283" s="184"/>
      <c r="ADS283" s="184"/>
      <c r="ADT283" s="184"/>
      <c r="ADU283" s="184"/>
      <c r="ADV283" s="184"/>
      <c r="ADW283" s="184"/>
      <c r="ADX283" s="184"/>
      <c r="AEE283" s="186"/>
      <c r="AEF283" s="183"/>
      <c r="AEG283" s="184"/>
      <c r="AEH283" s="184"/>
      <c r="AEI283" s="184"/>
      <c r="AEJ283" s="184"/>
      <c r="AEK283" s="184"/>
      <c r="AEL283" s="184"/>
      <c r="AEM283" s="184"/>
      <c r="AET283" s="186"/>
      <c r="AEU283" s="183"/>
      <c r="AEV283" s="184"/>
      <c r="AEW283" s="184"/>
      <c r="AEX283" s="184"/>
      <c r="AEY283" s="184"/>
      <c r="AEZ283" s="184"/>
      <c r="AFA283" s="184"/>
      <c r="AFB283" s="184"/>
      <c r="AFI283" s="186"/>
      <c r="AFJ283" s="183"/>
      <c r="AFK283" s="184"/>
      <c r="AFL283" s="184"/>
      <c r="AFM283" s="184"/>
      <c r="AFN283" s="184"/>
      <c r="AFO283" s="184"/>
      <c r="AFP283" s="184"/>
      <c r="AFQ283" s="184"/>
      <c r="AFX283" s="186"/>
      <c r="AFY283" s="183"/>
      <c r="AFZ283" s="184"/>
      <c r="AGA283" s="184"/>
      <c r="AGB283" s="184"/>
      <c r="AGC283" s="184"/>
      <c r="AGD283" s="184"/>
      <c r="AGE283" s="184"/>
      <c r="AGF283" s="184"/>
      <c r="AGM283" s="186"/>
      <c r="AGN283" s="183"/>
      <c r="AGO283" s="184"/>
      <c r="AGP283" s="184"/>
      <c r="AGQ283" s="184"/>
      <c r="AGR283" s="184"/>
      <c r="AGS283" s="184"/>
      <c r="AGT283" s="184"/>
      <c r="AGU283" s="184"/>
      <c r="AHB283" s="186"/>
      <c r="AHC283" s="183"/>
      <c r="AHD283" s="184"/>
      <c r="AHE283" s="184"/>
      <c r="AHF283" s="184"/>
      <c r="AHG283" s="184"/>
      <c r="AHH283" s="184"/>
      <c r="AHI283" s="184"/>
      <c r="AHJ283" s="184"/>
      <c r="AHQ283" s="186"/>
      <c r="AHR283" s="183"/>
      <c r="AHS283" s="184"/>
      <c r="AHT283" s="184"/>
      <c r="AHU283" s="184"/>
      <c r="AHV283" s="184"/>
      <c r="AHW283" s="184"/>
      <c r="AHX283" s="184"/>
      <c r="AHY283" s="184"/>
      <c r="AIF283" s="186"/>
      <c r="AIG283" s="183"/>
      <c r="AIH283" s="184"/>
      <c r="AII283" s="184"/>
      <c r="AIJ283" s="184"/>
      <c r="AIK283" s="184"/>
      <c r="AIL283" s="184"/>
      <c r="AIM283" s="184"/>
      <c r="AIN283" s="184"/>
      <c r="AIU283" s="186"/>
      <c r="AIV283" s="183"/>
      <c r="AIW283" s="184"/>
      <c r="AIX283" s="184"/>
      <c r="AIY283" s="184"/>
      <c r="AIZ283" s="184"/>
      <c r="AJA283" s="184"/>
      <c r="AJB283" s="184"/>
      <c r="AJC283" s="184"/>
      <c r="AJJ283" s="186"/>
      <c r="AJK283" s="183"/>
      <c r="AJL283" s="184"/>
      <c r="AJM283" s="184"/>
      <c r="AJN283" s="184"/>
      <c r="AJO283" s="184"/>
      <c r="AJP283" s="184"/>
      <c r="AJQ283" s="184"/>
      <c r="AJR283" s="184"/>
      <c r="AJY283" s="186"/>
      <c r="AJZ283" s="183"/>
      <c r="AKA283" s="184"/>
      <c r="AKB283" s="184"/>
      <c r="AKC283" s="184"/>
      <c r="AKD283" s="184"/>
      <c r="AKE283" s="184"/>
      <c r="AKF283" s="184"/>
      <c r="AKG283" s="184"/>
      <c r="AKN283" s="186"/>
      <c r="AKO283" s="183"/>
      <c r="AKP283" s="184"/>
      <c r="AKQ283" s="184"/>
      <c r="AKR283" s="184"/>
      <c r="AKS283" s="184"/>
      <c r="AKT283" s="184"/>
      <c r="AKU283" s="184"/>
      <c r="AKV283" s="184"/>
      <c r="ALC283" s="186"/>
      <c r="ALD283" s="183"/>
      <c r="ALE283" s="184"/>
      <c r="ALF283" s="184"/>
      <c r="ALG283" s="184"/>
      <c r="ALH283" s="184"/>
      <c r="ALI283" s="184"/>
      <c r="ALJ283" s="184"/>
      <c r="ALK283" s="184"/>
      <c r="ALR283" s="186"/>
      <c r="ALS283" s="183"/>
      <c r="ALT283" s="184"/>
      <c r="ALU283" s="184"/>
      <c r="ALV283" s="184"/>
      <c r="ALW283" s="184"/>
      <c r="ALX283" s="184"/>
      <c r="ALY283" s="184"/>
      <c r="ALZ283" s="184"/>
      <c r="AMG283" s="186"/>
      <c r="AMH283" s="183"/>
      <c r="AMI283" s="184"/>
      <c r="AMJ283" s="184"/>
      <c r="AMK283" s="184"/>
      <c r="AML283" s="184"/>
      <c r="AMM283" s="184"/>
      <c r="AMN283" s="184"/>
      <c r="AMO283" s="184"/>
      <c r="AMV283" s="186"/>
      <c r="AMW283" s="183"/>
      <c r="AMX283" s="184"/>
      <c r="AMY283" s="184"/>
      <c r="AMZ283" s="184"/>
      <c r="ANA283" s="184"/>
      <c r="ANB283" s="184"/>
      <c r="ANC283" s="184"/>
      <c r="AND283" s="184"/>
      <c r="ANK283" s="186"/>
      <c r="ANL283" s="183"/>
      <c r="ANM283" s="184"/>
      <c r="ANN283" s="184"/>
      <c r="ANO283" s="184"/>
      <c r="ANP283" s="184"/>
      <c r="ANQ283" s="184"/>
      <c r="ANR283" s="184"/>
      <c r="ANS283" s="184"/>
      <c r="ANZ283" s="186"/>
      <c r="AOA283" s="183"/>
      <c r="AOB283" s="184"/>
      <c r="AOC283" s="184"/>
      <c r="AOD283" s="184"/>
      <c r="AOE283" s="184"/>
      <c r="AOF283" s="184"/>
      <c r="AOG283" s="184"/>
      <c r="AOH283" s="184"/>
      <c r="AOO283" s="186"/>
      <c r="AOP283" s="183"/>
      <c r="AOQ283" s="184"/>
      <c r="AOR283" s="184"/>
      <c r="AOS283" s="184"/>
      <c r="AOT283" s="184"/>
      <c r="AOU283" s="184"/>
      <c r="AOV283" s="184"/>
      <c r="AOW283" s="184"/>
      <c r="APD283" s="186"/>
      <c r="APE283" s="183"/>
      <c r="APF283" s="184"/>
      <c r="APG283" s="184"/>
      <c r="APH283" s="184"/>
      <c r="API283" s="184"/>
      <c r="APJ283" s="184"/>
      <c r="APK283" s="184"/>
      <c r="APL283" s="184"/>
      <c r="APS283" s="186"/>
      <c r="APT283" s="183"/>
      <c r="APU283" s="184"/>
      <c r="APV283" s="184"/>
      <c r="APW283" s="184"/>
      <c r="APX283" s="184"/>
      <c r="APY283" s="184"/>
      <c r="APZ283" s="184"/>
      <c r="AQA283" s="184"/>
      <c r="AQH283" s="186"/>
      <c r="AQI283" s="183"/>
      <c r="AQJ283" s="184"/>
      <c r="AQK283" s="184"/>
      <c r="AQL283" s="184"/>
      <c r="AQM283" s="184"/>
      <c r="AQN283" s="184"/>
      <c r="AQO283" s="184"/>
      <c r="AQP283" s="184"/>
      <c r="AQW283" s="186"/>
      <c r="AQX283" s="183"/>
      <c r="AQY283" s="184"/>
      <c r="AQZ283" s="184"/>
      <c r="ARA283" s="184"/>
      <c r="ARB283" s="184"/>
      <c r="ARC283" s="184"/>
      <c r="ARD283" s="184"/>
      <c r="ARE283" s="184"/>
      <c r="ARL283" s="186"/>
      <c r="ARM283" s="183"/>
      <c r="ARN283" s="184"/>
      <c r="ARO283" s="184"/>
      <c r="ARP283" s="184"/>
      <c r="ARQ283" s="184"/>
      <c r="ARR283" s="184"/>
      <c r="ARS283" s="184"/>
      <c r="ART283" s="184"/>
      <c r="ASA283" s="186"/>
      <c r="ASB283" s="183"/>
      <c r="ASC283" s="184"/>
      <c r="ASD283" s="184"/>
      <c r="ASE283" s="184"/>
      <c r="ASF283" s="184"/>
      <c r="ASG283" s="184"/>
      <c r="ASH283" s="184"/>
      <c r="ASI283" s="184"/>
      <c r="ASP283" s="186"/>
      <c r="ASQ283" s="183"/>
      <c r="ASR283" s="184"/>
      <c r="ASS283" s="184"/>
      <c r="AST283" s="184"/>
      <c r="ASU283" s="184"/>
      <c r="ASV283" s="184"/>
      <c r="ASW283" s="184"/>
      <c r="ASX283" s="184"/>
      <c r="ATE283" s="186"/>
      <c r="ATF283" s="183"/>
      <c r="ATG283" s="184"/>
      <c r="ATH283" s="184"/>
      <c r="ATI283" s="184"/>
      <c r="ATJ283" s="184"/>
      <c r="ATK283" s="184"/>
      <c r="ATL283" s="184"/>
      <c r="ATM283" s="184"/>
      <c r="ATT283" s="186"/>
      <c r="ATU283" s="183"/>
      <c r="ATV283" s="184"/>
      <c r="ATW283" s="184"/>
      <c r="ATX283" s="184"/>
      <c r="ATY283" s="184"/>
      <c r="ATZ283" s="184"/>
      <c r="AUA283" s="184"/>
      <c r="AUB283" s="184"/>
      <c r="AUI283" s="186"/>
      <c r="AUJ283" s="183"/>
      <c r="AUK283" s="184"/>
      <c r="AUL283" s="184"/>
      <c r="AUM283" s="184"/>
      <c r="AUN283" s="184"/>
      <c r="AUO283" s="184"/>
      <c r="AUP283" s="184"/>
      <c r="AUQ283" s="184"/>
      <c r="AUX283" s="186"/>
      <c r="AUY283" s="183"/>
      <c r="AUZ283" s="184"/>
      <c r="AVA283" s="184"/>
      <c r="AVB283" s="184"/>
      <c r="AVC283" s="184"/>
      <c r="AVD283" s="184"/>
      <c r="AVE283" s="184"/>
      <c r="AVF283" s="184"/>
      <c r="AVM283" s="186"/>
      <c r="AVN283" s="183"/>
      <c r="AVO283" s="184"/>
      <c r="AVP283" s="184"/>
      <c r="AVQ283" s="184"/>
      <c r="AVR283" s="184"/>
      <c r="AVS283" s="184"/>
      <c r="AVT283" s="184"/>
      <c r="AVU283" s="184"/>
      <c r="AWB283" s="186"/>
      <c r="AWC283" s="183"/>
      <c r="AWD283" s="184"/>
      <c r="AWE283" s="184"/>
      <c r="AWF283" s="184"/>
      <c r="AWG283" s="184"/>
      <c r="AWH283" s="184"/>
      <c r="AWI283" s="184"/>
      <c r="AWJ283" s="184"/>
      <c r="AWQ283" s="186"/>
      <c r="AWR283" s="183"/>
      <c r="AWS283" s="184"/>
      <c r="AWT283" s="184"/>
      <c r="AWU283" s="184"/>
      <c r="AWV283" s="184"/>
      <c r="AWW283" s="184"/>
      <c r="AWX283" s="184"/>
      <c r="AWY283" s="184"/>
      <c r="AXF283" s="186"/>
      <c r="AXG283" s="183"/>
      <c r="AXH283" s="184"/>
      <c r="AXI283" s="184"/>
      <c r="AXJ283" s="184"/>
      <c r="AXK283" s="184"/>
      <c r="AXL283" s="184"/>
      <c r="AXM283" s="184"/>
      <c r="AXN283" s="184"/>
      <c r="AXU283" s="186"/>
      <c r="AXV283" s="183"/>
      <c r="AXW283" s="184"/>
      <c r="AXX283" s="184"/>
      <c r="AXY283" s="184"/>
      <c r="AXZ283" s="184"/>
      <c r="AYA283" s="184"/>
      <c r="AYB283" s="184"/>
      <c r="AYC283" s="184"/>
      <c r="AYJ283" s="186"/>
      <c r="AYK283" s="183"/>
      <c r="AYL283" s="184"/>
      <c r="AYM283" s="184"/>
      <c r="AYN283" s="184"/>
      <c r="AYO283" s="184"/>
      <c r="AYP283" s="184"/>
      <c r="AYQ283" s="184"/>
      <c r="AYR283" s="184"/>
      <c r="AYY283" s="186"/>
      <c r="AYZ283" s="183"/>
      <c r="AZA283" s="184"/>
      <c r="AZB283" s="184"/>
      <c r="AZC283" s="184"/>
      <c r="AZD283" s="184"/>
      <c r="AZE283" s="184"/>
      <c r="AZF283" s="184"/>
      <c r="AZG283" s="184"/>
      <c r="AZN283" s="186"/>
      <c r="AZO283" s="183"/>
      <c r="AZP283" s="184"/>
      <c r="AZQ283" s="184"/>
      <c r="AZR283" s="184"/>
      <c r="AZS283" s="184"/>
      <c r="AZT283" s="184"/>
      <c r="AZU283" s="184"/>
      <c r="AZV283" s="184"/>
      <c r="BAC283" s="186"/>
      <c r="BAD283" s="183"/>
      <c r="BAE283" s="184"/>
      <c r="BAF283" s="184"/>
      <c r="BAG283" s="184"/>
      <c r="BAH283" s="184"/>
      <c r="BAI283" s="184"/>
      <c r="BAJ283" s="184"/>
      <c r="BAK283" s="184"/>
      <c r="BAR283" s="186"/>
      <c r="BAS283" s="183"/>
      <c r="BAT283" s="184"/>
      <c r="BAU283" s="184"/>
      <c r="BAV283" s="184"/>
      <c r="BAW283" s="184"/>
      <c r="BAX283" s="184"/>
      <c r="BAY283" s="184"/>
      <c r="BAZ283" s="184"/>
      <c r="BBG283" s="186"/>
      <c r="BBH283" s="183"/>
      <c r="BBI283" s="184"/>
      <c r="BBJ283" s="184"/>
      <c r="BBK283" s="184"/>
      <c r="BBL283" s="184"/>
      <c r="BBM283" s="184"/>
      <c r="BBN283" s="184"/>
      <c r="BBO283" s="184"/>
      <c r="BBV283" s="186"/>
      <c r="BBW283" s="183"/>
      <c r="BBX283" s="184"/>
      <c r="BBY283" s="184"/>
      <c r="BBZ283" s="184"/>
      <c r="BCA283" s="184"/>
      <c r="BCB283" s="184"/>
      <c r="BCC283" s="184"/>
      <c r="BCD283" s="184"/>
      <c r="BCK283" s="186"/>
      <c r="BCL283" s="183"/>
      <c r="BCM283" s="184"/>
      <c r="BCN283" s="184"/>
      <c r="BCO283" s="184"/>
      <c r="BCP283" s="184"/>
      <c r="BCQ283" s="184"/>
      <c r="BCR283" s="184"/>
      <c r="BCS283" s="184"/>
      <c r="BCZ283" s="186"/>
      <c r="BDA283" s="183"/>
      <c r="BDB283" s="184"/>
      <c r="BDC283" s="184"/>
      <c r="BDD283" s="184"/>
      <c r="BDE283" s="184"/>
      <c r="BDF283" s="184"/>
      <c r="BDG283" s="184"/>
      <c r="BDH283" s="184"/>
      <c r="BDO283" s="186"/>
      <c r="BDP283" s="183"/>
      <c r="BDQ283" s="184"/>
      <c r="BDR283" s="184"/>
      <c r="BDS283" s="184"/>
      <c r="BDT283" s="184"/>
      <c r="BDU283" s="184"/>
      <c r="BDV283" s="184"/>
      <c r="BDW283" s="184"/>
      <c r="BED283" s="186"/>
      <c r="BEE283" s="183"/>
      <c r="BEF283" s="184"/>
      <c r="BEG283" s="184"/>
      <c r="BEH283" s="184"/>
      <c r="BEI283" s="184"/>
      <c r="BEJ283" s="184"/>
      <c r="BEK283" s="184"/>
      <c r="BEL283" s="184"/>
      <c r="BES283" s="186"/>
      <c r="BET283" s="183"/>
      <c r="BEU283" s="184"/>
      <c r="BEV283" s="184"/>
      <c r="BEW283" s="184"/>
      <c r="BEX283" s="184"/>
      <c r="BEY283" s="184"/>
      <c r="BEZ283" s="184"/>
      <c r="BFA283" s="184"/>
      <c r="BFH283" s="186"/>
      <c r="BFI283" s="183"/>
      <c r="BFJ283" s="184"/>
      <c r="BFK283" s="184"/>
      <c r="BFL283" s="184"/>
      <c r="BFM283" s="184"/>
      <c r="BFN283" s="184"/>
      <c r="BFO283" s="184"/>
      <c r="BFP283" s="184"/>
      <c r="BFW283" s="186"/>
      <c r="BFX283" s="183"/>
      <c r="BFY283" s="184"/>
      <c r="BFZ283" s="184"/>
      <c r="BGA283" s="184"/>
      <c r="BGB283" s="184"/>
      <c r="BGC283" s="184"/>
      <c r="BGD283" s="184"/>
      <c r="BGE283" s="184"/>
      <c r="BGL283" s="186"/>
      <c r="BGM283" s="183"/>
      <c r="BGN283" s="184"/>
      <c r="BGO283" s="184"/>
      <c r="BGP283" s="184"/>
      <c r="BGQ283" s="184"/>
      <c r="BGR283" s="184"/>
      <c r="BGS283" s="184"/>
      <c r="BGT283" s="184"/>
      <c r="BHA283" s="186"/>
      <c r="BHB283" s="183"/>
      <c r="BHC283" s="184"/>
      <c r="BHD283" s="184"/>
      <c r="BHE283" s="184"/>
      <c r="BHF283" s="184"/>
      <c r="BHG283" s="184"/>
      <c r="BHH283" s="184"/>
      <c r="BHI283" s="184"/>
      <c r="BHP283" s="186"/>
      <c r="BHQ283" s="183"/>
      <c r="BHR283" s="184"/>
      <c r="BHS283" s="184"/>
      <c r="BHT283" s="184"/>
      <c r="BHU283" s="184"/>
      <c r="BHV283" s="184"/>
      <c r="BHW283" s="184"/>
      <c r="BHX283" s="184"/>
      <c r="BIE283" s="186"/>
      <c r="BIF283" s="183"/>
      <c r="BIG283" s="184"/>
      <c r="BIH283" s="184"/>
      <c r="BII283" s="184"/>
      <c r="BIJ283" s="184"/>
      <c r="BIK283" s="184"/>
      <c r="BIL283" s="184"/>
      <c r="BIM283" s="184"/>
      <c r="BIT283" s="186"/>
      <c r="BIU283" s="183"/>
      <c r="BIV283" s="184"/>
      <c r="BIW283" s="184"/>
      <c r="BIX283" s="184"/>
      <c r="BIY283" s="184"/>
      <c r="BIZ283" s="184"/>
      <c r="BJA283" s="184"/>
      <c r="BJB283" s="184"/>
      <c r="BJI283" s="186"/>
      <c r="BJJ283" s="183"/>
      <c r="BJK283" s="184"/>
      <c r="BJL283" s="184"/>
      <c r="BJM283" s="184"/>
      <c r="BJN283" s="184"/>
      <c r="BJO283" s="184"/>
      <c r="BJP283" s="184"/>
      <c r="BJQ283" s="184"/>
      <c r="BJX283" s="186"/>
      <c r="BJY283" s="183"/>
      <c r="BJZ283" s="184"/>
      <c r="BKA283" s="184"/>
      <c r="BKB283" s="184"/>
      <c r="BKC283" s="184"/>
      <c r="BKD283" s="184"/>
      <c r="BKE283" s="184"/>
      <c r="BKF283" s="184"/>
      <c r="BKM283" s="186"/>
      <c r="BKN283" s="183"/>
      <c r="BKO283" s="184"/>
      <c r="BKP283" s="184"/>
      <c r="BKQ283" s="184"/>
      <c r="BKR283" s="184"/>
      <c r="BKS283" s="184"/>
      <c r="BKT283" s="184"/>
      <c r="BKU283" s="184"/>
      <c r="BLB283" s="186"/>
      <c r="BLC283" s="183"/>
      <c r="BLD283" s="184"/>
      <c r="BLE283" s="184"/>
      <c r="BLF283" s="184"/>
      <c r="BLG283" s="184"/>
      <c r="BLH283" s="184"/>
      <c r="BLI283" s="184"/>
      <c r="BLJ283" s="184"/>
      <c r="BLQ283" s="186"/>
      <c r="BLR283" s="183"/>
      <c r="BLS283" s="184"/>
      <c r="BLT283" s="184"/>
      <c r="BLU283" s="184"/>
      <c r="BLV283" s="184"/>
      <c r="BLW283" s="184"/>
      <c r="BLX283" s="184"/>
      <c r="BLY283" s="184"/>
      <c r="BMF283" s="186"/>
      <c r="BMG283" s="183"/>
      <c r="BMH283" s="184"/>
      <c r="BMI283" s="184"/>
      <c r="BMJ283" s="184"/>
      <c r="BMK283" s="184"/>
      <c r="BML283" s="184"/>
      <c r="BMM283" s="184"/>
      <c r="BMN283" s="184"/>
      <c r="BMU283" s="186"/>
      <c r="BMV283" s="183"/>
      <c r="BMW283" s="184"/>
      <c r="BMX283" s="184"/>
      <c r="BMY283" s="184"/>
      <c r="BMZ283" s="184"/>
      <c r="BNA283" s="184"/>
      <c r="BNB283" s="184"/>
      <c r="BNC283" s="184"/>
      <c r="BNJ283" s="186"/>
      <c r="BNK283" s="183"/>
      <c r="BNL283" s="184"/>
      <c r="BNM283" s="184"/>
      <c r="BNN283" s="184"/>
      <c r="BNO283" s="184"/>
      <c r="BNP283" s="184"/>
      <c r="BNQ283" s="184"/>
      <c r="BNR283" s="184"/>
      <c r="BNY283" s="186"/>
      <c r="BNZ283" s="183"/>
      <c r="BOA283" s="184"/>
      <c r="BOB283" s="184"/>
      <c r="BOC283" s="184"/>
      <c r="BOD283" s="184"/>
      <c r="BOE283" s="184"/>
      <c r="BOF283" s="184"/>
      <c r="BOG283" s="184"/>
      <c r="BON283" s="186"/>
      <c r="BOO283" s="183"/>
      <c r="BOP283" s="184"/>
      <c r="BOQ283" s="184"/>
      <c r="BOR283" s="184"/>
      <c r="BOS283" s="184"/>
      <c r="BOT283" s="184"/>
      <c r="BOU283" s="184"/>
      <c r="BOV283" s="184"/>
      <c r="BPC283" s="186"/>
      <c r="BPD283" s="183"/>
      <c r="BPE283" s="184"/>
      <c r="BPF283" s="184"/>
      <c r="BPG283" s="184"/>
      <c r="BPH283" s="184"/>
      <c r="BPI283" s="184"/>
      <c r="BPJ283" s="184"/>
      <c r="BPK283" s="184"/>
      <c r="BPR283" s="186"/>
      <c r="BPS283" s="183"/>
      <c r="BPT283" s="184"/>
      <c r="BPU283" s="184"/>
      <c r="BPV283" s="184"/>
      <c r="BPW283" s="184"/>
      <c r="BPX283" s="184"/>
      <c r="BPY283" s="184"/>
      <c r="BPZ283" s="184"/>
      <c r="BQG283" s="186"/>
      <c r="BQH283" s="183"/>
      <c r="BQI283" s="184"/>
      <c r="BQJ283" s="184"/>
      <c r="BQK283" s="184"/>
      <c r="BQL283" s="184"/>
      <c r="BQM283" s="184"/>
      <c r="BQN283" s="184"/>
      <c r="BQO283" s="184"/>
      <c r="BQV283" s="186"/>
      <c r="BQW283" s="183"/>
      <c r="BQX283" s="184"/>
      <c r="BQY283" s="184"/>
      <c r="BQZ283" s="184"/>
      <c r="BRA283" s="184"/>
      <c r="BRB283" s="184"/>
      <c r="BRC283" s="184"/>
      <c r="BRD283" s="184"/>
      <c r="BRK283" s="186"/>
      <c r="BRL283" s="183"/>
      <c r="BRM283" s="184"/>
      <c r="BRN283" s="184"/>
      <c r="BRO283" s="184"/>
      <c r="BRP283" s="184"/>
      <c r="BRQ283" s="184"/>
      <c r="BRR283" s="184"/>
      <c r="BRS283" s="184"/>
      <c r="BRZ283" s="186"/>
      <c r="BSA283" s="183"/>
      <c r="BSB283" s="184"/>
      <c r="BSC283" s="184"/>
      <c r="BSD283" s="184"/>
      <c r="BSE283" s="184"/>
      <c r="BSF283" s="184"/>
      <c r="BSG283" s="184"/>
      <c r="BSH283" s="184"/>
      <c r="BSO283" s="186"/>
      <c r="BSP283" s="183"/>
      <c r="BSQ283" s="184"/>
      <c r="BSR283" s="184"/>
      <c r="BSS283" s="184"/>
      <c r="BST283" s="184"/>
      <c r="BSU283" s="184"/>
      <c r="BSV283" s="184"/>
      <c r="BSW283" s="184"/>
      <c r="BTD283" s="186"/>
      <c r="BTE283" s="183"/>
      <c r="BTF283" s="184"/>
      <c r="BTG283" s="184"/>
      <c r="BTH283" s="184"/>
      <c r="BTI283" s="184"/>
      <c r="BTJ283" s="184"/>
      <c r="BTK283" s="184"/>
      <c r="BTL283" s="184"/>
      <c r="BTS283" s="186"/>
      <c r="BTT283" s="183"/>
      <c r="BTU283" s="184"/>
      <c r="BTV283" s="184"/>
      <c r="BTW283" s="184"/>
      <c r="BTX283" s="184"/>
      <c r="BTY283" s="184"/>
      <c r="BTZ283" s="184"/>
      <c r="BUA283" s="184"/>
      <c r="BUH283" s="186"/>
      <c r="BUI283" s="183"/>
      <c r="BUJ283" s="184"/>
      <c r="BUK283" s="184"/>
      <c r="BUL283" s="184"/>
      <c r="BUM283" s="184"/>
      <c r="BUN283" s="184"/>
      <c r="BUO283" s="184"/>
      <c r="BUP283" s="184"/>
      <c r="BUW283" s="186"/>
      <c r="BUX283" s="183"/>
      <c r="BUY283" s="184"/>
      <c r="BUZ283" s="184"/>
      <c r="BVA283" s="184"/>
      <c r="BVB283" s="184"/>
      <c r="BVC283" s="184"/>
      <c r="BVD283" s="184"/>
      <c r="BVE283" s="184"/>
      <c r="BVL283" s="186"/>
      <c r="BVM283" s="183"/>
      <c r="BVN283" s="184"/>
      <c r="BVO283" s="184"/>
      <c r="BVP283" s="184"/>
      <c r="BVQ283" s="184"/>
      <c r="BVR283" s="184"/>
      <c r="BVS283" s="184"/>
      <c r="BVT283" s="184"/>
      <c r="BWA283" s="186"/>
      <c r="BWB283" s="183"/>
      <c r="BWC283" s="184"/>
      <c r="BWD283" s="184"/>
      <c r="BWE283" s="184"/>
      <c r="BWF283" s="184"/>
      <c r="BWG283" s="184"/>
      <c r="BWH283" s="184"/>
      <c r="BWI283" s="184"/>
      <c r="BWP283" s="186"/>
      <c r="BWQ283" s="183"/>
      <c r="BWR283" s="184"/>
      <c r="BWS283" s="184"/>
      <c r="BWT283" s="184"/>
      <c r="BWU283" s="184"/>
      <c r="BWV283" s="184"/>
      <c r="BWW283" s="184"/>
      <c r="BWX283" s="184"/>
      <c r="BXE283" s="186"/>
      <c r="BXF283" s="183"/>
      <c r="BXG283" s="184"/>
      <c r="BXH283" s="184"/>
      <c r="BXI283" s="184"/>
      <c r="BXJ283" s="184"/>
      <c r="BXK283" s="184"/>
      <c r="BXL283" s="184"/>
      <c r="BXM283" s="184"/>
      <c r="BXT283" s="186"/>
      <c r="BXU283" s="183"/>
      <c r="BXV283" s="184"/>
      <c r="BXW283" s="184"/>
      <c r="BXX283" s="184"/>
      <c r="BXY283" s="184"/>
      <c r="BXZ283" s="184"/>
      <c r="BYA283" s="184"/>
      <c r="BYB283" s="184"/>
      <c r="BYI283" s="186"/>
      <c r="BYJ283" s="183"/>
      <c r="BYK283" s="184"/>
      <c r="BYL283" s="184"/>
      <c r="BYM283" s="184"/>
      <c r="BYN283" s="184"/>
      <c r="BYO283" s="184"/>
      <c r="BYP283" s="184"/>
      <c r="BYQ283" s="184"/>
      <c r="BYX283" s="186"/>
      <c r="BYY283" s="183"/>
      <c r="BYZ283" s="184"/>
      <c r="BZA283" s="184"/>
      <c r="BZB283" s="184"/>
      <c r="BZC283" s="184"/>
      <c r="BZD283" s="184"/>
      <c r="BZE283" s="184"/>
      <c r="BZF283" s="184"/>
      <c r="BZM283" s="186"/>
      <c r="BZN283" s="183"/>
      <c r="BZO283" s="184"/>
      <c r="BZP283" s="184"/>
      <c r="BZQ283" s="184"/>
      <c r="BZR283" s="184"/>
      <c r="BZS283" s="184"/>
      <c r="BZT283" s="184"/>
      <c r="BZU283" s="184"/>
      <c r="CAB283" s="186"/>
      <c r="CAC283" s="183"/>
      <c r="CAD283" s="184"/>
      <c r="CAE283" s="184"/>
      <c r="CAF283" s="184"/>
      <c r="CAG283" s="184"/>
      <c r="CAH283" s="184"/>
      <c r="CAI283" s="184"/>
      <c r="CAJ283" s="184"/>
      <c r="CAQ283" s="186"/>
      <c r="CAR283" s="183"/>
      <c r="CAS283" s="184"/>
      <c r="CAT283" s="184"/>
      <c r="CAU283" s="184"/>
      <c r="CAV283" s="184"/>
      <c r="CAW283" s="184"/>
      <c r="CAX283" s="184"/>
      <c r="CAY283" s="184"/>
      <c r="CBF283" s="186"/>
      <c r="CBG283" s="183"/>
      <c r="CBH283" s="184"/>
      <c r="CBI283" s="184"/>
      <c r="CBJ283" s="184"/>
      <c r="CBK283" s="184"/>
      <c r="CBL283" s="184"/>
      <c r="CBM283" s="184"/>
      <c r="CBN283" s="184"/>
      <c r="CBU283" s="186"/>
      <c r="CBV283" s="183"/>
      <c r="CBW283" s="184"/>
      <c r="CBX283" s="184"/>
      <c r="CBY283" s="184"/>
      <c r="CBZ283" s="184"/>
      <c r="CCA283" s="184"/>
      <c r="CCB283" s="184"/>
      <c r="CCC283" s="184"/>
      <c r="CCJ283" s="186"/>
      <c r="CCK283" s="183"/>
      <c r="CCL283" s="184"/>
      <c r="CCM283" s="184"/>
      <c r="CCN283" s="184"/>
      <c r="CCO283" s="184"/>
      <c r="CCP283" s="184"/>
      <c r="CCQ283" s="184"/>
      <c r="CCR283" s="184"/>
      <c r="CCY283" s="186"/>
      <c r="CCZ283" s="183"/>
      <c r="CDA283" s="184"/>
      <c r="CDB283" s="184"/>
      <c r="CDC283" s="184"/>
      <c r="CDD283" s="184"/>
      <c r="CDE283" s="184"/>
      <c r="CDF283" s="184"/>
      <c r="CDG283" s="184"/>
      <c r="CDN283" s="186"/>
      <c r="CDO283" s="183"/>
      <c r="CDP283" s="184"/>
      <c r="CDQ283" s="184"/>
      <c r="CDR283" s="184"/>
      <c r="CDS283" s="184"/>
      <c r="CDT283" s="184"/>
      <c r="CDU283" s="184"/>
      <c r="CDV283" s="184"/>
      <c r="CEC283" s="186"/>
      <c r="CED283" s="183"/>
      <c r="CEE283" s="184"/>
      <c r="CEF283" s="184"/>
      <c r="CEG283" s="184"/>
      <c r="CEH283" s="184"/>
      <c r="CEI283" s="184"/>
      <c r="CEJ283" s="184"/>
      <c r="CEK283" s="184"/>
      <c r="CER283" s="186"/>
      <c r="CES283" s="183"/>
      <c r="CET283" s="184"/>
      <c r="CEU283" s="184"/>
      <c r="CEV283" s="184"/>
      <c r="CEW283" s="184"/>
      <c r="CEX283" s="184"/>
      <c r="CEY283" s="184"/>
      <c r="CEZ283" s="184"/>
      <c r="CFG283" s="186"/>
      <c r="CFH283" s="183"/>
      <c r="CFI283" s="184"/>
      <c r="CFJ283" s="184"/>
      <c r="CFK283" s="184"/>
      <c r="CFL283" s="184"/>
      <c r="CFM283" s="184"/>
      <c r="CFN283" s="184"/>
      <c r="CFO283" s="184"/>
      <c r="CFV283" s="186"/>
      <c r="CFW283" s="183"/>
      <c r="CFX283" s="184"/>
      <c r="CFY283" s="184"/>
      <c r="CFZ283" s="184"/>
      <c r="CGA283" s="184"/>
      <c r="CGB283" s="184"/>
      <c r="CGC283" s="184"/>
      <c r="CGD283" s="184"/>
      <c r="CGK283" s="186"/>
      <c r="CGL283" s="183"/>
      <c r="CGM283" s="184"/>
      <c r="CGN283" s="184"/>
      <c r="CGO283" s="184"/>
      <c r="CGP283" s="184"/>
      <c r="CGQ283" s="184"/>
      <c r="CGR283" s="184"/>
      <c r="CGS283" s="184"/>
      <c r="CGZ283" s="186"/>
      <c r="CHA283" s="183"/>
      <c r="CHB283" s="184"/>
      <c r="CHC283" s="184"/>
      <c r="CHD283" s="184"/>
      <c r="CHE283" s="184"/>
      <c r="CHF283" s="184"/>
      <c r="CHG283" s="184"/>
      <c r="CHH283" s="184"/>
      <c r="CHO283" s="186"/>
      <c r="CHP283" s="183"/>
      <c r="CHQ283" s="184"/>
      <c r="CHR283" s="184"/>
      <c r="CHS283" s="184"/>
      <c r="CHT283" s="184"/>
      <c r="CHU283" s="184"/>
      <c r="CHV283" s="184"/>
      <c r="CHW283" s="184"/>
      <c r="CID283" s="186"/>
      <c r="CIE283" s="183"/>
      <c r="CIF283" s="184"/>
      <c r="CIG283" s="184"/>
      <c r="CIH283" s="184"/>
      <c r="CII283" s="184"/>
      <c r="CIJ283" s="184"/>
      <c r="CIK283" s="184"/>
      <c r="CIL283" s="184"/>
      <c r="CIS283" s="186"/>
      <c r="CIT283" s="183"/>
      <c r="CIU283" s="184"/>
      <c r="CIV283" s="184"/>
      <c r="CIW283" s="184"/>
      <c r="CIX283" s="184"/>
      <c r="CIY283" s="184"/>
      <c r="CIZ283" s="184"/>
      <c r="CJA283" s="184"/>
      <c r="CJH283" s="186"/>
      <c r="CJI283" s="183"/>
      <c r="CJJ283" s="184"/>
      <c r="CJK283" s="184"/>
      <c r="CJL283" s="184"/>
      <c r="CJM283" s="184"/>
      <c r="CJN283" s="184"/>
      <c r="CJO283" s="184"/>
      <c r="CJP283" s="184"/>
      <c r="CJW283" s="186"/>
      <c r="CJX283" s="183"/>
      <c r="CJY283" s="184"/>
      <c r="CJZ283" s="184"/>
      <c r="CKA283" s="184"/>
      <c r="CKB283" s="184"/>
      <c r="CKC283" s="184"/>
      <c r="CKD283" s="184"/>
      <c r="CKE283" s="184"/>
      <c r="CKL283" s="186"/>
      <c r="CKM283" s="183"/>
      <c r="CKN283" s="184"/>
      <c r="CKO283" s="184"/>
      <c r="CKP283" s="184"/>
      <c r="CKQ283" s="184"/>
      <c r="CKR283" s="184"/>
      <c r="CKS283" s="184"/>
      <c r="CKT283" s="184"/>
      <c r="CLA283" s="186"/>
      <c r="CLB283" s="183"/>
      <c r="CLC283" s="184"/>
      <c r="CLD283" s="184"/>
      <c r="CLE283" s="184"/>
      <c r="CLF283" s="184"/>
      <c r="CLG283" s="184"/>
      <c r="CLH283" s="184"/>
      <c r="CLI283" s="184"/>
      <c r="CLP283" s="186"/>
      <c r="CLQ283" s="183"/>
      <c r="CLR283" s="184"/>
      <c r="CLS283" s="184"/>
      <c r="CLT283" s="184"/>
      <c r="CLU283" s="184"/>
      <c r="CLV283" s="184"/>
      <c r="CLW283" s="184"/>
      <c r="CLX283" s="184"/>
      <c r="CME283" s="186"/>
      <c r="CMF283" s="183"/>
      <c r="CMG283" s="184"/>
      <c r="CMH283" s="184"/>
      <c r="CMI283" s="184"/>
      <c r="CMJ283" s="184"/>
      <c r="CMK283" s="184"/>
      <c r="CML283" s="184"/>
      <c r="CMM283" s="184"/>
      <c r="CMT283" s="186"/>
      <c r="CMU283" s="183"/>
      <c r="CMV283" s="184"/>
      <c r="CMW283" s="184"/>
      <c r="CMX283" s="184"/>
      <c r="CMY283" s="184"/>
      <c r="CMZ283" s="184"/>
      <c r="CNA283" s="184"/>
      <c r="CNB283" s="184"/>
      <c r="CNI283" s="186"/>
      <c r="CNJ283" s="183"/>
      <c r="CNK283" s="184"/>
      <c r="CNL283" s="184"/>
      <c r="CNM283" s="184"/>
      <c r="CNN283" s="184"/>
      <c r="CNO283" s="184"/>
      <c r="CNP283" s="184"/>
      <c r="CNQ283" s="184"/>
      <c r="CNX283" s="186"/>
      <c r="CNY283" s="183"/>
      <c r="CNZ283" s="184"/>
      <c r="COA283" s="184"/>
      <c r="COB283" s="184"/>
      <c r="COC283" s="184"/>
      <c r="COD283" s="184"/>
      <c r="COE283" s="184"/>
      <c r="COF283" s="184"/>
      <c r="COM283" s="186"/>
      <c r="CON283" s="183"/>
      <c r="COO283" s="184"/>
      <c r="COP283" s="184"/>
      <c r="COQ283" s="184"/>
      <c r="COR283" s="184"/>
      <c r="COS283" s="184"/>
      <c r="COT283" s="184"/>
      <c r="COU283" s="184"/>
      <c r="CPB283" s="186"/>
      <c r="CPC283" s="183"/>
      <c r="CPD283" s="184"/>
      <c r="CPE283" s="184"/>
      <c r="CPF283" s="184"/>
      <c r="CPG283" s="184"/>
      <c r="CPH283" s="184"/>
      <c r="CPI283" s="184"/>
      <c r="CPJ283" s="184"/>
      <c r="CPQ283" s="186"/>
      <c r="CPR283" s="183"/>
      <c r="CPS283" s="184"/>
      <c r="CPT283" s="184"/>
      <c r="CPU283" s="184"/>
      <c r="CPV283" s="184"/>
      <c r="CPW283" s="184"/>
      <c r="CPX283" s="184"/>
      <c r="CPY283" s="184"/>
      <c r="CQF283" s="186"/>
      <c r="CQG283" s="183"/>
      <c r="CQH283" s="184"/>
      <c r="CQI283" s="184"/>
      <c r="CQJ283" s="184"/>
      <c r="CQK283" s="184"/>
      <c r="CQL283" s="184"/>
      <c r="CQM283" s="184"/>
      <c r="CQN283" s="184"/>
      <c r="CQU283" s="186"/>
      <c r="CQV283" s="183"/>
      <c r="CQW283" s="184"/>
      <c r="CQX283" s="184"/>
      <c r="CQY283" s="184"/>
      <c r="CQZ283" s="184"/>
      <c r="CRA283" s="184"/>
      <c r="CRB283" s="184"/>
      <c r="CRC283" s="184"/>
      <c r="CRJ283" s="186"/>
      <c r="CRK283" s="183"/>
      <c r="CRL283" s="184"/>
      <c r="CRM283" s="184"/>
      <c r="CRN283" s="184"/>
      <c r="CRO283" s="184"/>
      <c r="CRP283" s="184"/>
      <c r="CRQ283" s="184"/>
      <c r="CRR283" s="184"/>
      <c r="CRY283" s="186"/>
      <c r="CRZ283" s="183"/>
      <c r="CSA283" s="184"/>
      <c r="CSB283" s="184"/>
      <c r="CSC283" s="184"/>
      <c r="CSD283" s="184"/>
      <c r="CSE283" s="184"/>
      <c r="CSF283" s="184"/>
      <c r="CSG283" s="184"/>
      <c r="CSN283" s="186"/>
      <c r="CSO283" s="183"/>
      <c r="CSP283" s="184"/>
      <c r="CSQ283" s="184"/>
      <c r="CSR283" s="184"/>
      <c r="CSS283" s="184"/>
      <c r="CST283" s="184"/>
      <c r="CSU283" s="184"/>
      <c r="CSV283" s="184"/>
      <c r="CTC283" s="186"/>
      <c r="CTD283" s="183"/>
      <c r="CTE283" s="184"/>
      <c r="CTF283" s="184"/>
      <c r="CTG283" s="184"/>
      <c r="CTH283" s="184"/>
      <c r="CTI283" s="184"/>
      <c r="CTJ283" s="184"/>
      <c r="CTK283" s="184"/>
      <c r="CTR283" s="186"/>
      <c r="CTS283" s="183"/>
      <c r="CTT283" s="184"/>
      <c r="CTU283" s="184"/>
      <c r="CTV283" s="184"/>
      <c r="CTW283" s="184"/>
      <c r="CTX283" s="184"/>
      <c r="CTY283" s="184"/>
      <c r="CTZ283" s="184"/>
      <c r="CUG283" s="186"/>
      <c r="CUH283" s="183"/>
      <c r="CUI283" s="184"/>
      <c r="CUJ283" s="184"/>
      <c r="CUK283" s="184"/>
      <c r="CUL283" s="184"/>
      <c r="CUM283" s="184"/>
      <c r="CUN283" s="184"/>
      <c r="CUO283" s="184"/>
      <c r="CUV283" s="186"/>
      <c r="CUW283" s="183"/>
      <c r="CUX283" s="184"/>
      <c r="CUY283" s="184"/>
      <c r="CUZ283" s="184"/>
      <c r="CVA283" s="184"/>
      <c r="CVB283" s="184"/>
      <c r="CVC283" s="184"/>
      <c r="CVD283" s="184"/>
      <c r="CVK283" s="186"/>
      <c r="CVL283" s="183"/>
      <c r="CVM283" s="184"/>
      <c r="CVN283" s="184"/>
      <c r="CVO283" s="184"/>
      <c r="CVP283" s="184"/>
      <c r="CVQ283" s="184"/>
      <c r="CVR283" s="184"/>
      <c r="CVS283" s="184"/>
      <c r="CVZ283" s="186"/>
      <c r="CWA283" s="183"/>
      <c r="CWB283" s="184"/>
      <c r="CWC283" s="184"/>
      <c r="CWD283" s="184"/>
      <c r="CWE283" s="184"/>
      <c r="CWF283" s="184"/>
      <c r="CWG283" s="184"/>
      <c r="CWH283" s="184"/>
      <c r="CWO283" s="186"/>
      <c r="CWP283" s="183"/>
      <c r="CWQ283" s="184"/>
      <c r="CWR283" s="184"/>
      <c r="CWS283" s="184"/>
      <c r="CWT283" s="184"/>
      <c r="CWU283" s="184"/>
      <c r="CWV283" s="184"/>
      <c r="CWW283" s="184"/>
      <c r="CXD283" s="186"/>
      <c r="CXE283" s="183"/>
      <c r="CXF283" s="184"/>
      <c r="CXG283" s="184"/>
      <c r="CXH283" s="184"/>
      <c r="CXI283" s="184"/>
      <c r="CXJ283" s="184"/>
      <c r="CXK283" s="184"/>
      <c r="CXL283" s="184"/>
      <c r="CXS283" s="186"/>
      <c r="CXT283" s="183"/>
      <c r="CXU283" s="184"/>
      <c r="CXV283" s="184"/>
      <c r="CXW283" s="184"/>
      <c r="CXX283" s="184"/>
      <c r="CXY283" s="184"/>
      <c r="CXZ283" s="184"/>
      <c r="CYA283" s="184"/>
      <c r="CYH283" s="186"/>
      <c r="CYI283" s="183"/>
      <c r="CYJ283" s="184"/>
      <c r="CYK283" s="184"/>
      <c r="CYL283" s="184"/>
      <c r="CYM283" s="184"/>
      <c r="CYN283" s="184"/>
      <c r="CYO283" s="184"/>
      <c r="CYP283" s="184"/>
      <c r="CYW283" s="186"/>
      <c r="CYX283" s="183"/>
      <c r="CYY283" s="184"/>
      <c r="CYZ283" s="184"/>
      <c r="CZA283" s="184"/>
      <c r="CZB283" s="184"/>
      <c r="CZC283" s="184"/>
      <c r="CZD283" s="184"/>
      <c r="CZE283" s="184"/>
      <c r="CZL283" s="186"/>
      <c r="CZM283" s="183"/>
      <c r="CZN283" s="184"/>
      <c r="CZO283" s="184"/>
      <c r="CZP283" s="184"/>
      <c r="CZQ283" s="184"/>
      <c r="CZR283" s="184"/>
      <c r="CZS283" s="184"/>
      <c r="CZT283" s="184"/>
      <c r="DAA283" s="186"/>
      <c r="DAB283" s="183"/>
      <c r="DAC283" s="184"/>
      <c r="DAD283" s="184"/>
      <c r="DAE283" s="184"/>
      <c r="DAF283" s="184"/>
      <c r="DAG283" s="184"/>
      <c r="DAH283" s="184"/>
      <c r="DAI283" s="184"/>
      <c r="DAP283" s="186"/>
      <c r="DAQ283" s="183"/>
      <c r="DAR283" s="184"/>
      <c r="DAS283" s="184"/>
      <c r="DAT283" s="184"/>
      <c r="DAU283" s="184"/>
      <c r="DAV283" s="184"/>
      <c r="DAW283" s="184"/>
      <c r="DAX283" s="184"/>
      <c r="DBE283" s="186"/>
      <c r="DBF283" s="183"/>
      <c r="DBG283" s="184"/>
      <c r="DBH283" s="184"/>
      <c r="DBI283" s="184"/>
      <c r="DBJ283" s="184"/>
      <c r="DBK283" s="184"/>
      <c r="DBL283" s="184"/>
      <c r="DBM283" s="184"/>
      <c r="DBT283" s="186"/>
      <c r="DBU283" s="183"/>
      <c r="DBV283" s="184"/>
      <c r="DBW283" s="184"/>
      <c r="DBX283" s="184"/>
      <c r="DBY283" s="184"/>
      <c r="DBZ283" s="184"/>
      <c r="DCA283" s="184"/>
      <c r="DCB283" s="184"/>
      <c r="DCI283" s="186"/>
      <c r="DCJ283" s="183"/>
      <c r="DCK283" s="184"/>
      <c r="DCL283" s="184"/>
      <c r="DCM283" s="184"/>
      <c r="DCN283" s="184"/>
      <c r="DCO283" s="184"/>
      <c r="DCP283" s="184"/>
      <c r="DCQ283" s="184"/>
      <c r="DCX283" s="186"/>
      <c r="DCY283" s="183"/>
      <c r="DCZ283" s="184"/>
      <c r="DDA283" s="184"/>
      <c r="DDB283" s="184"/>
      <c r="DDC283" s="184"/>
      <c r="DDD283" s="184"/>
      <c r="DDE283" s="184"/>
      <c r="DDF283" s="184"/>
      <c r="DDM283" s="186"/>
      <c r="DDN283" s="183"/>
      <c r="DDO283" s="184"/>
      <c r="DDP283" s="184"/>
      <c r="DDQ283" s="184"/>
      <c r="DDR283" s="184"/>
      <c r="DDS283" s="184"/>
      <c r="DDT283" s="184"/>
      <c r="DDU283" s="184"/>
      <c r="DEB283" s="186"/>
      <c r="DEC283" s="183"/>
      <c r="DED283" s="184"/>
      <c r="DEE283" s="184"/>
      <c r="DEF283" s="184"/>
      <c r="DEG283" s="184"/>
      <c r="DEH283" s="184"/>
      <c r="DEI283" s="184"/>
      <c r="DEJ283" s="184"/>
      <c r="DEQ283" s="186"/>
      <c r="DER283" s="183"/>
      <c r="DES283" s="184"/>
      <c r="DET283" s="184"/>
      <c r="DEU283" s="184"/>
      <c r="DEV283" s="184"/>
      <c r="DEW283" s="184"/>
      <c r="DEX283" s="184"/>
      <c r="DEY283" s="184"/>
      <c r="DFF283" s="186"/>
      <c r="DFG283" s="183"/>
      <c r="DFH283" s="184"/>
      <c r="DFI283" s="184"/>
      <c r="DFJ283" s="184"/>
      <c r="DFK283" s="184"/>
      <c r="DFL283" s="184"/>
      <c r="DFM283" s="184"/>
      <c r="DFN283" s="184"/>
      <c r="DFU283" s="186"/>
      <c r="DFV283" s="183"/>
      <c r="DFW283" s="184"/>
      <c r="DFX283" s="184"/>
      <c r="DFY283" s="184"/>
      <c r="DFZ283" s="184"/>
      <c r="DGA283" s="184"/>
      <c r="DGB283" s="184"/>
      <c r="DGC283" s="184"/>
      <c r="DGJ283" s="186"/>
      <c r="DGK283" s="183"/>
      <c r="DGL283" s="184"/>
      <c r="DGM283" s="184"/>
      <c r="DGN283" s="184"/>
      <c r="DGO283" s="184"/>
      <c r="DGP283" s="184"/>
      <c r="DGQ283" s="184"/>
      <c r="DGR283" s="184"/>
      <c r="DGY283" s="186"/>
      <c r="DGZ283" s="183"/>
      <c r="DHA283" s="184"/>
      <c r="DHB283" s="184"/>
      <c r="DHC283" s="184"/>
      <c r="DHD283" s="184"/>
      <c r="DHE283" s="184"/>
      <c r="DHF283" s="184"/>
      <c r="DHG283" s="184"/>
      <c r="DHN283" s="186"/>
      <c r="DHO283" s="183"/>
      <c r="DHP283" s="184"/>
      <c r="DHQ283" s="184"/>
      <c r="DHR283" s="184"/>
      <c r="DHS283" s="184"/>
      <c r="DHT283" s="184"/>
      <c r="DHU283" s="184"/>
      <c r="DHV283" s="184"/>
      <c r="DIC283" s="186"/>
      <c r="DID283" s="183"/>
      <c r="DIE283" s="184"/>
      <c r="DIF283" s="184"/>
      <c r="DIG283" s="184"/>
      <c r="DIH283" s="184"/>
      <c r="DII283" s="184"/>
      <c r="DIJ283" s="184"/>
      <c r="DIK283" s="184"/>
      <c r="DIR283" s="186"/>
      <c r="DIS283" s="183"/>
      <c r="DIT283" s="184"/>
      <c r="DIU283" s="184"/>
      <c r="DIV283" s="184"/>
      <c r="DIW283" s="184"/>
      <c r="DIX283" s="184"/>
      <c r="DIY283" s="184"/>
      <c r="DIZ283" s="184"/>
      <c r="DJG283" s="186"/>
      <c r="DJH283" s="183"/>
      <c r="DJI283" s="184"/>
      <c r="DJJ283" s="184"/>
      <c r="DJK283" s="184"/>
      <c r="DJL283" s="184"/>
      <c r="DJM283" s="184"/>
      <c r="DJN283" s="184"/>
      <c r="DJO283" s="184"/>
      <c r="DJV283" s="186"/>
      <c r="DJW283" s="183"/>
      <c r="DJX283" s="184"/>
      <c r="DJY283" s="184"/>
      <c r="DJZ283" s="184"/>
      <c r="DKA283" s="184"/>
      <c r="DKB283" s="184"/>
      <c r="DKC283" s="184"/>
      <c r="DKD283" s="184"/>
      <c r="DKK283" s="186"/>
      <c r="DKL283" s="183"/>
      <c r="DKM283" s="184"/>
      <c r="DKN283" s="184"/>
      <c r="DKO283" s="184"/>
      <c r="DKP283" s="184"/>
      <c r="DKQ283" s="184"/>
      <c r="DKR283" s="184"/>
      <c r="DKS283" s="184"/>
      <c r="DKZ283" s="186"/>
      <c r="DLA283" s="183"/>
      <c r="DLB283" s="184"/>
      <c r="DLC283" s="184"/>
      <c r="DLD283" s="184"/>
      <c r="DLE283" s="184"/>
      <c r="DLF283" s="184"/>
      <c r="DLG283" s="184"/>
      <c r="DLH283" s="184"/>
      <c r="DLO283" s="186"/>
      <c r="DLP283" s="183"/>
      <c r="DLQ283" s="184"/>
      <c r="DLR283" s="184"/>
      <c r="DLS283" s="184"/>
      <c r="DLT283" s="184"/>
      <c r="DLU283" s="184"/>
      <c r="DLV283" s="184"/>
      <c r="DLW283" s="184"/>
      <c r="DMD283" s="186"/>
      <c r="DME283" s="183"/>
      <c r="DMF283" s="184"/>
      <c r="DMG283" s="184"/>
      <c r="DMH283" s="184"/>
      <c r="DMI283" s="184"/>
      <c r="DMJ283" s="184"/>
      <c r="DMK283" s="184"/>
      <c r="DML283" s="184"/>
      <c r="DMS283" s="186"/>
      <c r="DMT283" s="183"/>
      <c r="DMU283" s="184"/>
      <c r="DMV283" s="184"/>
      <c r="DMW283" s="184"/>
      <c r="DMX283" s="184"/>
      <c r="DMY283" s="184"/>
      <c r="DMZ283" s="184"/>
      <c r="DNA283" s="184"/>
      <c r="DNH283" s="186"/>
      <c r="DNI283" s="183"/>
      <c r="DNJ283" s="184"/>
      <c r="DNK283" s="184"/>
      <c r="DNL283" s="184"/>
      <c r="DNM283" s="184"/>
      <c r="DNN283" s="184"/>
      <c r="DNO283" s="184"/>
      <c r="DNP283" s="184"/>
      <c r="DNW283" s="186"/>
      <c r="DNX283" s="183"/>
      <c r="DNY283" s="184"/>
      <c r="DNZ283" s="184"/>
      <c r="DOA283" s="184"/>
      <c r="DOB283" s="184"/>
      <c r="DOC283" s="184"/>
      <c r="DOD283" s="184"/>
      <c r="DOE283" s="184"/>
      <c r="DOL283" s="186"/>
      <c r="DOM283" s="183"/>
      <c r="DON283" s="184"/>
      <c r="DOO283" s="184"/>
      <c r="DOP283" s="184"/>
      <c r="DOQ283" s="184"/>
      <c r="DOR283" s="184"/>
      <c r="DOS283" s="184"/>
      <c r="DOT283" s="184"/>
      <c r="DPA283" s="186"/>
      <c r="DPB283" s="183"/>
      <c r="DPC283" s="184"/>
      <c r="DPD283" s="184"/>
      <c r="DPE283" s="184"/>
      <c r="DPF283" s="184"/>
      <c r="DPG283" s="184"/>
      <c r="DPH283" s="184"/>
      <c r="DPI283" s="184"/>
      <c r="DPP283" s="186"/>
      <c r="DPQ283" s="183"/>
      <c r="DPR283" s="184"/>
      <c r="DPS283" s="184"/>
      <c r="DPT283" s="184"/>
      <c r="DPU283" s="184"/>
      <c r="DPV283" s="184"/>
      <c r="DPW283" s="184"/>
      <c r="DPX283" s="184"/>
      <c r="DQE283" s="186"/>
      <c r="DQF283" s="183"/>
      <c r="DQG283" s="184"/>
      <c r="DQH283" s="184"/>
      <c r="DQI283" s="184"/>
      <c r="DQJ283" s="184"/>
      <c r="DQK283" s="184"/>
      <c r="DQL283" s="184"/>
      <c r="DQM283" s="184"/>
      <c r="DQT283" s="186"/>
      <c r="DQU283" s="183"/>
      <c r="DQV283" s="184"/>
      <c r="DQW283" s="184"/>
      <c r="DQX283" s="184"/>
      <c r="DQY283" s="184"/>
      <c r="DQZ283" s="184"/>
      <c r="DRA283" s="184"/>
      <c r="DRB283" s="184"/>
      <c r="DRI283" s="186"/>
      <c r="DRJ283" s="183"/>
      <c r="DRK283" s="184"/>
      <c r="DRL283" s="184"/>
      <c r="DRM283" s="184"/>
      <c r="DRN283" s="184"/>
      <c r="DRO283" s="184"/>
      <c r="DRP283" s="184"/>
      <c r="DRQ283" s="184"/>
      <c r="DRX283" s="186"/>
      <c r="DRY283" s="183"/>
      <c r="DRZ283" s="184"/>
      <c r="DSA283" s="184"/>
      <c r="DSB283" s="184"/>
      <c r="DSC283" s="184"/>
      <c r="DSD283" s="184"/>
      <c r="DSE283" s="184"/>
      <c r="DSF283" s="184"/>
      <c r="DSM283" s="186"/>
      <c r="DSN283" s="183"/>
      <c r="DSO283" s="184"/>
      <c r="DSP283" s="184"/>
      <c r="DSQ283" s="184"/>
      <c r="DSR283" s="184"/>
      <c r="DSS283" s="184"/>
      <c r="DST283" s="184"/>
      <c r="DSU283" s="184"/>
      <c r="DTB283" s="186"/>
      <c r="DTC283" s="183"/>
      <c r="DTD283" s="184"/>
      <c r="DTE283" s="184"/>
      <c r="DTF283" s="184"/>
      <c r="DTG283" s="184"/>
      <c r="DTH283" s="184"/>
      <c r="DTI283" s="184"/>
      <c r="DTJ283" s="184"/>
      <c r="DTQ283" s="186"/>
      <c r="DTR283" s="183"/>
      <c r="DTS283" s="184"/>
      <c r="DTT283" s="184"/>
      <c r="DTU283" s="184"/>
      <c r="DTV283" s="184"/>
      <c r="DTW283" s="184"/>
      <c r="DTX283" s="184"/>
      <c r="DTY283" s="184"/>
      <c r="DUF283" s="186"/>
      <c r="DUG283" s="183"/>
      <c r="DUH283" s="184"/>
      <c r="DUI283" s="184"/>
      <c r="DUJ283" s="184"/>
      <c r="DUK283" s="184"/>
      <c r="DUL283" s="184"/>
      <c r="DUM283" s="184"/>
      <c r="DUN283" s="184"/>
      <c r="DUU283" s="186"/>
      <c r="DUV283" s="183"/>
      <c r="DUW283" s="184"/>
      <c r="DUX283" s="184"/>
      <c r="DUY283" s="184"/>
      <c r="DUZ283" s="184"/>
      <c r="DVA283" s="184"/>
      <c r="DVB283" s="184"/>
      <c r="DVC283" s="184"/>
      <c r="DVJ283" s="186"/>
      <c r="DVK283" s="183"/>
      <c r="DVL283" s="184"/>
      <c r="DVM283" s="184"/>
      <c r="DVN283" s="184"/>
      <c r="DVO283" s="184"/>
      <c r="DVP283" s="184"/>
      <c r="DVQ283" s="184"/>
      <c r="DVR283" s="184"/>
      <c r="DVY283" s="186"/>
      <c r="DVZ283" s="183"/>
      <c r="DWA283" s="184"/>
      <c r="DWB283" s="184"/>
      <c r="DWC283" s="184"/>
      <c r="DWD283" s="184"/>
      <c r="DWE283" s="184"/>
      <c r="DWF283" s="184"/>
      <c r="DWG283" s="184"/>
      <c r="DWN283" s="186"/>
      <c r="DWO283" s="183"/>
      <c r="DWP283" s="184"/>
      <c r="DWQ283" s="184"/>
      <c r="DWR283" s="184"/>
      <c r="DWS283" s="184"/>
      <c r="DWT283" s="184"/>
      <c r="DWU283" s="184"/>
      <c r="DWV283" s="184"/>
      <c r="DXC283" s="186"/>
      <c r="DXD283" s="183"/>
      <c r="DXE283" s="184"/>
      <c r="DXF283" s="184"/>
      <c r="DXG283" s="184"/>
      <c r="DXH283" s="184"/>
      <c r="DXI283" s="184"/>
      <c r="DXJ283" s="184"/>
      <c r="DXK283" s="184"/>
      <c r="DXR283" s="186"/>
      <c r="DXS283" s="183"/>
      <c r="DXT283" s="184"/>
      <c r="DXU283" s="184"/>
      <c r="DXV283" s="184"/>
      <c r="DXW283" s="184"/>
      <c r="DXX283" s="184"/>
      <c r="DXY283" s="184"/>
      <c r="DXZ283" s="184"/>
      <c r="DYG283" s="186"/>
      <c r="DYH283" s="183"/>
      <c r="DYI283" s="184"/>
      <c r="DYJ283" s="184"/>
      <c r="DYK283" s="184"/>
      <c r="DYL283" s="184"/>
      <c r="DYM283" s="184"/>
      <c r="DYN283" s="184"/>
      <c r="DYO283" s="184"/>
      <c r="DYV283" s="186"/>
      <c r="DYW283" s="183"/>
      <c r="DYX283" s="184"/>
      <c r="DYY283" s="184"/>
      <c r="DYZ283" s="184"/>
      <c r="DZA283" s="184"/>
      <c r="DZB283" s="184"/>
      <c r="DZC283" s="184"/>
      <c r="DZD283" s="184"/>
      <c r="DZK283" s="186"/>
      <c r="DZL283" s="183"/>
      <c r="DZM283" s="184"/>
      <c r="DZN283" s="184"/>
      <c r="DZO283" s="184"/>
      <c r="DZP283" s="184"/>
      <c r="DZQ283" s="184"/>
      <c r="DZR283" s="184"/>
      <c r="DZS283" s="184"/>
      <c r="DZZ283" s="186"/>
      <c r="EAA283" s="183"/>
      <c r="EAB283" s="184"/>
      <c r="EAC283" s="184"/>
      <c r="EAD283" s="184"/>
      <c r="EAE283" s="184"/>
      <c r="EAF283" s="184"/>
      <c r="EAG283" s="184"/>
      <c r="EAH283" s="184"/>
      <c r="EAO283" s="186"/>
      <c r="EAP283" s="183"/>
      <c r="EAQ283" s="184"/>
      <c r="EAR283" s="184"/>
      <c r="EAS283" s="184"/>
      <c r="EAT283" s="184"/>
      <c r="EAU283" s="184"/>
      <c r="EAV283" s="184"/>
      <c r="EAW283" s="184"/>
      <c r="EBD283" s="186"/>
      <c r="EBE283" s="183"/>
      <c r="EBF283" s="184"/>
      <c r="EBG283" s="184"/>
      <c r="EBH283" s="184"/>
      <c r="EBI283" s="184"/>
      <c r="EBJ283" s="184"/>
      <c r="EBK283" s="184"/>
      <c r="EBL283" s="184"/>
      <c r="EBS283" s="186"/>
      <c r="EBT283" s="183"/>
      <c r="EBU283" s="184"/>
      <c r="EBV283" s="184"/>
      <c r="EBW283" s="184"/>
      <c r="EBX283" s="184"/>
      <c r="EBY283" s="184"/>
      <c r="EBZ283" s="184"/>
      <c r="ECA283" s="184"/>
      <c r="ECH283" s="186"/>
      <c r="ECI283" s="183"/>
      <c r="ECJ283" s="184"/>
      <c r="ECK283" s="184"/>
      <c r="ECL283" s="184"/>
      <c r="ECM283" s="184"/>
      <c r="ECN283" s="184"/>
      <c r="ECO283" s="184"/>
      <c r="ECP283" s="184"/>
      <c r="ECW283" s="186"/>
      <c r="ECX283" s="183"/>
      <c r="ECY283" s="184"/>
      <c r="ECZ283" s="184"/>
      <c r="EDA283" s="184"/>
      <c r="EDB283" s="184"/>
      <c r="EDC283" s="184"/>
      <c r="EDD283" s="184"/>
      <c r="EDE283" s="184"/>
      <c r="EDL283" s="186"/>
      <c r="EDM283" s="183"/>
      <c r="EDN283" s="184"/>
      <c r="EDO283" s="184"/>
      <c r="EDP283" s="184"/>
      <c r="EDQ283" s="184"/>
      <c r="EDR283" s="184"/>
      <c r="EDS283" s="184"/>
      <c r="EDT283" s="184"/>
      <c r="EEA283" s="186"/>
      <c r="EEB283" s="183"/>
      <c r="EEC283" s="184"/>
      <c r="EED283" s="184"/>
      <c r="EEE283" s="184"/>
      <c r="EEF283" s="184"/>
      <c r="EEG283" s="184"/>
      <c r="EEH283" s="184"/>
      <c r="EEI283" s="184"/>
      <c r="EEP283" s="186"/>
      <c r="EEQ283" s="183"/>
      <c r="EER283" s="184"/>
      <c r="EES283" s="184"/>
      <c r="EET283" s="184"/>
      <c r="EEU283" s="184"/>
      <c r="EEV283" s="184"/>
      <c r="EEW283" s="184"/>
      <c r="EEX283" s="184"/>
      <c r="EFE283" s="186"/>
      <c r="EFF283" s="183"/>
      <c r="EFG283" s="184"/>
      <c r="EFH283" s="184"/>
      <c r="EFI283" s="184"/>
      <c r="EFJ283" s="184"/>
      <c r="EFK283" s="184"/>
      <c r="EFL283" s="184"/>
      <c r="EFM283" s="184"/>
      <c r="EFT283" s="186"/>
      <c r="EFU283" s="183"/>
      <c r="EFV283" s="184"/>
      <c r="EFW283" s="184"/>
      <c r="EFX283" s="184"/>
      <c r="EFY283" s="184"/>
      <c r="EFZ283" s="184"/>
      <c r="EGA283" s="184"/>
      <c r="EGB283" s="184"/>
      <c r="EGI283" s="186"/>
      <c r="EGJ283" s="183"/>
      <c r="EGK283" s="184"/>
      <c r="EGL283" s="184"/>
      <c r="EGM283" s="184"/>
      <c r="EGN283" s="184"/>
      <c r="EGO283" s="184"/>
      <c r="EGP283" s="184"/>
      <c r="EGQ283" s="184"/>
      <c r="EGX283" s="186"/>
      <c r="EGY283" s="183"/>
      <c r="EGZ283" s="184"/>
      <c r="EHA283" s="184"/>
      <c r="EHB283" s="184"/>
      <c r="EHC283" s="184"/>
      <c r="EHD283" s="184"/>
      <c r="EHE283" s="184"/>
      <c r="EHF283" s="184"/>
      <c r="EHM283" s="186"/>
      <c r="EHN283" s="183"/>
      <c r="EHO283" s="184"/>
      <c r="EHP283" s="184"/>
      <c r="EHQ283" s="184"/>
      <c r="EHR283" s="184"/>
      <c r="EHS283" s="184"/>
      <c r="EHT283" s="184"/>
      <c r="EHU283" s="184"/>
      <c r="EIB283" s="186"/>
      <c r="EIC283" s="183"/>
      <c r="EID283" s="184"/>
      <c r="EIE283" s="184"/>
      <c r="EIF283" s="184"/>
      <c r="EIG283" s="184"/>
      <c r="EIH283" s="184"/>
      <c r="EII283" s="184"/>
      <c r="EIJ283" s="184"/>
      <c r="EIQ283" s="186"/>
      <c r="EIR283" s="183"/>
      <c r="EIS283" s="184"/>
      <c r="EIT283" s="184"/>
      <c r="EIU283" s="184"/>
      <c r="EIV283" s="184"/>
      <c r="EIW283" s="184"/>
      <c r="EIX283" s="184"/>
      <c r="EIY283" s="184"/>
      <c r="EJF283" s="186"/>
      <c r="EJG283" s="183"/>
      <c r="EJH283" s="184"/>
      <c r="EJI283" s="184"/>
      <c r="EJJ283" s="184"/>
      <c r="EJK283" s="184"/>
      <c r="EJL283" s="184"/>
      <c r="EJM283" s="184"/>
      <c r="EJN283" s="184"/>
      <c r="EJU283" s="186"/>
      <c r="EJV283" s="183"/>
      <c r="EJW283" s="184"/>
      <c r="EJX283" s="184"/>
      <c r="EJY283" s="184"/>
      <c r="EJZ283" s="184"/>
      <c r="EKA283" s="184"/>
      <c r="EKB283" s="184"/>
      <c r="EKC283" s="184"/>
      <c r="EKJ283" s="186"/>
      <c r="EKK283" s="183"/>
      <c r="EKL283" s="184"/>
      <c r="EKM283" s="184"/>
      <c r="EKN283" s="184"/>
      <c r="EKO283" s="184"/>
      <c r="EKP283" s="184"/>
      <c r="EKQ283" s="184"/>
      <c r="EKR283" s="184"/>
      <c r="EKY283" s="186"/>
      <c r="EKZ283" s="183"/>
      <c r="ELA283" s="184"/>
      <c r="ELB283" s="184"/>
      <c r="ELC283" s="184"/>
      <c r="ELD283" s="184"/>
      <c r="ELE283" s="184"/>
      <c r="ELF283" s="184"/>
      <c r="ELG283" s="184"/>
      <c r="ELN283" s="186"/>
      <c r="ELO283" s="183"/>
      <c r="ELP283" s="184"/>
      <c r="ELQ283" s="184"/>
      <c r="ELR283" s="184"/>
      <c r="ELS283" s="184"/>
      <c r="ELT283" s="184"/>
      <c r="ELU283" s="184"/>
      <c r="ELV283" s="184"/>
      <c r="EMC283" s="186"/>
      <c r="EMD283" s="183"/>
      <c r="EME283" s="184"/>
      <c r="EMF283" s="184"/>
      <c r="EMG283" s="184"/>
      <c r="EMH283" s="184"/>
      <c r="EMI283" s="184"/>
      <c r="EMJ283" s="184"/>
      <c r="EMK283" s="184"/>
      <c r="EMR283" s="186"/>
      <c r="EMS283" s="183"/>
      <c r="EMT283" s="184"/>
      <c r="EMU283" s="184"/>
      <c r="EMV283" s="184"/>
      <c r="EMW283" s="184"/>
      <c r="EMX283" s="184"/>
      <c r="EMY283" s="184"/>
      <c r="EMZ283" s="184"/>
      <c r="ENG283" s="186"/>
      <c r="ENH283" s="183"/>
      <c r="ENI283" s="184"/>
      <c r="ENJ283" s="184"/>
      <c r="ENK283" s="184"/>
      <c r="ENL283" s="184"/>
      <c r="ENM283" s="184"/>
      <c r="ENN283" s="184"/>
      <c r="ENO283" s="184"/>
      <c r="ENV283" s="186"/>
      <c r="ENW283" s="183"/>
      <c r="ENX283" s="184"/>
      <c r="ENY283" s="184"/>
      <c r="ENZ283" s="184"/>
      <c r="EOA283" s="184"/>
      <c r="EOB283" s="184"/>
      <c r="EOC283" s="184"/>
      <c r="EOD283" s="184"/>
      <c r="EOK283" s="186"/>
      <c r="EOL283" s="183"/>
      <c r="EOM283" s="184"/>
      <c r="EON283" s="184"/>
      <c r="EOO283" s="184"/>
      <c r="EOP283" s="184"/>
      <c r="EOQ283" s="184"/>
      <c r="EOR283" s="184"/>
      <c r="EOS283" s="184"/>
      <c r="EOZ283" s="186"/>
      <c r="EPA283" s="183"/>
      <c r="EPB283" s="184"/>
      <c r="EPC283" s="184"/>
      <c r="EPD283" s="184"/>
      <c r="EPE283" s="184"/>
      <c r="EPF283" s="184"/>
      <c r="EPG283" s="184"/>
      <c r="EPH283" s="184"/>
      <c r="EPO283" s="186"/>
      <c r="EPP283" s="183"/>
      <c r="EPQ283" s="184"/>
      <c r="EPR283" s="184"/>
      <c r="EPS283" s="184"/>
      <c r="EPT283" s="184"/>
      <c r="EPU283" s="184"/>
      <c r="EPV283" s="184"/>
      <c r="EPW283" s="184"/>
      <c r="EQD283" s="186"/>
      <c r="EQE283" s="183"/>
      <c r="EQF283" s="184"/>
      <c r="EQG283" s="184"/>
      <c r="EQH283" s="184"/>
      <c r="EQI283" s="184"/>
      <c r="EQJ283" s="184"/>
      <c r="EQK283" s="184"/>
      <c r="EQL283" s="184"/>
      <c r="EQS283" s="186"/>
      <c r="EQT283" s="183"/>
      <c r="EQU283" s="184"/>
      <c r="EQV283" s="184"/>
      <c r="EQW283" s="184"/>
      <c r="EQX283" s="184"/>
      <c r="EQY283" s="184"/>
      <c r="EQZ283" s="184"/>
      <c r="ERA283" s="184"/>
      <c r="ERH283" s="186"/>
      <c r="ERI283" s="183"/>
      <c r="ERJ283" s="184"/>
      <c r="ERK283" s="184"/>
      <c r="ERL283" s="184"/>
      <c r="ERM283" s="184"/>
      <c r="ERN283" s="184"/>
      <c r="ERO283" s="184"/>
      <c r="ERP283" s="184"/>
      <c r="ERW283" s="186"/>
      <c r="ERX283" s="183"/>
      <c r="ERY283" s="184"/>
      <c r="ERZ283" s="184"/>
      <c r="ESA283" s="184"/>
      <c r="ESB283" s="184"/>
      <c r="ESC283" s="184"/>
      <c r="ESD283" s="184"/>
      <c r="ESE283" s="184"/>
      <c r="ESL283" s="186"/>
      <c r="ESM283" s="183"/>
      <c r="ESN283" s="184"/>
      <c r="ESO283" s="184"/>
      <c r="ESP283" s="184"/>
      <c r="ESQ283" s="184"/>
      <c r="ESR283" s="184"/>
      <c r="ESS283" s="184"/>
      <c r="EST283" s="184"/>
      <c r="ETA283" s="186"/>
      <c r="ETB283" s="183"/>
      <c r="ETC283" s="184"/>
      <c r="ETD283" s="184"/>
      <c r="ETE283" s="184"/>
      <c r="ETF283" s="184"/>
      <c r="ETG283" s="184"/>
      <c r="ETH283" s="184"/>
      <c r="ETI283" s="184"/>
      <c r="ETP283" s="186"/>
      <c r="ETQ283" s="183"/>
      <c r="ETR283" s="184"/>
      <c r="ETS283" s="184"/>
      <c r="ETT283" s="184"/>
      <c r="ETU283" s="184"/>
      <c r="ETV283" s="184"/>
      <c r="ETW283" s="184"/>
      <c r="ETX283" s="184"/>
      <c r="EUE283" s="186"/>
      <c r="EUF283" s="183"/>
      <c r="EUG283" s="184"/>
      <c r="EUH283" s="184"/>
      <c r="EUI283" s="184"/>
      <c r="EUJ283" s="184"/>
      <c r="EUK283" s="184"/>
      <c r="EUL283" s="184"/>
      <c r="EUM283" s="184"/>
      <c r="EUT283" s="186"/>
      <c r="EUU283" s="183"/>
      <c r="EUV283" s="184"/>
      <c r="EUW283" s="184"/>
      <c r="EUX283" s="184"/>
      <c r="EUY283" s="184"/>
      <c r="EUZ283" s="184"/>
      <c r="EVA283" s="184"/>
      <c r="EVB283" s="184"/>
      <c r="EVI283" s="186"/>
      <c r="EVJ283" s="183"/>
      <c r="EVK283" s="184"/>
      <c r="EVL283" s="184"/>
      <c r="EVM283" s="184"/>
      <c r="EVN283" s="184"/>
      <c r="EVO283" s="184"/>
      <c r="EVP283" s="184"/>
      <c r="EVQ283" s="184"/>
      <c r="EVX283" s="186"/>
      <c r="EVY283" s="183"/>
      <c r="EVZ283" s="184"/>
      <c r="EWA283" s="184"/>
      <c r="EWB283" s="184"/>
      <c r="EWC283" s="184"/>
      <c r="EWD283" s="184"/>
      <c r="EWE283" s="184"/>
      <c r="EWF283" s="184"/>
      <c r="EWM283" s="186"/>
      <c r="EWN283" s="183"/>
      <c r="EWO283" s="184"/>
      <c r="EWP283" s="184"/>
      <c r="EWQ283" s="184"/>
      <c r="EWR283" s="184"/>
      <c r="EWS283" s="184"/>
      <c r="EWT283" s="184"/>
      <c r="EWU283" s="184"/>
      <c r="EXB283" s="186"/>
      <c r="EXC283" s="183"/>
      <c r="EXD283" s="184"/>
      <c r="EXE283" s="184"/>
      <c r="EXF283" s="184"/>
      <c r="EXG283" s="184"/>
      <c r="EXH283" s="184"/>
      <c r="EXI283" s="184"/>
      <c r="EXJ283" s="184"/>
      <c r="EXQ283" s="186"/>
      <c r="EXR283" s="183"/>
      <c r="EXS283" s="184"/>
      <c r="EXT283" s="184"/>
      <c r="EXU283" s="184"/>
      <c r="EXV283" s="184"/>
      <c r="EXW283" s="184"/>
      <c r="EXX283" s="184"/>
      <c r="EXY283" s="184"/>
      <c r="EYF283" s="186"/>
      <c r="EYG283" s="183"/>
      <c r="EYH283" s="184"/>
      <c r="EYI283" s="184"/>
      <c r="EYJ283" s="184"/>
      <c r="EYK283" s="184"/>
      <c r="EYL283" s="184"/>
      <c r="EYM283" s="184"/>
      <c r="EYN283" s="184"/>
      <c r="EYU283" s="186"/>
      <c r="EYV283" s="183"/>
      <c r="EYW283" s="184"/>
      <c r="EYX283" s="184"/>
      <c r="EYY283" s="184"/>
      <c r="EYZ283" s="184"/>
      <c r="EZA283" s="184"/>
      <c r="EZB283" s="184"/>
      <c r="EZC283" s="184"/>
      <c r="EZJ283" s="186"/>
      <c r="EZK283" s="183"/>
      <c r="EZL283" s="184"/>
      <c r="EZM283" s="184"/>
      <c r="EZN283" s="184"/>
      <c r="EZO283" s="184"/>
      <c r="EZP283" s="184"/>
      <c r="EZQ283" s="184"/>
      <c r="EZR283" s="184"/>
      <c r="EZY283" s="186"/>
      <c r="EZZ283" s="183"/>
      <c r="FAA283" s="184"/>
      <c r="FAB283" s="184"/>
      <c r="FAC283" s="184"/>
      <c r="FAD283" s="184"/>
      <c r="FAE283" s="184"/>
      <c r="FAF283" s="184"/>
      <c r="FAG283" s="184"/>
      <c r="FAN283" s="186"/>
      <c r="FAO283" s="183"/>
      <c r="FAP283" s="184"/>
      <c r="FAQ283" s="184"/>
      <c r="FAR283" s="184"/>
      <c r="FAS283" s="184"/>
      <c r="FAT283" s="184"/>
      <c r="FAU283" s="184"/>
      <c r="FAV283" s="184"/>
      <c r="FBC283" s="186"/>
      <c r="FBD283" s="183"/>
      <c r="FBE283" s="184"/>
      <c r="FBF283" s="184"/>
      <c r="FBG283" s="184"/>
      <c r="FBH283" s="184"/>
      <c r="FBI283" s="184"/>
      <c r="FBJ283" s="184"/>
      <c r="FBK283" s="184"/>
      <c r="FBR283" s="186"/>
      <c r="FBS283" s="183"/>
      <c r="FBT283" s="184"/>
      <c r="FBU283" s="184"/>
      <c r="FBV283" s="184"/>
      <c r="FBW283" s="184"/>
      <c r="FBX283" s="184"/>
      <c r="FBY283" s="184"/>
      <c r="FBZ283" s="184"/>
      <c r="FCG283" s="186"/>
      <c r="FCH283" s="183"/>
      <c r="FCI283" s="184"/>
      <c r="FCJ283" s="184"/>
      <c r="FCK283" s="184"/>
      <c r="FCL283" s="184"/>
      <c r="FCM283" s="184"/>
      <c r="FCN283" s="184"/>
      <c r="FCO283" s="184"/>
      <c r="FCV283" s="186"/>
      <c r="FCW283" s="183"/>
      <c r="FCX283" s="184"/>
      <c r="FCY283" s="184"/>
      <c r="FCZ283" s="184"/>
      <c r="FDA283" s="184"/>
      <c r="FDB283" s="184"/>
      <c r="FDC283" s="184"/>
      <c r="FDD283" s="184"/>
      <c r="FDK283" s="186"/>
      <c r="FDL283" s="183"/>
      <c r="FDM283" s="184"/>
      <c r="FDN283" s="184"/>
      <c r="FDO283" s="184"/>
      <c r="FDP283" s="184"/>
      <c r="FDQ283" s="184"/>
      <c r="FDR283" s="184"/>
      <c r="FDS283" s="184"/>
      <c r="FDZ283" s="186"/>
      <c r="FEA283" s="183"/>
      <c r="FEB283" s="184"/>
      <c r="FEC283" s="184"/>
      <c r="FED283" s="184"/>
      <c r="FEE283" s="184"/>
      <c r="FEF283" s="184"/>
      <c r="FEG283" s="184"/>
      <c r="FEH283" s="184"/>
      <c r="FEO283" s="186"/>
      <c r="FEP283" s="183"/>
      <c r="FEQ283" s="184"/>
      <c r="FER283" s="184"/>
      <c r="FES283" s="184"/>
      <c r="FET283" s="184"/>
      <c r="FEU283" s="184"/>
      <c r="FEV283" s="184"/>
      <c r="FEW283" s="184"/>
      <c r="FFD283" s="186"/>
      <c r="FFE283" s="183"/>
      <c r="FFF283" s="184"/>
      <c r="FFG283" s="184"/>
      <c r="FFH283" s="184"/>
      <c r="FFI283" s="184"/>
      <c r="FFJ283" s="184"/>
      <c r="FFK283" s="184"/>
      <c r="FFL283" s="184"/>
      <c r="FFS283" s="186"/>
      <c r="FFT283" s="183"/>
      <c r="FFU283" s="184"/>
      <c r="FFV283" s="184"/>
      <c r="FFW283" s="184"/>
      <c r="FFX283" s="184"/>
      <c r="FFY283" s="184"/>
      <c r="FFZ283" s="184"/>
      <c r="FGA283" s="184"/>
      <c r="FGH283" s="186"/>
      <c r="FGI283" s="183"/>
      <c r="FGJ283" s="184"/>
      <c r="FGK283" s="184"/>
      <c r="FGL283" s="184"/>
      <c r="FGM283" s="184"/>
      <c r="FGN283" s="184"/>
      <c r="FGO283" s="184"/>
      <c r="FGP283" s="184"/>
      <c r="FGW283" s="186"/>
      <c r="FGX283" s="183"/>
      <c r="FGY283" s="184"/>
      <c r="FGZ283" s="184"/>
      <c r="FHA283" s="184"/>
      <c r="FHB283" s="184"/>
      <c r="FHC283" s="184"/>
      <c r="FHD283" s="184"/>
      <c r="FHE283" s="184"/>
      <c r="FHL283" s="186"/>
      <c r="FHM283" s="183"/>
      <c r="FHN283" s="184"/>
      <c r="FHO283" s="184"/>
      <c r="FHP283" s="184"/>
      <c r="FHQ283" s="184"/>
      <c r="FHR283" s="184"/>
      <c r="FHS283" s="184"/>
      <c r="FHT283" s="184"/>
      <c r="FIA283" s="186"/>
      <c r="FIB283" s="183"/>
      <c r="FIC283" s="184"/>
      <c r="FID283" s="184"/>
      <c r="FIE283" s="184"/>
      <c r="FIF283" s="184"/>
      <c r="FIG283" s="184"/>
      <c r="FIH283" s="184"/>
      <c r="FII283" s="184"/>
      <c r="FIP283" s="186"/>
      <c r="FIQ283" s="183"/>
      <c r="FIR283" s="184"/>
      <c r="FIS283" s="184"/>
      <c r="FIT283" s="184"/>
      <c r="FIU283" s="184"/>
      <c r="FIV283" s="184"/>
      <c r="FIW283" s="184"/>
      <c r="FIX283" s="184"/>
      <c r="FJE283" s="186"/>
      <c r="FJF283" s="183"/>
      <c r="FJG283" s="184"/>
      <c r="FJH283" s="184"/>
      <c r="FJI283" s="184"/>
      <c r="FJJ283" s="184"/>
      <c r="FJK283" s="184"/>
      <c r="FJL283" s="184"/>
      <c r="FJM283" s="184"/>
      <c r="FJT283" s="186"/>
      <c r="FJU283" s="183"/>
      <c r="FJV283" s="184"/>
      <c r="FJW283" s="184"/>
      <c r="FJX283" s="184"/>
      <c r="FJY283" s="184"/>
      <c r="FJZ283" s="184"/>
      <c r="FKA283" s="184"/>
      <c r="FKB283" s="184"/>
      <c r="FKI283" s="186"/>
      <c r="FKJ283" s="183"/>
      <c r="FKK283" s="184"/>
      <c r="FKL283" s="184"/>
      <c r="FKM283" s="184"/>
      <c r="FKN283" s="184"/>
      <c r="FKO283" s="184"/>
      <c r="FKP283" s="184"/>
      <c r="FKQ283" s="184"/>
      <c r="FKX283" s="186"/>
      <c r="FKY283" s="183"/>
      <c r="FKZ283" s="184"/>
      <c r="FLA283" s="184"/>
      <c r="FLB283" s="184"/>
      <c r="FLC283" s="184"/>
      <c r="FLD283" s="184"/>
      <c r="FLE283" s="184"/>
      <c r="FLF283" s="184"/>
      <c r="FLM283" s="186"/>
      <c r="FLN283" s="183"/>
      <c r="FLO283" s="184"/>
      <c r="FLP283" s="184"/>
      <c r="FLQ283" s="184"/>
      <c r="FLR283" s="184"/>
      <c r="FLS283" s="184"/>
      <c r="FLT283" s="184"/>
      <c r="FLU283" s="184"/>
      <c r="FMB283" s="186"/>
      <c r="FMC283" s="183"/>
      <c r="FMD283" s="184"/>
      <c r="FME283" s="184"/>
      <c r="FMF283" s="184"/>
      <c r="FMG283" s="184"/>
      <c r="FMH283" s="184"/>
      <c r="FMI283" s="184"/>
      <c r="FMJ283" s="184"/>
      <c r="FMQ283" s="186"/>
      <c r="FMR283" s="183"/>
      <c r="FMS283" s="184"/>
      <c r="FMT283" s="184"/>
      <c r="FMU283" s="184"/>
      <c r="FMV283" s="184"/>
      <c r="FMW283" s="184"/>
      <c r="FMX283" s="184"/>
      <c r="FMY283" s="184"/>
      <c r="FNF283" s="186"/>
      <c r="FNG283" s="183"/>
      <c r="FNH283" s="184"/>
      <c r="FNI283" s="184"/>
      <c r="FNJ283" s="184"/>
      <c r="FNK283" s="184"/>
      <c r="FNL283" s="184"/>
      <c r="FNM283" s="184"/>
      <c r="FNN283" s="184"/>
      <c r="FNU283" s="186"/>
      <c r="FNV283" s="183"/>
      <c r="FNW283" s="184"/>
      <c r="FNX283" s="184"/>
      <c r="FNY283" s="184"/>
      <c r="FNZ283" s="184"/>
      <c r="FOA283" s="184"/>
      <c r="FOB283" s="184"/>
      <c r="FOC283" s="184"/>
      <c r="FOJ283" s="186"/>
      <c r="FOK283" s="183"/>
      <c r="FOL283" s="184"/>
      <c r="FOM283" s="184"/>
      <c r="FON283" s="184"/>
      <c r="FOO283" s="184"/>
      <c r="FOP283" s="184"/>
      <c r="FOQ283" s="184"/>
      <c r="FOR283" s="184"/>
      <c r="FOY283" s="186"/>
      <c r="FOZ283" s="183"/>
      <c r="FPA283" s="184"/>
      <c r="FPB283" s="184"/>
      <c r="FPC283" s="184"/>
      <c r="FPD283" s="184"/>
      <c r="FPE283" s="184"/>
      <c r="FPF283" s="184"/>
      <c r="FPG283" s="184"/>
      <c r="FPN283" s="186"/>
      <c r="FPO283" s="183"/>
      <c r="FPP283" s="184"/>
      <c r="FPQ283" s="184"/>
      <c r="FPR283" s="184"/>
      <c r="FPS283" s="184"/>
      <c r="FPT283" s="184"/>
      <c r="FPU283" s="184"/>
      <c r="FPV283" s="184"/>
      <c r="FQC283" s="186"/>
      <c r="FQD283" s="183"/>
      <c r="FQE283" s="184"/>
      <c r="FQF283" s="184"/>
      <c r="FQG283" s="184"/>
      <c r="FQH283" s="184"/>
      <c r="FQI283" s="184"/>
      <c r="FQJ283" s="184"/>
      <c r="FQK283" s="184"/>
      <c r="FQR283" s="186"/>
      <c r="FQS283" s="183"/>
      <c r="FQT283" s="184"/>
      <c r="FQU283" s="184"/>
      <c r="FQV283" s="184"/>
      <c r="FQW283" s="184"/>
      <c r="FQX283" s="184"/>
      <c r="FQY283" s="184"/>
      <c r="FQZ283" s="184"/>
      <c r="FRG283" s="186"/>
      <c r="FRH283" s="183"/>
      <c r="FRI283" s="184"/>
      <c r="FRJ283" s="184"/>
      <c r="FRK283" s="184"/>
      <c r="FRL283" s="184"/>
      <c r="FRM283" s="184"/>
      <c r="FRN283" s="184"/>
      <c r="FRO283" s="184"/>
      <c r="FRV283" s="186"/>
      <c r="FRW283" s="183"/>
      <c r="FRX283" s="184"/>
      <c r="FRY283" s="184"/>
      <c r="FRZ283" s="184"/>
      <c r="FSA283" s="184"/>
      <c r="FSB283" s="184"/>
      <c r="FSC283" s="184"/>
      <c r="FSD283" s="184"/>
      <c r="FSK283" s="186"/>
      <c r="FSL283" s="183"/>
      <c r="FSM283" s="184"/>
      <c r="FSN283" s="184"/>
      <c r="FSO283" s="184"/>
      <c r="FSP283" s="184"/>
      <c r="FSQ283" s="184"/>
      <c r="FSR283" s="184"/>
      <c r="FSS283" s="184"/>
      <c r="FSZ283" s="186"/>
      <c r="FTA283" s="183"/>
      <c r="FTB283" s="184"/>
      <c r="FTC283" s="184"/>
      <c r="FTD283" s="184"/>
      <c r="FTE283" s="184"/>
      <c r="FTF283" s="184"/>
      <c r="FTG283" s="184"/>
      <c r="FTH283" s="184"/>
      <c r="FTO283" s="186"/>
      <c r="FTP283" s="183"/>
      <c r="FTQ283" s="184"/>
      <c r="FTR283" s="184"/>
      <c r="FTS283" s="184"/>
      <c r="FTT283" s="184"/>
      <c r="FTU283" s="184"/>
      <c r="FTV283" s="184"/>
      <c r="FTW283" s="184"/>
      <c r="FUD283" s="186"/>
      <c r="FUE283" s="183"/>
      <c r="FUF283" s="184"/>
      <c r="FUG283" s="184"/>
      <c r="FUH283" s="184"/>
      <c r="FUI283" s="184"/>
      <c r="FUJ283" s="184"/>
      <c r="FUK283" s="184"/>
      <c r="FUL283" s="184"/>
      <c r="FUS283" s="186"/>
      <c r="FUT283" s="183"/>
      <c r="FUU283" s="184"/>
      <c r="FUV283" s="184"/>
      <c r="FUW283" s="184"/>
      <c r="FUX283" s="184"/>
      <c r="FUY283" s="184"/>
      <c r="FUZ283" s="184"/>
      <c r="FVA283" s="184"/>
      <c r="FVH283" s="186"/>
      <c r="FVI283" s="183"/>
      <c r="FVJ283" s="184"/>
      <c r="FVK283" s="184"/>
      <c r="FVL283" s="184"/>
      <c r="FVM283" s="184"/>
      <c r="FVN283" s="184"/>
      <c r="FVO283" s="184"/>
      <c r="FVP283" s="184"/>
      <c r="FVW283" s="186"/>
      <c r="FVX283" s="183"/>
      <c r="FVY283" s="184"/>
      <c r="FVZ283" s="184"/>
      <c r="FWA283" s="184"/>
      <c r="FWB283" s="184"/>
      <c r="FWC283" s="184"/>
      <c r="FWD283" s="184"/>
      <c r="FWE283" s="184"/>
      <c r="FWL283" s="186"/>
      <c r="FWM283" s="183"/>
      <c r="FWN283" s="184"/>
      <c r="FWO283" s="184"/>
      <c r="FWP283" s="184"/>
      <c r="FWQ283" s="184"/>
      <c r="FWR283" s="184"/>
      <c r="FWS283" s="184"/>
      <c r="FWT283" s="184"/>
      <c r="FXA283" s="186"/>
      <c r="FXB283" s="183"/>
      <c r="FXC283" s="184"/>
      <c r="FXD283" s="184"/>
      <c r="FXE283" s="184"/>
      <c r="FXF283" s="184"/>
      <c r="FXG283" s="184"/>
      <c r="FXH283" s="184"/>
      <c r="FXI283" s="184"/>
      <c r="FXP283" s="186"/>
      <c r="FXQ283" s="183"/>
      <c r="FXR283" s="184"/>
      <c r="FXS283" s="184"/>
      <c r="FXT283" s="184"/>
      <c r="FXU283" s="184"/>
      <c r="FXV283" s="184"/>
      <c r="FXW283" s="184"/>
      <c r="FXX283" s="184"/>
      <c r="FYE283" s="186"/>
      <c r="FYF283" s="183"/>
      <c r="FYG283" s="184"/>
      <c r="FYH283" s="184"/>
      <c r="FYI283" s="184"/>
      <c r="FYJ283" s="184"/>
      <c r="FYK283" s="184"/>
      <c r="FYL283" s="184"/>
      <c r="FYM283" s="184"/>
      <c r="FYT283" s="186"/>
      <c r="FYU283" s="183"/>
      <c r="FYV283" s="184"/>
      <c r="FYW283" s="184"/>
      <c r="FYX283" s="184"/>
      <c r="FYY283" s="184"/>
      <c r="FYZ283" s="184"/>
      <c r="FZA283" s="184"/>
      <c r="FZB283" s="184"/>
      <c r="FZI283" s="186"/>
      <c r="FZJ283" s="183"/>
      <c r="FZK283" s="184"/>
      <c r="FZL283" s="184"/>
      <c r="FZM283" s="184"/>
      <c r="FZN283" s="184"/>
      <c r="FZO283" s="184"/>
      <c r="FZP283" s="184"/>
      <c r="FZQ283" s="184"/>
      <c r="FZX283" s="186"/>
      <c r="FZY283" s="183"/>
      <c r="FZZ283" s="184"/>
      <c r="GAA283" s="184"/>
      <c r="GAB283" s="184"/>
      <c r="GAC283" s="184"/>
      <c r="GAD283" s="184"/>
      <c r="GAE283" s="184"/>
      <c r="GAF283" s="184"/>
      <c r="GAM283" s="186"/>
      <c r="GAN283" s="183"/>
      <c r="GAO283" s="184"/>
      <c r="GAP283" s="184"/>
      <c r="GAQ283" s="184"/>
      <c r="GAR283" s="184"/>
      <c r="GAS283" s="184"/>
      <c r="GAT283" s="184"/>
      <c r="GAU283" s="184"/>
      <c r="GBB283" s="186"/>
      <c r="GBC283" s="183"/>
      <c r="GBD283" s="184"/>
      <c r="GBE283" s="184"/>
      <c r="GBF283" s="184"/>
      <c r="GBG283" s="184"/>
      <c r="GBH283" s="184"/>
      <c r="GBI283" s="184"/>
      <c r="GBJ283" s="184"/>
      <c r="GBQ283" s="186"/>
      <c r="GBR283" s="183"/>
      <c r="GBS283" s="184"/>
      <c r="GBT283" s="184"/>
      <c r="GBU283" s="184"/>
      <c r="GBV283" s="184"/>
      <c r="GBW283" s="184"/>
      <c r="GBX283" s="184"/>
      <c r="GBY283" s="184"/>
      <c r="GCF283" s="186"/>
      <c r="GCG283" s="183"/>
      <c r="GCH283" s="184"/>
      <c r="GCI283" s="184"/>
      <c r="GCJ283" s="184"/>
      <c r="GCK283" s="184"/>
      <c r="GCL283" s="184"/>
      <c r="GCM283" s="184"/>
      <c r="GCN283" s="184"/>
      <c r="GCU283" s="186"/>
      <c r="GCV283" s="183"/>
      <c r="GCW283" s="184"/>
      <c r="GCX283" s="184"/>
      <c r="GCY283" s="184"/>
      <c r="GCZ283" s="184"/>
      <c r="GDA283" s="184"/>
      <c r="GDB283" s="184"/>
      <c r="GDC283" s="184"/>
      <c r="GDJ283" s="186"/>
      <c r="GDK283" s="183"/>
      <c r="GDL283" s="184"/>
      <c r="GDM283" s="184"/>
      <c r="GDN283" s="184"/>
      <c r="GDO283" s="184"/>
      <c r="GDP283" s="184"/>
      <c r="GDQ283" s="184"/>
      <c r="GDR283" s="184"/>
      <c r="GDY283" s="186"/>
      <c r="GDZ283" s="183"/>
      <c r="GEA283" s="184"/>
      <c r="GEB283" s="184"/>
      <c r="GEC283" s="184"/>
      <c r="GED283" s="184"/>
      <c r="GEE283" s="184"/>
      <c r="GEF283" s="184"/>
      <c r="GEG283" s="184"/>
      <c r="GEN283" s="186"/>
      <c r="GEO283" s="183"/>
      <c r="GEP283" s="184"/>
      <c r="GEQ283" s="184"/>
      <c r="GER283" s="184"/>
      <c r="GES283" s="184"/>
      <c r="GET283" s="184"/>
      <c r="GEU283" s="184"/>
      <c r="GEV283" s="184"/>
      <c r="GFC283" s="186"/>
      <c r="GFD283" s="183"/>
      <c r="GFE283" s="184"/>
      <c r="GFF283" s="184"/>
      <c r="GFG283" s="184"/>
      <c r="GFH283" s="184"/>
      <c r="GFI283" s="184"/>
      <c r="GFJ283" s="184"/>
      <c r="GFK283" s="184"/>
      <c r="GFR283" s="186"/>
      <c r="GFS283" s="183"/>
      <c r="GFT283" s="184"/>
      <c r="GFU283" s="184"/>
      <c r="GFV283" s="184"/>
      <c r="GFW283" s="184"/>
      <c r="GFX283" s="184"/>
      <c r="GFY283" s="184"/>
      <c r="GFZ283" s="184"/>
      <c r="GGG283" s="186"/>
      <c r="GGH283" s="183"/>
      <c r="GGI283" s="184"/>
      <c r="GGJ283" s="184"/>
      <c r="GGK283" s="184"/>
      <c r="GGL283" s="184"/>
      <c r="GGM283" s="184"/>
      <c r="GGN283" s="184"/>
      <c r="GGO283" s="184"/>
      <c r="GGV283" s="186"/>
      <c r="GGW283" s="183"/>
      <c r="GGX283" s="184"/>
      <c r="GGY283" s="184"/>
      <c r="GGZ283" s="184"/>
      <c r="GHA283" s="184"/>
      <c r="GHB283" s="184"/>
      <c r="GHC283" s="184"/>
      <c r="GHD283" s="184"/>
      <c r="GHK283" s="186"/>
      <c r="GHL283" s="183"/>
      <c r="GHM283" s="184"/>
      <c r="GHN283" s="184"/>
      <c r="GHO283" s="184"/>
      <c r="GHP283" s="184"/>
      <c r="GHQ283" s="184"/>
      <c r="GHR283" s="184"/>
      <c r="GHS283" s="184"/>
      <c r="GHZ283" s="186"/>
      <c r="GIA283" s="183"/>
      <c r="GIB283" s="184"/>
      <c r="GIC283" s="184"/>
      <c r="GID283" s="184"/>
      <c r="GIE283" s="184"/>
      <c r="GIF283" s="184"/>
      <c r="GIG283" s="184"/>
      <c r="GIH283" s="184"/>
      <c r="GIO283" s="186"/>
      <c r="GIP283" s="183"/>
      <c r="GIQ283" s="184"/>
      <c r="GIR283" s="184"/>
      <c r="GIS283" s="184"/>
      <c r="GIT283" s="184"/>
      <c r="GIU283" s="184"/>
      <c r="GIV283" s="184"/>
      <c r="GIW283" s="184"/>
      <c r="GJD283" s="186"/>
      <c r="GJE283" s="183"/>
      <c r="GJF283" s="184"/>
      <c r="GJG283" s="184"/>
      <c r="GJH283" s="184"/>
      <c r="GJI283" s="184"/>
      <c r="GJJ283" s="184"/>
      <c r="GJK283" s="184"/>
      <c r="GJL283" s="184"/>
      <c r="GJS283" s="186"/>
      <c r="GJT283" s="183"/>
      <c r="GJU283" s="184"/>
      <c r="GJV283" s="184"/>
      <c r="GJW283" s="184"/>
      <c r="GJX283" s="184"/>
      <c r="GJY283" s="184"/>
      <c r="GJZ283" s="184"/>
      <c r="GKA283" s="184"/>
      <c r="GKH283" s="186"/>
      <c r="GKI283" s="183"/>
      <c r="GKJ283" s="184"/>
      <c r="GKK283" s="184"/>
      <c r="GKL283" s="184"/>
      <c r="GKM283" s="184"/>
      <c r="GKN283" s="184"/>
      <c r="GKO283" s="184"/>
      <c r="GKP283" s="184"/>
      <c r="GKW283" s="186"/>
      <c r="GKX283" s="183"/>
      <c r="GKY283" s="184"/>
      <c r="GKZ283" s="184"/>
      <c r="GLA283" s="184"/>
      <c r="GLB283" s="184"/>
      <c r="GLC283" s="184"/>
      <c r="GLD283" s="184"/>
      <c r="GLE283" s="184"/>
      <c r="GLL283" s="186"/>
      <c r="GLM283" s="183"/>
      <c r="GLN283" s="184"/>
      <c r="GLO283" s="184"/>
      <c r="GLP283" s="184"/>
      <c r="GLQ283" s="184"/>
      <c r="GLR283" s="184"/>
      <c r="GLS283" s="184"/>
      <c r="GLT283" s="184"/>
      <c r="GMA283" s="186"/>
      <c r="GMB283" s="183"/>
      <c r="GMC283" s="184"/>
      <c r="GMD283" s="184"/>
      <c r="GME283" s="184"/>
      <c r="GMF283" s="184"/>
      <c r="GMG283" s="184"/>
      <c r="GMH283" s="184"/>
      <c r="GMI283" s="184"/>
      <c r="GMP283" s="186"/>
      <c r="GMQ283" s="183"/>
      <c r="GMR283" s="184"/>
      <c r="GMS283" s="184"/>
      <c r="GMT283" s="184"/>
      <c r="GMU283" s="184"/>
      <c r="GMV283" s="184"/>
      <c r="GMW283" s="184"/>
      <c r="GMX283" s="184"/>
      <c r="GNE283" s="186"/>
      <c r="GNF283" s="183"/>
      <c r="GNG283" s="184"/>
      <c r="GNH283" s="184"/>
      <c r="GNI283" s="184"/>
      <c r="GNJ283" s="184"/>
      <c r="GNK283" s="184"/>
      <c r="GNL283" s="184"/>
      <c r="GNM283" s="184"/>
      <c r="GNT283" s="186"/>
      <c r="GNU283" s="183"/>
      <c r="GNV283" s="184"/>
      <c r="GNW283" s="184"/>
      <c r="GNX283" s="184"/>
      <c r="GNY283" s="184"/>
      <c r="GNZ283" s="184"/>
      <c r="GOA283" s="184"/>
      <c r="GOB283" s="184"/>
      <c r="GOI283" s="186"/>
      <c r="GOJ283" s="183"/>
      <c r="GOK283" s="184"/>
      <c r="GOL283" s="184"/>
      <c r="GOM283" s="184"/>
      <c r="GON283" s="184"/>
      <c r="GOO283" s="184"/>
      <c r="GOP283" s="184"/>
      <c r="GOQ283" s="184"/>
      <c r="GOX283" s="186"/>
      <c r="GOY283" s="183"/>
      <c r="GOZ283" s="184"/>
      <c r="GPA283" s="184"/>
      <c r="GPB283" s="184"/>
      <c r="GPC283" s="184"/>
      <c r="GPD283" s="184"/>
      <c r="GPE283" s="184"/>
      <c r="GPF283" s="184"/>
      <c r="GPM283" s="186"/>
      <c r="GPN283" s="183"/>
      <c r="GPO283" s="184"/>
      <c r="GPP283" s="184"/>
      <c r="GPQ283" s="184"/>
      <c r="GPR283" s="184"/>
      <c r="GPS283" s="184"/>
      <c r="GPT283" s="184"/>
      <c r="GPU283" s="184"/>
      <c r="GQB283" s="186"/>
      <c r="GQC283" s="183"/>
      <c r="GQD283" s="184"/>
      <c r="GQE283" s="184"/>
      <c r="GQF283" s="184"/>
      <c r="GQG283" s="184"/>
      <c r="GQH283" s="184"/>
      <c r="GQI283" s="184"/>
      <c r="GQJ283" s="184"/>
      <c r="GQQ283" s="186"/>
      <c r="GQR283" s="183"/>
      <c r="GQS283" s="184"/>
      <c r="GQT283" s="184"/>
      <c r="GQU283" s="184"/>
      <c r="GQV283" s="184"/>
      <c r="GQW283" s="184"/>
      <c r="GQX283" s="184"/>
      <c r="GQY283" s="184"/>
      <c r="GRF283" s="186"/>
      <c r="GRG283" s="183"/>
      <c r="GRH283" s="184"/>
      <c r="GRI283" s="184"/>
      <c r="GRJ283" s="184"/>
      <c r="GRK283" s="184"/>
      <c r="GRL283" s="184"/>
      <c r="GRM283" s="184"/>
      <c r="GRN283" s="184"/>
      <c r="GRU283" s="186"/>
      <c r="GRV283" s="183"/>
      <c r="GRW283" s="184"/>
      <c r="GRX283" s="184"/>
      <c r="GRY283" s="184"/>
      <c r="GRZ283" s="184"/>
      <c r="GSA283" s="184"/>
      <c r="GSB283" s="184"/>
      <c r="GSC283" s="184"/>
      <c r="GSJ283" s="186"/>
      <c r="GSK283" s="183"/>
      <c r="GSL283" s="184"/>
      <c r="GSM283" s="184"/>
      <c r="GSN283" s="184"/>
      <c r="GSO283" s="184"/>
      <c r="GSP283" s="184"/>
      <c r="GSQ283" s="184"/>
      <c r="GSR283" s="184"/>
      <c r="GSY283" s="186"/>
      <c r="GSZ283" s="183"/>
      <c r="GTA283" s="184"/>
      <c r="GTB283" s="184"/>
      <c r="GTC283" s="184"/>
      <c r="GTD283" s="184"/>
      <c r="GTE283" s="184"/>
      <c r="GTF283" s="184"/>
      <c r="GTG283" s="184"/>
      <c r="GTN283" s="186"/>
      <c r="GTO283" s="183"/>
      <c r="GTP283" s="184"/>
      <c r="GTQ283" s="184"/>
      <c r="GTR283" s="184"/>
      <c r="GTS283" s="184"/>
      <c r="GTT283" s="184"/>
      <c r="GTU283" s="184"/>
      <c r="GTV283" s="184"/>
      <c r="GUC283" s="186"/>
      <c r="GUD283" s="183"/>
      <c r="GUE283" s="184"/>
      <c r="GUF283" s="184"/>
      <c r="GUG283" s="184"/>
      <c r="GUH283" s="184"/>
      <c r="GUI283" s="184"/>
      <c r="GUJ283" s="184"/>
      <c r="GUK283" s="184"/>
      <c r="GUR283" s="186"/>
      <c r="GUS283" s="183"/>
      <c r="GUT283" s="184"/>
      <c r="GUU283" s="184"/>
      <c r="GUV283" s="184"/>
      <c r="GUW283" s="184"/>
      <c r="GUX283" s="184"/>
      <c r="GUY283" s="184"/>
      <c r="GUZ283" s="184"/>
      <c r="GVG283" s="186"/>
      <c r="GVH283" s="183"/>
      <c r="GVI283" s="184"/>
      <c r="GVJ283" s="184"/>
      <c r="GVK283" s="184"/>
      <c r="GVL283" s="184"/>
      <c r="GVM283" s="184"/>
      <c r="GVN283" s="184"/>
      <c r="GVO283" s="184"/>
      <c r="GVV283" s="186"/>
      <c r="GVW283" s="183"/>
      <c r="GVX283" s="184"/>
      <c r="GVY283" s="184"/>
      <c r="GVZ283" s="184"/>
      <c r="GWA283" s="184"/>
      <c r="GWB283" s="184"/>
      <c r="GWC283" s="184"/>
      <c r="GWD283" s="184"/>
      <c r="GWK283" s="186"/>
      <c r="GWL283" s="183"/>
      <c r="GWM283" s="184"/>
      <c r="GWN283" s="184"/>
      <c r="GWO283" s="184"/>
      <c r="GWP283" s="184"/>
      <c r="GWQ283" s="184"/>
      <c r="GWR283" s="184"/>
      <c r="GWS283" s="184"/>
      <c r="GWZ283" s="186"/>
      <c r="GXA283" s="183"/>
      <c r="GXB283" s="184"/>
      <c r="GXC283" s="184"/>
      <c r="GXD283" s="184"/>
      <c r="GXE283" s="184"/>
      <c r="GXF283" s="184"/>
      <c r="GXG283" s="184"/>
      <c r="GXH283" s="184"/>
      <c r="GXO283" s="186"/>
      <c r="GXP283" s="183"/>
      <c r="GXQ283" s="184"/>
      <c r="GXR283" s="184"/>
      <c r="GXS283" s="184"/>
      <c r="GXT283" s="184"/>
      <c r="GXU283" s="184"/>
      <c r="GXV283" s="184"/>
      <c r="GXW283" s="184"/>
      <c r="GYD283" s="186"/>
      <c r="GYE283" s="183"/>
      <c r="GYF283" s="184"/>
      <c r="GYG283" s="184"/>
      <c r="GYH283" s="184"/>
      <c r="GYI283" s="184"/>
      <c r="GYJ283" s="184"/>
      <c r="GYK283" s="184"/>
      <c r="GYL283" s="184"/>
      <c r="GYS283" s="186"/>
      <c r="GYT283" s="183"/>
      <c r="GYU283" s="184"/>
      <c r="GYV283" s="184"/>
      <c r="GYW283" s="184"/>
      <c r="GYX283" s="184"/>
      <c r="GYY283" s="184"/>
      <c r="GYZ283" s="184"/>
      <c r="GZA283" s="184"/>
      <c r="GZH283" s="186"/>
      <c r="GZI283" s="183"/>
      <c r="GZJ283" s="184"/>
      <c r="GZK283" s="184"/>
      <c r="GZL283" s="184"/>
      <c r="GZM283" s="184"/>
      <c r="GZN283" s="184"/>
      <c r="GZO283" s="184"/>
      <c r="GZP283" s="184"/>
      <c r="GZW283" s="186"/>
      <c r="GZX283" s="183"/>
      <c r="GZY283" s="184"/>
      <c r="GZZ283" s="184"/>
      <c r="HAA283" s="184"/>
      <c r="HAB283" s="184"/>
      <c r="HAC283" s="184"/>
      <c r="HAD283" s="184"/>
      <c r="HAE283" s="184"/>
      <c r="HAL283" s="186"/>
      <c r="HAM283" s="183"/>
      <c r="HAN283" s="184"/>
      <c r="HAO283" s="184"/>
      <c r="HAP283" s="184"/>
      <c r="HAQ283" s="184"/>
      <c r="HAR283" s="184"/>
      <c r="HAS283" s="184"/>
      <c r="HAT283" s="184"/>
      <c r="HBA283" s="186"/>
      <c r="HBB283" s="183"/>
      <c r="HBC283" s="184"/>
      <c r="HBD283" s="184"/>
      <c r="HBE283" s="184"/>
      <c r="HBF283" s="184"/>
      <c r="HBG283" s="184"/>
      <c r="HBH283" s="184"/>
      <c r="HBI283" s="184"/>
      <c r="HBP283" s="186"/>
      <c r="HBQ283" s="183"/>
      <c r="HBR283" s="184"/>
      <c r="HBS283" s="184"/>
      <c r="HBT283" s="184"/>
      <c r="HBU283" s="184"/>
      <c r="HBV283" s="184"/>
      <c r="HBW283" s="184"/>
      <c r="HBX283" s="184"/>
      <c r="HCE283" s="186"/>
      <c r="HCF283" s="183"/>
      <c r="HCG283" s="184"/>
      <c r="HCH283" s="184"/>
      <c r="HCI283" s="184"/>
      <c r="HCJ283" s="184"/>
      <c r="HCK283" s="184"/>
      <c r="HCL283" s="184"/>
      <c r="HCM283" s="184"/>
      <c r="HCT283" s="186"/>
      <c r="HCU283" s="183"/>
      <c r="HCV283" s="184"/>
      <c r="HCW283" s="184"/>
      <c r="HCX283" s="184"/>
      <c r="HCY283" s="184"/>
      <c r="HCZ283" s="184"/>
      <c r="HDA283" s="184"/>
      <c r="HDB283" s="184"/>
      <c r="HDI283" s="186"/>
      <c r="HDJ283" s="183"/>
      <c r="HDK283" s="184"/>
      <c r="HDL283" s="184"/>
      <c r="HDM283" s="184"/>
      <c r="HDN283" s="184"/>
      <c r="HDO283" s="184"/>
      <c r="HDP283" s="184"/>
      <c r="HDQ283" s="184"/>
      <c r="HDX283" s="186"/>
      <c r="HDY283" s="183"/>
      <c r="HDZ283" s="184"/>
      <c r="HEA283" s="184"/>
      <c r="HEB283" s="184"/>
      <c r="HEC283" s="184"/>
      <c r="HED283" s="184"/>
      <c r="HEE283" s="184"/>
      <c r="HEF283" s="184"/>
      <c r="HEM283" s="186"/>
      <c r="HEN283" s="183"/>
      <c r="HEO283" s="184"/>
      <c r="HEP283" s="184"/>
      <c r="HEQ283" s="184"/>
      <c r="HER283" s="184"/>
      <c r="HES283" s="184"/>
      <c r="HET283" s="184"/>
      <c r="HEU283" s="184"/>
      <c r="HFB283" s="186"/>
      <c r="HFC283" s="183"/>
      <c r="HFD283" s="184"/>
      <c r="HFE283" s="184"/>
      <c r="HFF283" s="184"/>
      <c r="HFG283" s="184"/>
      <c r="HFH283" s="184"/>
      <c r="HFI283" s="184"/>
      <c r="HFJ283" s="184"/>
      <c r="HFQ283" s="186"/>
      <c r="HFR283" s="183"/>
      <c r="HFS283" s="184"/>
      <c r="HFT283" s="184"/>
      <c r="HFU283" s="184"/>
      <c r="HFV283" s="184"/>
      <c r="HFW283" s="184"/>
      <c r="HFX283" s="184"/>
      <c r="HFY283" s="184"/>
      <c r="HGF283" s="186"/>
      <c r="HGG283" s="183"/>
      <c r="HGH283" s="184"/>
      <c r="HGI283" s="184"/>
      <c r="HGJ283" s="184"/>
      <c r="HGK283" s="184"/>
      <c r="HGL283" s="184"/>
      <c r="HGM283" s="184"/>
      <c r="HGN283" s="184"/>
      <c r="HGU283" s="186"/>
      <c r="HGV283" s="183"/>
      <c r="HGW283" s="184"/>
      <c r="HGX283" s="184"/>
      <c r="HGY283" s="184"/>
      <c r="HGZ283" s="184"/>
      <c r="HHA283" s="184"/>
      <c r="HHB283" s="184"/>
      <c r="HHC283" s="184"/>
      <c r="HHJ283" s="186"/>
      <c r="HHK283" s="183"/>
      <c r="HHL283" s="184"/>
      <c r="HHM283" s="184"/>
      <c r="HHN283" s="184"/>
      <c r="HHO283" s="184"/>
      <c r="HHP283" s="184"/>
      <c r="HHQ283" s="184"/>
      <c r="HHR283" s="184"/>
      <c r="HHY283" s="186"/>
      <c r="HHZ283" s="183"/>
      <c r="HIA283" s="184"/>
      <c r="HIB283" s="184"/>
      <c r="HIC283" s="184"/>
      <c r="HID283" s="184"/>
      <c r="HIE283" s="184"/>
      <c r="HIF283" s="184"/>
      <c r="HIG283" s="184"/>
      <c r="HIN283" s="186"/>
      <c r="HIO283" s="183"/>
      <c r="HIP283" s="184"/>
      <c r="HIQ283" s="184"/>
      <c r="HIR283" s="184"/>
      <c r="HIS283" s="184"/>
      <c r="HIT283" s="184"/>
      <c r="HIU283" s="184"/>
      <c r="HIV283" s="184"/>
      <c r="HJC283" s="186"/>
      <c r="HJD283" s="183"/>
      <c r="HJE283" s="184"/>
      <c r="HJF283" s="184"/>
      <c r="HJG283" s="184"/>
      <c r="HJH283" s="184"/>
      <c r="HJI283" s="184"/>
      <c r="HJJ283" s="184"/>
      <c r="HJK283" s="184"/>
      <c r="HJR283" s="186"/>
      <c r="HJS283" s="183"/>
      <c r="HJT283" s="184"/>
      <c r="HJU283" s="184"/>
      <c r="HJV283" s="184"/>
      <c r="HJW283" s="184"/>
      <c r="HJX283" s="184"/>
      <c r="HJY283" s="184"/>
      <c r="HJZ283" s="184"/>
      <c r="HKG283" s="186"/>
      <c r="HKH283" s="183"/>
      <c r="HKI283" s="184"/>
      <c r="HKJ283" s="184"/>
      <c r="HKK283" s="184"/>
      <c r="HKL283" s="184"/>
      <c r="HKM283" s="184"/>
      <c r="HKN283" s="184"/>
      <c r="HKO283" s="184"/>
      <c r="HKV283" s="186"/>
      <c r="HKW283" s="183"/>
      <c r="HKX283" s="184"/>
      <c r="HKY283" s="184"/>
      <c r="HKZ283" s="184"/>
      <c r="HLA283" s="184"/>
      <c r="HLB283" s="184"/>
      <c r="HLC283" s="184"/>
      <c r="HLD283" s="184"/>
      <c r="HLK283" s="186"/>
      <c r="HLL283" s="183"/>
      <c r="HLM283" s="184"/>
      <c r="HLN283" s="184"/>
      <c r="HLO283" s="184"/>
      <c r="HLP283" s="184"/>
      <c r="HLQ283" s="184"/>
      <c r="HLR283" s="184"/>
      <c r="HLS283" s="184"/>
      <c r="HLZ283" s="186"/>
      <c r="HMA283" s="183"/>
      <c r="HMB283" s="184"/>
      <c r="HMC283" s="184"/>
      <c r="HMD283" s="184"/>
      <c r="HME283" s="184"/>
      <c r="HMF283" s="184"/>
      <c r="HMG283" s="184"/>
      <c r="HMH283" s="184"/>
      <c r="HMO283" s="186"/>
      <c r="HMP283" s="183"/>
      <c r="HMQ283" s="184"/>
      <c r="HMR283" s="184"/>
      <c r="HMS283" s="184"/>
      <c r="HMT283" s="184"/>
      <c r="HMU283" s="184"/>
      <c r="HMV283" s="184"/>
      <c r="HMW283" s="184"/>
      <c r="HND283" s="186"/>
      <c r="HNE283" s="183"/>
      <c r="HNF283" s="184"/>
      <c r="HNG283" s="184"/>
      <c r="HNH283" s="184"/>
      <c r="HNI283" s="184"/>
      <c r="HNJ283" s="184"/>
      <c r="HNK283" s="184"/>
      <c r="HNL283" s="184"/>
      <c r="HNS283" s="186"/>
      <c r="HNT283" s="183"/>
      <c r="HNU283" s="184"/>
      <c r="HNV283" s="184"/>
      <c r="HNW283" s="184"/>
      <c r="HNX283" s="184"/>
      <c r="HNY283" s="184"/>
      <c r="HNZ283" s="184"/>
      <c r="HOA283" s="184"/>
      <c r="HOH283" s="186"/>
      <c r="HOI283" s="183"/>
      <c r="HOJ283" s="184"/>
      <c r="HOK283" s="184"/>
      <c r="HOL283" s="184"/>
      <c r="HOM283" s="184"/>
      <c r="HON283" s="184"/>
      <c r="HOO283" s="184"/>
      <c r="HOP283" s="184"/>
      <c r="HOW283" s="186"/>
      <c r="HOX283" s="183"/>
      <c r="HOY283" s="184"/>
      <c r="HOZ283" s="184"/>
      <c r="HPA283" s="184"/>
      <c r="HPB283" s="184"/>
      <c r="HPC283" s="184"/>
      <c r="HPD283" s="184"/>
      <c r="HPE283" s="184"/>
      <c r="HPL283" s="186"/>
      <c r="HPM283" s="183"/>
      <c r="HPN283" s="184"/>
      <c r="HPO283" s="184"/>
      <c r="HPP283" s="184"/>
      <c r="HPQ283" s="184"/>
      <c r="HPR283" s="184"/>
      <c r="HPS283" s="184"/>
      <c r="HPT283" s="184"/>
      <c r="HQA283" s="186"/>
      <c r="HQB283" s="183"/>
      <c r="HQC283" s="184"/>
      <c r="HQD283" s="184"/>
      <c r="HQE283" s="184"/>
      <c r="HQF283" s="184"/>
      <c r="HQG283" s="184"/>
      <c r="HQH283" s="184"/>
      <c r="HQI283" s="184"/>
      <c r="HQP283" s="186"/>
      <c r="HQQ283" s="183"/>
      <c r="HQR283" s="184"/>
      <c r="HQS283" s="184"/>
      <c r="HQT283" s="184"/>
      <c r="HQU283" s="184"/>
      <c r="HQV283" s="184"/>
      <c r="HQW283" s="184"/>
      <c r="HQX283" s="184"/>
      <c r="HRE283" s="186"/>
      <c r="HRF283" s="183"/>
      <c r="HRG283" s="184"/>
      <c r="HRH283" s="184"/>
      <c r="HRI283" s="184"/>
      <c r="HRJ283" s="184"/>
      <c r="HRK283" s="184"/>
      <c r="HRL283" s="184"/>
      <c r="HRM283" s="184"/>
      <c r="HRT283" s="186"/>
      <c r="HRU283" s="183"/>
      <c r="HRV283" s="184"/>
      <c r="HRW283" s="184"/>
      <c r="HRX283" s="184"/>
      <c r="HRY283" s="184"/>
      <c r="HRZ283" s="184"/>
      <c r="HSA283" s="184"/>
      <c r="HSB283" s="184"/>
      <c r="HSI283" s="186"/>
      <c r="HSJ283" s="183"/>
      <c r="HSK283" s="184"/>
      <c r="HSL283" s="184"/>
      <c r="HSM283" s="184"/>
      <c r="HSN283" s="184"/>
      <c r="HSO283" s="184"/>
      <c r="HSP283" s="184"/>
      <c r="HSQ283" s="184"/>
      <c r="HSX283" s="186"/>
      <c r="HSY283" s="183"/>
      <c r="HSZ283" s="184"/>
      <c r="HTA283" s="184"/>
      <c r="HTB283" s="184"/>
      <c r="HTC283" s="184"/>
      <c r="HTD283" s="184"/>
      <c r="HTE283" s="184"/>
      <c r="HTF283" s="184"/>
      <c r="HTM283" s="186"/>
      <c r="HTN283" s="183"/>
      <c r="HTO283" s="184"/>
      <c r="HTP283" s="184"/>
      <c r="HTQ283" s="184"/>
      <c r="HTR283" s="184"/>
      <c r="HTS283" s="184"/>
      <c r="HTT283" s="184"/>
      <c r="HTU283" s="184"/>
      <c r="HUB283" s="186"/>
      <c r="HUC283" s="183"/>
      <c r="HUD283" s="184"/>
      <c r="HUE283" s="184"/>
      <c r="HUF283" s="184"/>
      <c r="HUG283" s="184"/>
      <c r="HUH283" s="184"/>
      <c r="HUI283" s="184"/>
      <c r="HUJ283" s="184"/>
      <c r="HUQ283" s="186"/>
      <c r="HUR283" s="183"/>
      <c r="HUS283" s="184"/>
      <c r="HUT283" s="184"/>
      <c r="HUU283" s="184"/>
      <c r="HUV283" s="184"/>
      <c r="HUW283" s="184"/>
      <c r="HUX283" s="184"/>
      <c r="HUY283" s="184"/>
      <c r="HVF283" s="186"/>
      <c r="HVG283" s="183"/>
      <c r="HVH283" s="184"/>
      <c r="HVI283" s="184"/>
      <c r="HVJ283" s="184"/>
      <c r="HVK283" s="184"/>
      <c r="HVL283" s="184"/>
      <c r="HVM283" s="184"/>
      <c r="HVN283" s="184"/>
      <c r="HVU283" s="186"/>
      <c r="HVV283" s="183"/>
      <c r="HVW283" s="184"/>
      <c r="HVX283" s="184"/>
      <c r="HVY283" s="184"/>
      <c r="HVZ283" s="184"/>
      <c r="HWA283" s="184"/>
      <c r="HWB283" s="184"/>
      <c r="HWC283" s="184"/>
      <c r="HWJ283" s="186"/>
      <c r="HWK283" s="183"/>
      <c r="HWL283" s="184"/>
      <c r="HWM283" s="184"/>
      <c r="HWN283" s="184"/>
      <c r="HWO283" s="184"/>
      <c r="HWP283" s="184"/>
      <c r="HWQ283" s="184"/>
      <c r="HWR283" s="184"/>
      <c r="HWY283" s="186"/>
      <c r="HWZ283" s="183"/>
      <c r="HXA283" s="184"/>
      <c r="HXB283" s="184"/>
      <c r="HXC283" s="184"/>
      <c r="HXD283" s="184"/>
      <c r="HXE283" s="184"/>
      <c r="HXF283" s="184"/>
      <c r="HXG283" s="184"/>
      <c r="HXN283" s="186"/>
      <c r="HXO283" s="183"/>
      <c r="HXP283" s="184"/>
      <c r="HXQ283" s="184"/>
      <c r="HXR283" s="184"/>
      <c r="HXS283" s="184"/>
      <c r="HXT283" s="184"/>
      <c r="HXU283" s="184"/>
      <c r="HXV283" s="184"/>
      <c r="HYC283" s="186"/>
      <c r="HYD283" s="183"/>
      <c r="HYE283" s="184"/>
      <c r="HYF283" s="184"/>
      <c r="HYG283" s="184"/>
      <c r="HYH283" s="184"/>
      <c r="HYI283" s="184"/>
      <c r="HYJ283" s="184"/>
      <c r="HYK283" s="184"/>
      <c r="HYR283" s="186"/>
      <c r="HYS283" s="183"/>
      <c r="HYT283" s="184"/>
      <c r="HYU283" s="184"/>
      <c r="HYV283" s="184"/>
      <c r="HYW283" s="184"/>
      <c r="HYX283" s="184"/>
      <c r="HYY283" s="184"/>
      <c r="HYZ283" s="184"/>
      <c r="HZG283" s="186"/>
      <c r="HZH283" s="183"/>
      <c r="HZI283" s="184"/>
      <c r="HZJ283" s="184"/>
      <c r="HZK283" s="184"/>
      <c r="HZL283" s="184"/>
      <c r="HZM283" s="184"/>
      <c r="HZN283" s="184"/>
      <c r="HZO283" s="184"/>
      <c r="HZV283" s="186"/>
      <c r="HZW283" s="183"/>
      <c r="HZX283" s="184"/>
      <c r="HZY283" s="184"/>
      <c r="HZZ283" s="184"/>
      <c r="IAA283" s="184"/>
      <c r="IAB283" s="184"/>
      <c r="IAC283" s="184"/>
      <c r="IAD283" s="184"/>
      <c r="IAK283" s="186"/>
      <c r="IAL283" s="183"/>
      <c r="IAM283" s="184"/>
      <c r="IAN283" s="184"/>
      <c r="IAO283" s="184"/>
      <c r="IAP283" s="184"/>
      <c r="IAQ283" s="184"/>
      <c r="IAR283" s="184"/>
      <c r="IAS283" s="184"/>
      <c r="IAZ283" s="186"/>
      <c r="IBA283" s="183"/>
      <c r="IBB283" s="184"/>
      <c r="IBC283" s="184"/>
      <c r="IBD283" s="184"/>
      <c r="IBE283" s="184"/>
      <c r="IBF283" s="184"/>
      <c r="IBG283" s="184"/>
      <c r="IBH283" s="184"/>
      <c r="IBO283" s="186"/>
      <c r="IBP283" s="183"/>
      <c r="IBQ283" s="184"/>
      <c r="IBR283" s="184"/>
      <c r="IBS283" s="184"/>
      <c r="IBT283" s="184"/>
      <c r="IBU283" s="184"/>
      <c r="IBV283" s="184"/>
      <c r="IBW283" s="184"/>
      <c r="ICD283" s="186"/>
      <c r="ICE283" s="183"/>
      <c r="ICF283" s="184"/>
      <c r="ICG283" s="184"/>
      <c r="ICH283" s="184"/>
      <c r="ICI283" s="184"/>
      <c r="ICJ283" s="184"/>
      <c r="ICK283" s="184"/>
      <c r="ICL283" s="184"/>
      <c r="ICS283" s="186"/>
      <c r="ICT283" s="183"/>
      <c r="ICU283" s="184"/>
      <c r="ICV283" s="184"/>
      <c r="ICW283" s="184"/>
      <c r="ICX283" s="184"/>
      <c r="ICY283" s="184"/>
      <c r="ICZ283" s="184"/>
      <c r="IDA283" s="184"/>
      <c r="IDH283" s="186"/>
      <c r="IDI283" s="183"/>
      <c r="IDJ283" s="184"/>
      <c r="IDK283" s="184"/>
      <c r="IDL283" s="184"/>
      <c r="IDM283" s="184"/>
      <c r="IDN283" s="184"/>
      <c r="IDO283" s="184"/>
      <c r="IDP283" s="184"/>
      <c r="IDW283" s="186"/>
      <c r="IDX283" s="183"/>
      <c r="IDY283" s="184"/>
      <c r="IDZ283" s="184"/>
      <c r="IEA283" s="184"/>
      <c r="IEB283" s="184"/>
      <c r="IEC283" s="184"/>
      <c r="IED283" s="184"/>
      <c r="IEE283" s="184"/>
      <c r="IEL283" s="186"/>
      <c r="IEM283" s="183"/>
      <c r="IEN283" s="184"/>
      <c r="IEO283" s="184"/>
      <c r="IEP283" s="184"/>
      <c r="IEQ283" s="184"/>
      <c r="IER283" s="184"/>
      <c r="IES283" s="184"/>
      <c r="IET283" s="184"/>
      <c r="IFA283" s="186"/>
      <c r="IFB283" s="183"/>
      <c r="IFC283" s="184"/>
      <c r="IFD283" s="184"/>
      <c r="IFE283" s="184"/>
      <c r="IFF283" s="184"/>
      <c r="IFG283" s="184"/>
      <c r="IFH283" s="184"/>
      <c r="IFI283" s="184"/>
      <c r="IFP283" s="186"/>
      <c r="IFQ283" s="183"/>
      <c r="IFR283" s="184"/>
      <c r="IFS283" s="184"/>
      <c r="IFT283" s="184"/>
      <c r="IFU283" s="184"/>
      <c r="IFV283" s="184"/>
      <c r="IFW283" s="184"/>
      <c r="IFX283" s="184"/>
      <c r="IGE283" s="186"/>
      <c r="IGF283" s="183"/>
      <c r="IGG283" s="184"/>
      <c r="IGH283" s="184"/>
      <c r="IGI283" s="184"/>
      <c r="IGJ283" s="184"/>
      <c r="IGK283" s="184"/>
      <c r="IGL283" s="184"/>
      <c r="IGM283" s="184"/>
      <c r="IGT283" s="186"/>
      <c r="IGU283" s="183"/>
      <c r="IGV283" s="184"/>
      <c r="IGW283" s="184"/>
      <c r="IGX283" s="184"/>
      <c r="IGY283" s="184"/>
      <c r="IGZ283" s="184"/>
      <c r="IHA283" s="184"/>
      <c r="IHB283" s="184"/>
      <c r="IHI283" s="186"/>
      <c r="IHJ283" s="183"/>
      <c r="IHK283" s="184"/>
      <c r="IHL283" s="184"/>
      <c r="IHM283" s="184"/>
      <c r="IHN283" s="184"/>
      <c r="IHO283" s="184"/>
      <c r="IHP283" s="184"/>
      <c r="IHQ283" s="184"/>
      <c r="IHX283" s="186"/>
      <c r="IHY283" s="183"/>
      <c r="IHZ283" s="184"/>
      <c r="IIA283" s="184"/>
      <c r="IIB283" s="184"/>
      <c r="IIC283" s="184"/>
      <c r="IID283" s="184"/>
      <c r="IIE283" s="184"/>
      <c r="IIF283" s="184"/>
      <c r="IIM283" s="186"/>
      <c r="IIN283" s="183"/>
      <c r="IIO283" s="184"/>
      <c r="IIP283" s="184"/>
      <c r="IIQ283" s="184"/>
      <c r="IIR283" s="184"/>
      <c r="IIS283" s="184"/>
      <c r="IIT283" s="184"/>
      <c r="IIU283" s="184"/>
      <c r="IJB283" s="186"/>
      <c r="IJC283" s="183"/>
      <c r="IJD283" s="184"/>
      <c r="IJE283" s="184"/>
      <c r="IJF283" s="184"/>
      <c r="IJG283" s="184"/>
      <c r="IJH283" s="184"/>
      <c r="IJI283" s="184"/>
      <c r="IJJ283" s="184"/>
      <c r="IJQ283" s="186"/>
      <c r="IJR283" s="183"/>
      <c r="IJS283" s="184"/>
      <c r="IJT283" s="184"/>
      <c r="IJU283" s="184"/>
      <c r="IJV283" s="184"/>
      <c r="IJW283" s="184"/>
      <c r="IJX283" s="184"/>
      <c r="IJY283" s="184"/>
      <c r="IKF283" s="186"/>
      <c r="IKG283" s="183"/>
      <c r="IKH283" s="184"/>
      <c r="IKI283" s="184"/>
      <c r="IKJ283" s="184"/>
      <c r="IKK283" s="184"/>
      <c r="IKL283" s="184"/>
      <c r="IKM283" s="184"/>
      <c r="IKN283" s="184"/>
      <c r="IKU283" s="186"/>
      <c r="IKV283" s="183"/>
      <c r="IKW283" s="184"/>
      <c r="IKX283" s="184"/>
      <c r="IKY283" s="184"/>
      <c r="IKZ283" s="184"/>
      <c r="ILA283" s="184"/>
      <c r="ILB283" s="184"/>
      <c r="ILC283" s="184"/>
      <c r="ILJ283" s="186"/>
      <c r="ILK283" s="183"/>
      <c r="ILL283" s="184"/>
      <c r="ILM283" s="184"/>
      <c r="ILN283" s="184"/>
      <c r="ILO283" s="184"/>
      <c r="ILP283" s="184"/>
      <c r="ILQ283" s="184"/>
      <c r="ILR283" s="184"/>
      <c r="ILY283" s="186"/>
      <c r="ILZ283" s="183"/>
      <c r="IMA283" s="184"/>
      <c r="IMB283" s="184"/>
      <c r="IMC283" s="184"/>
      <c r="IMD283" s="184"/>
      <c r="IME283" s="184"/>
      <c r="IMF283" s="184"/>
      <c r="IMG283" s="184"/>
      <c r="IMN283" s="186"/>
      <c r="IMO283" s="183"/>
      <c r="IMP283" s="184"/>
      <c r="IMQ283" s="184"/>
      <c r="IMR283" s="184"/>
      <c r="IMS283" s="184"/>
      <c r="IMT283" s="184"/>
      <c r="IMU283" s="184"/>
      <c r="IMV283" s="184"/>
      <c r="INC283" s="186"/>
      <c r="IND283" s="183"/>
      <c r="INE283" s="184"/>
      <c r="INF283" s="184"/>
      <c r="ING283" s="184"/>
      <c r="INH283" s="184"/>
      <c r="INI283" s="184"/>
      <c r="INJ283" s="184"/>
      <c r="INK283" s="184"/>
      <c r="INR283" s="186"/>
      <c r="INS283" s="183"/>
      <c r="INT283" s="184"/>
      <c r="INU283" s="184"/>
      <c r="INV283" s="184"/>
      <c r="INW283" s="184"/>
      <c r="INX283" s="184"/>
      <c r="INY283" s="184"/>
      <c r="INZ283" s="184"/>
      <c r="IOG283" s="186"/>
      <c r="IOH283" s="183"/>
      <c r="IOI283" s="184"/>
      <c r="IOJ283" s="184"/>
      <c r="IOK283" s="184"/>
      <c r="IOL283" s="184"/>
      <c r="IOM283" s="184"/>
      <c r="ION283" s="184"/>
      <c r="IOO283" s="184"/>
      <c r="IOV283" s="186"/>
      <c r="IOW283" s="183"/>
      <c r="IOX283" s="184"/>
      <c r="IOY283" s="184"/>
      <c r="IOZ283" s="184"/>
      <c r="IPA283" s="184"/>
      <c r="IPB283" s="184"/>
      <c r="IPC283" s="184"/>
      <c r="IPD283" s="184"/>
      <c r="IPK283" s="186"/>
      <c r="IPL283" s="183"/>
      <c r="IPM283" s="184"/>
      <c r="IPN283" s="184"/>
      <c r="IPO283" s="184"/>
      <c r="IPP283" s="184"/>
      <c r="IPQ283" s="184"/>
      <c r="IPR283" s="184"/>
      <c r="IPS283" s="184"/>
      <c r="IPZ283" s="186"/>
      <c r="IQA283" s="183"/>
      <c r="IQB283" s="184"/>
      <c r="IQC283" s="184"/>
      <c r="IQD283" s="184"/>
      <c r="IQE283" s="184"/>
      <c r="IQF283" s="184"/>
      <c r="IQG283" s="184"/>
      <c r="IQH283" s="184"/>
      <c r="IQO283" s="186"/>
      <c r="IQP283" s="183"/>
      <c r="IQQ283" s="184"/>
      <c r="IQR283" s="184"/>
      <c r="IQS283" s="184"/>
      <c r="IQT283" s="184"/>
      <c r="IQU283" s="184"/>
      <c r="IQV283" s="184"/>
      <c r="IQW283" s="184"/>
      <c r="IRD283" s="186"/>
      <c r="IRE283" s="183"/>
      <c r="IRF283" s="184"/>
      <c r="IRG283" s="184"/>
      <c r="IRH283" s="184"/>
      <c r="IRI283" s="184"/>
      <c r="IRJ283" s="184"/>
      <c r="IRK283" s="184"/>
      <c r="IRL283" s="184"/>
      <c r="IRS283" s="186"/>
      <c r="IRT283" s="183"/>
      <c r="IRU283" s="184"/>
      <c r="IRV283" s="184"/>
      <c r="IRW283" s="184"/>
      <c r="IRX283" s="184"/>
      <c r="IRY283" s="184"/>
      <c r="IRZ283" s="184"/>
      <c r="ISA283" s="184"/>
      <c r="ISH283" s="186"/>
      <c r="ISI283" s="183"/>
      <c r="ISJ283" s="184"/>
      <c r="ISK283" s="184"/>
      <c r="ISL283" s="184"/>
      <c r="ISM283" s="184"/>
      <c r="ISN283" s="184"/>
      <c r="ISO283" s="184"/>
      <c r="ISP283" s="184"/>
      <c r="ISW283" s="186"/>
      <c r="ISX283" s="183"/>
      <c r="ISY283" s="184"/>
      <c r="ISZ283" s="184"/>
      <c r="ITA283" s="184"/>
      <c r="ITB283" s="184"/>
      <c r="ITC283" s="184"/>
      <c r="ITD283" s="184"/>
      <c r="ITE283" s="184"/>
      <c r="ITL283" s="186"/>
      <c r="ITM283" s="183"/>
      <c r="ITN283" s="184"/>
      <c r="ITO283" s="184"/>
      <c r="ITP283" s="184"/>
      <c r="ITQ283" s="184"/>
      <c r="ITR283" s="184"/>
      <c r="ITS283" s="184"/>
      <c r="ITT283" s="184"/>
      <c r="IUA283" s="186"/>
      <c r="IUB283" s="183"/>
      <c r="IUC283" s="184"/>
      <c r="IUD283" s="184"/>
      <c r="IUE283" s="184"/>
      <c r="IUF283" s="184"/>
      <c r="IUG283" s="184"/>
      <c r="IUH283" s="184"/>
      <c r="IUI283" s="184"/>
      <c r="IUP283" s="186"/>
      <c r="IUQ283" s="183"/>
      <c r="IUR283" s="184"/>
      <c r="IUS283" s="184"/>
      <c r="IUT283" s="184"/>
      <c r="IUU283" s="184"/>
      <c r="IUV283" s="184"/>
      <c r="IUW283" s="184"/>
      <c r="IUX283" s="184"/>
      <c r="IVE283" s="186"/>
      <c r="IVF283" s="183"/>
      <c r="IVG283" s="184"/>
      <c r="IVH283" s="184"/>
      <c r="IVI283" s="184"/>
      <c r="IVJ283" s="184"/>
      <c r="IVK283" s="184"/>
      <c r="IVL283" s="184"/>
      <c r="IVM283" s="184"/>
      <c r="IVT283" s="186"/>
      <c r="IVU283" s="183"/>
      <c r="IVV283" s="184"/>
      <c r="IVW283" s="184"/>
      <c r="IVX283" s="184"/>
      <c r="IVY283" s="184"/>
      <c r="IVZ283" s="184"/>
      <c r="IWA283" s="184"/>
      <c r="IWB283" s="184"/>
      <c r="IWI283" s="186"/>
      <c r="IWJ283" s="183"/>
      <c r="IWK283" s="184"/>
      <c r="IWL283" s="184"/>
      <c r="IWM283" s="184"/>
      <c r="IWN283" s="184"/>
      <c r="IWO283" s="184"/>
      <c r="IWP283" s="184"/>
      <c r="IWQ283" s="184"/>
      <c r="IWX283" s="186"/>
      <c r="IWY283" s="183"/>
      <c r="IWZ283" s="184"/>
      <c r="IXA283" s="184"/>
      <c r="IXB283" s="184"/>
      <c r="IXC283" s="184"/>
      <c r="IXD283" s="184"/>
      <c r="IXE283" s="184"/>
      <c r="IXF283" s="184"/>
      <c r="IXM283" s="186"/>
      <c r="IXN283" s="183"/>
      <c r="IXO283" s="184"/>
      <c r="IXP283" s="184"/>
      <c r="IXQ283" s="184"/>
      <c r="IXR283" s="184"/>
      <c r="IXS283" s="184"/>
      <c r="IXT283" s="184"/>
      <c r="IXU283" s="184"/>
      <c r="IYB283" s="186"/>
      <c r="IYC283" s="183"/>
      <c r="IYD283" s="184"/>
      <c r="IYE283" s="184"/>
      <c r="IYF283" s="184"/>
      <c r="IYG283" s="184"/>
      <c r="IYH283" s="184"/>
      <c r="IYI283" s="184"/>
      <c r="IYJ283" s="184"/>
      <c r="IYQ283" s="186"/>
      <c r="IYR283" s="183"/>
      <c r="IYS283" s="184"/>
      <c r="IYT283" s="184"/>
      <c r="IYU283" s="184"/>
      <c r="IYV283" s="184"/>
      <c r="IYW283" s="184"/>
      <c r="IYX283" s="184"/>
      <c r="IYY283" s="184"/>
      <c r="IZF283" s="186"/>
      <c r="IZG283" s="183"/>
      <c r="IZH283" s="184"/>
      <c r="IZI283" s="184"/>
      <c r="IZJ283" s="184"/>
      <c r="IZK283" s="184"/>
      <c r="IZL283" s="184"/>
      <c r="IZM283" s="184"/>
      <c r="IZN283" s="184"/>
      <c r="IZU283" s="186"/>
      <c r="IZV283" s="183"/>
      <c r="IZW283" s="184"/>
      <c r="IZX283" s="184"/>
      <c r="IZY283" s="184"/>
      <c r="IZZ283" s="184"/>
      <c r="JAA283" s="184"/>
      <c r="JAB283" s="184"/>
      <c r="JAC283" s="184"/>
      <c r="JAJ283" s="186"/>
      <c r="JAK283" s="183"/>
      <c r="JAL283" s="184"/>
      <c r="JAM283" s="184"/>
      <c r="JAN283" s="184"/>
      <c r="JAO283" s="184"/>
      <c r="JAP283" s="184"/>
      <c r="JAQ283" s="184"/>
      <c r="JAR283" s="184"/>
      <c r="JAY283" s="186"/>
      <c r="JAZ283" s="183"/>
      <c r="JBA283" s="184"/>
      <c r="JBB283" s="184"/>
      <c r="JBC283" s="184"/>
      <c r="JBD283" s="184"/>
      <c r="JBE283" s="184"/>
      <c r="JBF283" s="184"/>
      <c r="JBG283" s="184"/>
      <c r="JBN283" s="186"/>
      <c r="JBO283" s="183"/>
      <c r="JBP283" s="184"/>
      <c r="JBQ283" s="184"/>
      <c r="JBR283" s="184"/>
      <c r="JBS283" s="184"/>
      <c r="JBT283" s="184"/>
      <c r="JBU283" s="184"/>
      <c r="JBV283" s="184"/>
      <c r="JCC283" s="186"/>
      <c r="JCD283" s="183"/>
      <c r="JCE283" s="184"/>
      <c r="JCF283" s="184"/>
      <c r="JCG283" s="184"/>
      <c r="JCH283" s="184"/>
      <c r="JCI283" s="184"/>
      <c r="JCJ283" s="184"/>
      <c r="JCK283" s="184"/>
      <c r="JCR283" s="186"/>
      <c r="JCS283" s="183"/>
      <c r="JCT283" s="184"/>
      <c r="JCU283" s="184"/>
      <c r="JCV283" s="184"/>
      <c r="JCW283" s="184"/>
      <c r="JCX283" s="184"/>
      <c r="JCY283" s="184"/>
      <c r="JCZ283" s="184"/>
      <c r="JDG283" s="186"/>
      <c r="JDH283" s="183"/>
      <c r="JDI283" s="184"/>
      <c r="JDJ283" s="184"/>
      <c r="JDK283" s="184"/>
      <c r="JDL283" s="184"/>
      <c r="JDM283" s="184"/>
      <c r="JDN283" s="184"/>
      <c r="JDO283" s="184"/>
      <c r="JDV283" s="186"/>
      <c r="JDW283" s="183"/>
      <c r="JDX283" s="184"/>
      <c r="JDY283" s="184"/>
      <c r="JDZ283" s="184"/>
      <c r="JEA283" s="184"/>
      <c r="JEB283" s="184"/>
      <c r="JEC283" s="184"/>
      <c r="JED283" s="184"/>
      <c r="JEK283" s="186"/>
      <c r="JEL283" s="183"/>
      <c r="JEM283" s="184"/>
      <c r="JEN283" s="184"/>
      <c r="JEO283" s="184"/>
      <c r="JEP283" s="184"/>
      <c r="JEQ283" s="184"/>
      <c r="JER283" s="184"/>
      <c r="JES283" s="184"/>
      <c r="JEZ283" s="186"/>
      <c r="JFA283" s="183"/>
      <c r="JFB283" s="184"/>
      <c r="JFC283" s="184"/>
      <c r="JFD283" s="184"/>
      <c r="JFE283" s="184"/>
      <c r="JFF283" s="184"/>
      <c r="JFG283" s="184"/>
      <c r="JFH283" s="184"/>
      <c r="JFO283" s="186"/>
      <c r="JFP283" s="183"/>
      <c r="JFQ283" s="184"/>
      <c r="JFR283" s="184"/>
      <c r="JFS283" s="184"/>
      <c r="JFT283" s="184"/>
      <c r="JFU283" s="184"/>
      <c r="JFV283" s="184"/>
      <c r="JFW283" s="184"/>
      <c r="JGD283" s="186"/>
      <c r="JGE283" s="183"/>
      <c r="JGF283" s="184"/>
      <c r="JGG283" s="184"/>
      <c r="JGH283" s="184"/>
      <c r="JGI283" s="184"/>
      <c r="JGJ283" s="184"/>
      <c r="JGK283" s="184"/>
      <c r="JGL283" s="184"/>
      <c r="JGS283" s="186"/>
      <c r="JGT283" s="183"/>
      <c r="JGU283" s="184"/>
      <c r="JGV283" s="184"/>
      <c r="JGW283" s="184"/>
      <c r="JGX283" s="184"/>
      <c r="JGY283" s="184"/>
      <c r="JGZ283" s="184"/>
      <c r="JHA283" s="184"/>
      <c r="JHH283" s="186"/>
      <c r="JHI283" s="183"/>
      <c r="JHJ283" s="184"/>
      <c r="JHK283" s="184"/>
      <c r="JHL283" s="184"/>
      <c r="JHM283" s="184"/>
      <c r="JHN283" s="184"/>
      <c r="JHO283" s="184"/>
      <c r="JHP283" s="184"/>
      <c r="JHW283" s="186"/>
      <c r="JHX283" s="183"/>
      <c r="JHY283" s="184"/>
      <c r="JHZ283" s="184"/>
      <c r="JIA283" s="184"/>
      <c r="JIB283" s="184"/>
      <c r="JIC283" s="184"/>
      <c r="JID283" s="184"/>
      <c r="JIE283" s="184"/>
      <c r="JIL283" s="186"/>
      <c r="JIM283" s="183"/>
      <c r="JIN283" s="184"/>
      <c r="JIO283" s="184"/>
      <c r="JIP283" s="184"/>
      <c r="JIQ283" s="184"/>
      <c r="JIR283" s="184"/>
      <c r="JIS283" s="184"/>
      <c r="JIT283" s="184"/>
      <c r="JJA283" s="186"/>
      <c r="JJB283" s="183"/>
      <c r="JJC283" s="184"/>
      <c r="JJD283" s="184"/>
      <c r="JJE283" s="184"/>
      <c r="JJF283" s="184"/>
      <c r="JJG283" s="184"/>
      <c r="JJH283" s="184"/>
      <c r="JJI283" s="184"/>
      <c r="JJP283" s="186"/>
      <c r="JJQ283" s="183"/>
      <c r="JJR283" s="184"/>
      <c r="JJS283" s="184"/>
      <c r="JJT283" s="184"/>
      <c r="JJU283" s="184"/>
      <c r="JJV283" s="184"/>
      <c r="JJW283" s="184"/>
      <c r="JJX283" s="184"/>
      <c r="JKE283" s="186"/>
      <c r="JKF283" s="183"/>
      <c r="JKG283" s="184"/>
      <c r="JKH283" s="184"/>
      <c r="JKI283" s="184"/>
      <c r="JKJ283" s="184"/>
      <c r="JKK283" s="184"/>
      <c r="JKL283" s="184"/>
      <c r="JKM283" s="184"/>
      <c r="JKT283" s="186"/>
      <c r="JKU283" s="183"/>
      <c r="JKV283" s="184"/>
      <c r="JKW283" s="184"/>
      <c r="JKX283" s="184"/>
      <c r="JKY283" s="184"/>
      <c r="JKZ283" s="184"/>
      <c r="JLA283" s="184"/>
      <c r="JLB283" s="184"/>
      <c r="JLI283" s="186"/>
      <c r="JLJ283" s="183"/>
      <c r="JLK283" s="184"/>
      <c r="JLL283" s="184"/>
      <c r="JLM283" s="184"/>
      <c r="JLN283" s="184"/>
      <c r="JLO283" s="184"/>
      <c r="JLP283" s="184"/>
      <c r="JLQ283" s="184"/>
      <c r="JLX283" s="186"/>
      <c r="JLY283" s="183"/>
      <c r="JLZ283" s="184"/>
      <c r="JMA283" s="184"/>
      <c r="JMB283" s="184"/>
      <c r="JMC283" s="184"/>
      <c r="JMD283" s="184"/>
      <c r="JME283" s="184"/>
      <c r="JMF283" s="184"/>
      <c r="JMM283" s="186"/>
      <c r="JMN283" s="183"/>
      <c r="JMO283" s="184"/>
      <c r="JMP283" s="184"/>
      <c r="JMQ283" s="184"/>
      <c r="JMR283" s="184"/>
      <c r="JMS283" s="184"/>
      <c r="JMT283" s="184"/>
      <c r="JMU283" s="184"/>
      <c r="JNB283" s="186"/>
      <c r="JNC283" s="183"/>
      <c r="JND283" s="184"/>
      <c r="JNE283" s="184"/>
      <c r="JNF283" s="184"/>
      <c r="JNG283" s="184"/>
      <c r="JNH283" s="184"/>
      <c r="JNI283" s="184"/>
      <c r="JNJ283" s="184"/>
      <c r="JNQ283" s="186"/>
      <c r="JNR283" s="183"/>
      <c r="JNS283" s="184"/>
      <c r="JNT283" s="184"/>
      <c r="JNU283" s="184"/>
      <c r="JNV283" s="184"/>
      <c r="JNW283" s="184"/>
      <c r="JNX283" s="184"/>
      <c r="JNY283" s="184"/>
      <c r="JOF283" s="186"/>
      <c r="JOG283" s="183"/>
      <c r="JOH283" s="184"/>
      <c r="JOI283" s="184"/>
      <c r="JOJ283" s="184"/>
      <c r="JOK283" s="184"/>
      <c r="JOL283" s="184"/>
      <c r="JOM283" s="184"/>
      <c r="JON283" s="184"/>
      <c r="JOU283" s="186"/>
      <c r="JOV283" s="183"/>
      <c r="JOW283" s="184"/>
      <c r="JOX283" s="184"/>
      <c r="JOY283" s="184"/>
      <c r="JOZ283" s="184"/>
      <c r="JPA283" s="184"/>
      <c r="JPB283" s="184"/>
      <c r="JPC283" s="184"/>
      <c r="JPJ283" s="186"/>
      <c r="JPK283" s="183"/>
      <c r="JPL283" s="184"/>
      <c r="JPM283" s="184"/>
      <c r="JPN283" s="184"/>
      <c r="JPO283" s="184"/>
      <c r="JPP283" s="184"/>
      <c r="JPQ283" s="184"/>
      <c r="JPR283" s="184"/>
      <c r="JPY283" s="186"/>
      <c r="JPZ283" s="183"/>
      <c r="JQA283" s="184"/>
      <c r="JQB283" s="184"/>
      <c r="JQC283" s="184"/>
      <c r="JQD283" s="184"/>
      <c r="JQE283" s="184"/>
      <c r="JQF283" s="184"/>
      <c r="JQG283" s="184"/>
      <c r="JQN283" s="186"/>
      <c r="JQO283" s="183"/>
      <c r="JQP283" s="184"/>
      <c r="JQQ283" s="184"/>
      <c r="JQR283" s="184"/>
      <c r="JQS283" s="184"/>
      <c r="JQT283" s="184"/>
      <c r="JQU283" s="184"/>
      <c r="JQV283" s="184"/>
      <c r="JRC283" s="186"/>
      <c r="JRD283" s="183"/>
      <c r="JRE283" s="184"/>
      <c r="JRF283" s="184"/>
      <c r="JRG283" s="184"/>
      <c r="JRH283" s="184"/>
      <c r="JRI283" s="184"/>
      <c r="JRJ283" s="184"/>
      <c r="JRK283" s="184"/>
      <c r="JRR283" s="186"/>
      <c r="JRS283" s="183"/>
      <c r="JRT283" s="184"/>
      <c r="JRU283" s="184"/>
      <c r="JRV283" s="184"/>
      <c r="JRW283" s="184"/>
      <c r="JRX283" s="184"/>
      <c r="JRY283" s="184"/>
      <c r="JRZ283" s="184"/>
      <c r="JSG283" s="186"/>
      <c r="JSH283" s="183"/>
      <c r="JSI283" s="184"/>
      <c r="JSJ283" s="184"/>
      <c r="JSK283" s="184"/>
      <c r="JSL283" s="184"/>
      <c r="JSM283" s="184"/>
      <c r="JSN283" s="184"/>
      <c r="JSO283" s="184"/>
      <c r="JSV283" s="186"/>
      <c r="JSW283" s="183"/>
      <c r="JSX283" s="184"/>
      <c r="JSY283" s="184"/>
      <c r="JSZ283" s="184"/>
      <c r="JTA283" s="184"/>
      <c r="JTB283" s="184"/>
      <c r="JTC283" s="184"/>
      <c r="JTD283" s="184"/>
      <c r="JTK283" s="186"/>
      <c r="JTL283" s="183"/>
      <c r="JTM283" s="184"/>
      <c r="JTN283" s="184"/>
      <c r="JTO283" s="184"/>
      <c r="JTP283" s="184"/>
      <c r="JTQ283" s="184"/>
      <c r="JTR283" s="184"/>
      <c r="JTS283" s="184"/>
      <c r="JTZ283" s="186"/>
      <c r="JUA283" s="183"/>
      <c r="JUB283" s="184"/>
      <c r="JUC283" s="184"/>
      <c r="JUD283" s="184"/>
      <c r="JUE283" s="184"/>
      <c r="JUF283" s="184"/>
      <c r="JUG283" s="184"/>
      <c r="JUH283" s="184"/>
      <c r="JUO283" s="186"/>
      <c r="JUP283" s="183"/>
      <c r="JUQ283" s="184"/>
      <c r="JUR283" s="184"/>
      <c r="JUS283" s="184"/>
      <c r="JUT283" s="184"/>
      <c r="JUU283" s="184"/>
      <c r="JUV283" s="184"/>
      <c r="JUW283" s="184"/>
      <c r="JVD283" s="186"/>
      <c r="JVE283" s="183"/>
      <c r="JVF283" s="184"/>
      <c r="JVG283" s="184"/>
      <c r="JVH283" s="184"/>
      <c r="JVI283" s="184"/>
      <c r="JVJ283" s="184"/>
      <c r="JVK283" s="184"/>
      <c r="JVL283" s="184"/>
      <c r="JVS283" s="186"/>
      <c r="JVT283" s="183"/>
      <c r="JVU283" s="184"/>
      <c r="JVV283" s="184"/>
      <c r="JVW283" s="184"/>
      <c r="JVX283" s="184"/>
      <c r="JVY283" s="184"/>
      <c r="JVZ283" s="184"/>
      <c r="JWA283" s="184"/>
      <c r="JWH283" s="186"/>
      <c r="JWI283" s="183"/>
      <c r="JWJ283" s="184"/>
      <c r="JWK283" s="184"/>
      <c r="JWL283" s="184"/>
      <c r="JWM283" s="184"/>
      <c r="JWN283" s="184"/>
      <c r="JWO283" s="184"/>
      <c r="JWP283" s="184"/>
      <c r="JWW283" s="186"/>
      <c r="JWX283" s="183"/>
      <c r="JWY283" s="184"/>
      <c r="JWZ283" s="184"/>
      <c r="JXA283" s="184"/>
      <c r="JXB283" s="184"/>
      <c r="JXC283" s="184"/>
      <c r="JXD283" s="184"/>
      <c r="JXE283" s="184"/>
      <c r="JXL283" s="186"/>
      <c r="JXM283" s="183"/>
      <c r="JXN283" s="184"/>
      <c r="JXO283" s="184"/>
      <c r="JXP283" s="184"/>
      <c r="JXQ283" s="184"/>
      <c r="JXR283" s="184"/>
      <c r="JXS283" s="184"/>
      <c r="JXT283" s="184"/>
      <c r="JYA283" s="186"/>
      <c r="JYB283" s="183"/>
      <c r="JYC283" s="184"/>
      <c r="JYD283" s="184"/>
      <c r="JYE283" s="184"/>
      <c r="JYF283" s="184"/>
      <c r="JYG283" s="184"/>
      <c r="JYH283" s="184"/>
      <c r="JYI283" s="184"/>
      <c r="JYP283" s="186"/>
      <c r="JYQ283" s="183"/>
      <c r="JYR283" s="184"/>
      <c r="JYS283" s="184"/>
      <c r="JYT283" s="184"/>
      <c r="JYU283" s="184"/>
      <c r="JYV283" s="184"/>
      <c r="JYW283" s="184"/>
      <c r="JYX283" s="184"/>
      <c r="JZE283" s="186"/>
      <c r="JZF283" s="183"/>
      <c r="JZG283" s="184"/>
      <c r="JZH283" s="184"/>
      <c r="JZI283" s="184"/>
      <c r="JZJ283" s="184"/>
      <c r="JZK283" s="184"/>
      <c r="JZL283" s="184"/>
      <c r="JZM283" s="184"/>
      <c r="JZT283" s="186"/>
      <c r="JZU283" s="183"/>
      <c r="JZV283" s="184"/>
      <c r="JZW283" s="184"/>
      <c r="JZX283" s="184"/>
      <c r="JZY283" s="184"/>
      <c r="JZZ283" s="184"/>
      <c r="KAA283" s="184"/>
      <c r="KAB283" s="184"/>
      <c r="KAI283" s="186"/>
      <c r="KAJ283" s="183"/>
      <c r="KAK283" s="184"/>
      <c r="KAL283" s="184"/>
      <c r="KAM283" s="184"/>
      <c r="KAN283" s="184"/>
      <c r="KAO283" s="184"/>
      <c r="KAP283" s="184"/>
      <c r="KAQ283" s="184"/>
      <c r="KAX283" s="186"/>
      <c r="KAY283" s="183"/>
      <c r="KAZ283" s="184"/>
      <c r="KBA283" s="184"/>
      <c r="KBB283" s="184"/>
      <c r="KBC283" s="184"/>
      <c r="KBD283" s="184"/>
      <c r="KBE283" s="184"/>
      <c r="KBF283" s="184"/>
      <c r="KBM283" s="186"/>
      <c r="KBN283" s="183"/>
      <c r="KBO283" s="184"/>
      <c r="KBP283" s="184"/>
      <c r="KBQ283" s="184"/>
      <c r="KBR283" s="184"/>
      <c r="KBS283" s="184"/>
      <c r="KBT283" s="184"/>
      <c r="KBU283" s="184"/>
      <c r="KCB283" s="186"/>
      <c r="KCC283" s="183"/>
      <c r="KCD283" s="184"/>
      <c r="KCE283" s="184"/>
      <c r="KCF283" s="184"/>
      <c r="KCG283" s="184"/>
      <c r="KCH283" s="184"/>
      <c r="KCI283" s="184"/>
      <c r="KCJ283" s="184"/>
      <c r="KCQ283" s="186"/>
      <c r="KCR283" s="183"/>
      <c r="KCS283" s="184"/>
      <c r="KCT283" s="184"/>
      <c r="KCU283" s="184"/>
      <c r="KCV283" s="184"/>
      <c r="KCW283" s="184"/>
      <c r="KCX283" s="184"/>
      <c r="KCY283" s="184"/>
      <c r="KDF283" s="186"/>
      <c r="KDG283" s="183"/>
      <c r="KDH283" s="184"/>
      <c r="KDI283" s="184"/>
      <c r="KDJ283" s="184"/>
      <c r="KDK283" s="184"/>
      <c r="KDL283" s="184"/>
      <c r="KDM283" s="184"/>
      <c r="KDN283" s="184"/>
      <c r="KDU283" s="186"/>
      <c r="KDV283" s="183"/>
      <c r="KDW283" s="184"/>
      <c r="KDX283" s="184"/>
      <c r="KDY283" s="184"/>
      <c r="KDZ283" s="184"/>
      <c r="KEA283" s="184"/>
      <c r="KEB283" s="184"/>
      <c r="KEC283" s="184"/>
      <c r="KEJ283" s="186"/>
      <c r="KEK283" s="183"/>
      <c r="KEL283" s="184"/>
      <c r="KEM283" s="184"/>
      <c r="KEN283" s="184"/>
      <c r="KEO283" s="184"/>
      <c r="KEP283" s="184"/>
      <c r="KEQ283" s="184"/>
      <c r="KER283" s="184"/>
      <c r="KEY283" s="186"/>
      <c r="KEZ283" s="183"/>
      <c r="KFA283" s="184"/>
      <c r="KFB283" s="184"/>
      <c r="KFC283" s="184"/>
      <c r="KFD283" s="184"/>
      <c r="KFE283" s="184"/>
      <c r="KFF283" s="184"/>
      <c r="KFG283" s="184"/>
      <c r="KFN283" s="186"/>
      <c r="KFO283" s="183"/>
      <c r="KFP283" s="184"/>
      <c r="KFQ283" s="184"/>
      <c r="KFR283" s="184"/>
      <c r="KFS283" s="184"/>
      <c r="KFT283" s="184"/>
      <c r="KFU283" s="184"/>
      <c r="KFV283" s="184"/>
      <c r="KGC283" s="186"/>
      <c r="KGD283" s="183"/>
      <c r="KGE283" s="184"/>
      <c r="KGF283" s="184"/>
      <c r="KGG283" s="184"/>
      <c r="KGH283" s="184"/>
      <c r="KGI283" s="184"/>
      <c r="KGJ283" s="184"/>
      <c r="KGK283" s="184"/>
      <c r="KGR283" s="186"/>
      <c r="KGS283" s="183"/>
      <c r="KGT283" s="184"/>
      <c r="KGU283" s="184"/>
      <c r="KGV283" s="184"/>
      <c r="KGW283" s="184"/>
      <c r="KGX283" s="184"/>
      <c r="KGY283" s="184"/>
      <c r="KGZ283" s="184"/>
      <c r="KHG283" s="186"/>
      <c r="KHH283" s="183"/>
      <c r="KHI283" s="184"/>
      <c r="KHJ283" s="184"/>
      <c r="KHK283" s="184"/>
      <c r="KHL283" s="184"/>
      <c r="KHM283" s="184"/>
      <c r="KHN283" s="184"/>
      <c r="KHO283" s="184"/>
      <c r="KHV283" s="186"/>
      <c r="KHW283" s="183"/>
      <c r="KHX283" s="184"/>
      <c r="KHY283" s="184"/>
      <c r="KHZ283" s="184"/>
      <c r="KIA283" s="184"/>
      <c r="KIB283" s="184"/>
      <c r="KIC283" s="184"/>
      <c r="KID283" s="184"/>
      <c r="KIK283" s="186"/>
      <c r="KIL283" s="183"/>
      <c r="KIM283" s="184"/>
      <c r="KIN283" s="184"/>
      <c r="KIO283" s="184"/>
      <c r="KIP283" s="184"/>
      <c r="KIQ283" s="184"/>
      <c r="KIR283" s="184"/>
      <c r="KIS283" s="184"/>
      <c r="KIZ283" s="186"/>
      <c r="KJA283" s="183"/>
      <c r="KJB283" s="184"/>
      <c r="KJC283" s="184"/>
      <c r="KJD283" s="184"/>
      <c r="KJE283" s="184"/>
      <c r="KJF283" s="184"/>
      <c r="KJG283" s="184"/>
      <c r="KJH283" s="184"/>
      <c r="KJO283" s="186"/>
      <c r="KJP283" s="183"/>
      <c r="KJQ283" s="184"/>
      <c r="KJR283" s="184"/>
      <c r="KJS283" s="184"/>
      <c r="KJT283" s="184"/>
      <c r="KJU283" s="184"/>
      <c r="KJV283" s="184"/>
      <c r="KJW283" s="184"/>
      <c r="KKD283" s="186"/>
      <c r="KKE283" s="183"/>
      <c r="KKF283" s="184"/>
      <c r="KKG283" s="184"/>
      <c r="KKH283" s="184"/>
      <c r="KKI283" s="184"/>
      <c r="KKJ283" s="184"/>
      <c r="KKK283" s="184"/>
      <c r="KKL283" s="184"/>
      <c r="KKS283" s="186"/>
      <c r="KKT283" s="183"/>
      <c r="KKU283" s="184"/>
      <c r="KKV283" s="184"/>
      <c r="KKW283" s="184"/>
      <c r="KKX283" s="184"/>
      <c r="KKY283" s="184"/>
      <c r="KKZ283" s="184"/>
      <c r="KLA283" s="184"/>
      <c r="KLH283" s="186"/>
      <c r="KLI283" s="183"/>
      <c r="KLJ283" s="184"/>
      <c r="KLK283" s="184"/>
      <c r="KLL283" s="184"/>
      <c r="KLM283" s="184"/>
      <c r="KLN283" s="184"/>
      <c r="KLO283" s="184"/>
      <c r="KLP283" s="184"/>
      <c r="KLW283" s="186"/>
      <c r="KLX283" s="183"/>
      <c r="KLY283" s="184"/>
      <c r="KLZ283" s="184"/>
      <c r="KMA283" s="184"/>
      <c r="KMB283" s="184"/>
      <c r="KMC283" s="184"/>
      <c r="KMD283" s="184"/>
      <c r="KME283" s="184"/>
      <c r="KML283" s="186"/>
      <c r="KMM283" s="183"/>
      <c r="KMN283" s="184"/>
      <c r="KMO283" s="184"/>
      <c r="KMP283" s="184"/>
      <c r="KMQ283" s="184"/>
      <c r="KMR283" s="184"/>
      <c r="KMS283" s="184"/>
      <c r="KMT283" s="184"/>
      <c r="KNA283" s="186"/>
      <c r="KNB283" s="183"/>
      <c r="KNC283" s="184"/>
      <c r="KND283" s="184"/>
      <c r="KNE283" s="184"/>
      <c r="KNF283" s="184"/>
      <c r="KNG283" s="184"/>
      <c r="KNH283" s="184"/>
      <c r="KNI283" s="184"/>
      <c r="KNP283" s="186"/>
      <c r="KNQ283" s="183"/>
      <c r="KNR283" s="184"/>
      <c r="KNS283" s="184"/>
      <c r="KNT283" s="184"/>
      <c r="KNU283" s="184"/>
      <c r="KNV283" s="184"/>
      <c r="KNW283" s="184"/>
      <c r="KNX283" s="184"/>
      <c r="KOE283" s="186"/>
      <c r="KOF283" s="183"/>
      <c r="KOG283" s="184"/>
      <c r="KOH283" s="184"/>
      <c r="KOI283" s="184"/>
      <c r="KOJ283" s="184"/>
      <c r="KOK283" s="184"/>
      <c r="KOL283" s="184"/>
      <c r="KOM283" s="184"/>
      <c r="KOT283" s="186"/>
      <c r="KOU283" s="183"/>
      <c r="KOV283" s="184"/>
      <c r="KOW283" s="184"/>
      <c r="KOX283" s="184"/>
      <c r="KOY283" s="184"/>
      <c r="KOZ283" s="184"/>
      <c r="KPA283" s="184"/>
      <c r="KPB283" s="184"/>
      <c r="KPI283" s="186"/>
      <c r="KPJ283" s="183"/>
      <c r="KPK283" s="184"/>
      <c r="KPL283" s="184"/>
      <c r="KPM283" s="184"/>
      <c r="KPN283" s="184"/>
      <c r="KPO283" s="184"/>
      <c r="KPP283" s="184"/>
      <c r="KPQ283" s="184"/>
      <c r="KPX283" s="186"/>
      <c r="KPY283" s="183"/>
      <c r="KPZ283" s="184"/>
      <c r="KQA283" s="184"/>
      <c r="KQB283" s="184"/>
      <c r="KQC283" s="184"/>
      <c r="KQD283" s="184"/>
      <c r="KQE283" s="184"/>
      <c r="KQF283" s="184"/>
      <c r="KQM283" s="186"/>
      <c r="KQN283" s="183"/>
      <c r="KQO283" s="184"/>
      <c r="KQP283" s="184"/>
      <c r="KQQ283" s="184"/>
      <c r="KQR283" s="184"/>
      <c r="KQS283" s="184"/>
      <c r="KQT283" s="184"/>
      <c r="KQU283" s="184"/>
      <c r="KRB283" s="186"/>
      <c r="KRC283" s="183"/>
      <c r="KRD283" s="184"/>
      <c r="KRE283" s="184"/>
      <c r="KRF283" s="184"/>
      <c r="KRG283" s="184"/>
      <c r="KRH283" s="184"/>
      <c r="KRI283" s="184"/>
      <c r="KRJ283" s="184"/>
      <c r="KRQ283" s="186"/>
      <c r="KRR283" s="183"/>
      <c r="KRS283" s="184"/>
      <c r="KRT283" s="184"/>
      <c r="KRU283" s="184"/>
      <c r="KRV283" s="184"/>
      <c r="KRW283" s="184"/>
      <c r="KRX283" s="184"/>
      <c r="KRY283" s="184"/>
      <c r="KSF283" s="186"/>
      <c r="KSG283" s="183"/>
      <c r="KSH283" s="184"/>
      <c r="KSI283" s="184"/>
      <c r="KSJ283" s="184"/>
      <c r="KSK283" s="184"/>
      <c r="KSL283" s="184"/>
      <c r="KSM283" s="184"/>
      <c r="KSN283" s="184"/>
      <c r="KSU283" s="186"/>
      <c r="KSV283" s="183"/>
      <c r="KSW283" s="184"/>
      <c r="KSX283" s="184"/>
      <c r="KSY283" s="184"/>
      <c r="KSZ283" s="184"/>
      <c r="KTA283" s="184"/>
      <c r="KTB283" s="184"/>
      <c r="KTC283" s="184"/>
      <c r="KTJ283" s="186"/>
      <c r="KTK283" s="183"/>
      <c r="KTL283" s="184"/>
      <c r="KTM283" s="184"/>
      <c r="KTN283" s="184"/>
      <c r="KTO283" s="184"/>
      <c r="KTP283" s="184"/>
      <c r="KTQ283" s="184"/>
      <c r="KTR283" s="184"/>
      <c r="KTY283" s="186"/>
      <c r="KTZ283" s="183"/>
      <c r="KUA283" s="184"/>
      <c r="KUB283" s="184"/>
      <c r="KUC283" s="184"/>
      <c r="KUD283" s="184"/>
      <c r="KUE283" s="184"/>
      <c r="KUF283" s="184"/>
      <c r="KUG283" s="184"/>
      <c r="KUN283" s="186"/>
      <c r="KUO283" s="183"/>
      <c r="KUP283" s="184"/>
      <c r="KUQ283" s="184"/>
      <c r="KUR283" s="184"/>
      <c r="KUS283" s="184"/>
      <c r="KUT283" s="184"/>
      <c r="KUU283" s="184"/>
      <c r="KUV283" s="184"/>
      <c r="KVC283" s="186"/>
      <c r="KVD283" s="183"/>
      <c r="KVE283" s="184"/>
      <c r="KVF283" s="184"/>
      <c r="KVG283" s="184"/>
      <c r="KVH283" s="184"/>
      <c r="KVI283" s="184"/>
      <c r="KVJ283" s="184"/>
      <c r="KVK283" s="184"/>
      <c r="KVR283" s="186"/>
      <c r="KVS283" s="183"/>
      <c r="KVT283" s="184"/>
      <c r="KVU283" s="184"/>
      <c r="KVV283" s="184"/>
      <c r="KVW283" s="184"/>
      <c r="KVX283" s="184"/>
      <c r="KVY283" s="184"/>
      <c r="KVZ283" s="184"/>
      <c r="KWG283" s="186"/>
      <c r="KWH283" s="183"/>
      <c r="KWI283" s="184"/>
      <c r="KWJ283" s="184"/>
      <c r="KWK283" s="184"/>
      <c r="KWL283" s="184"/>
      <c r="KWM283" s="184"/>
      <c r="KWN283" s="184"/>
      <c r="KWO283" s="184"/>
      <c r="KWV283" s="186"/>
      <c r="KWW283" s="183"/>
      <c r="KWX283" s="184"/>
      <c r="KWY283" s="184"/>
      <c r="KWZ283" s="184"/>
      <c r="KXA283" s="184"/>
      <c r="KXB283" s="184"/>
      <c r="KXC283" s="184"/>
      <c r="KXD283" s="184"/>
      <c r="KXK283" s="186"/>
      <c r="KXL283" s="183"/>
      <c r="KXM283" s="184"/>
      <c r="KXN283" s="184"/>
      <c r="KXO283" s="184"/>
      <c r="KXP283" s="184"/>
      <c r="KXQ283" s="184"/>
      <c r="KXR283" s="184"/>
      <c r="KXS283" s="184"/>
      <c r="KXZ283" s="186"/>
      <c r="KYA283" s="183"/>
      <c r="KYB283" s="184"/>
      <c r="KYC283" s="184"/>
      <c r="KYD283" s="184"/>
      <c r="KYE283" s="184"/>
      <c r="KYF283" s="184"/>
      <c r="KYG283" s="184"/>
      <c r="KYH283" s="184"/>
      <c r="KYO283" s="186"/>
      <c r="KYP283" s="183"/>
      <c r="KYQ283" s="184"/>
      <c r="KYR283" s="184"/>
      <c r="KYS283" s="184"/>
      <c r="KYT283" s="184"/>
      <c r="KYU283" s="184"/>
      <c r="KYV283" s="184"/>
      <c r="KYW283" s="184"/>
      <c r="KZD283" s="186"/>
      <c r="KZE283" s="183"/>
      <c r="KZF283" s="184"/>
      <c r="KZG283" s="184"/>
      <c r="KZH283" s="184"/>
      <c r="KZI283" s="184"/>
      <c r="KZJ283" s="184"/>
      <c r="KZK283" s="184"/>
      <c r="KZL283" s="184"/>
      <c r="KZS283" s="186"/>
      <c r="KZT283" s="183"/>
      <c r="KZU283" s="184"/>
      <c r="KZV283" s="184"/>
      <c r="KZW283" s="184"/>
      <c r="KZX283" s="184"/>
      <c r="KZY283" s="184"/>
      <c r="KZZ283" s="184"/>
      <c r="LAA283" s="184"/>
      <c r="LAH283" s="186"/>
      <c r="LAI283" s="183"/>
      <c r="LAJ283" s="184"/>
      <c r="LAK283" s="184"/>
      <c r="LAL283" s="184"/>
      <c r="LAM283" s="184"/>
      <c r="LAN283" s="184"/>
      <c r="LAO283" s="184"/>
      <c r="LAP283" s="184"/>
      <c r="LAW283" s="186"/>
      <c r="LAX283" s="183"/>
      <c r="LAY283" s="184"/>
      <c r="LAZ283" s="184"/>
      <c r="LBA283" s="184"/>
      <c r="LBB283" s="184"/>
      <c r="LBC283" s="184"/>
      <c r="LBD283" s="184"/>
      <c r="LBE283" s="184"/>
      <c r="LBL283" s="186"/>
      <c r="LBM283" s="183"/>
      <c r="LBN283" s="184"/>
      <c r="LBO283" s="184"/>
      <c r="LBP283" s="184"/>
      <c r="LBQ283" s="184"/>
      <c r="LBR283" s="184"/>
      <c r="LBS283" s="184"/>
      <c r="LBT283" s="184"/>
      <c r="LCA283" s="186"/>
      <c r="LCB283" s="183"/>
      <c r="LCC283" s="184"/>
      <c r="LCD283" s="184"/>
      <c r="LCE283" s="184"/>
      <c r="LCF283" s="184"/>
      <c r="LCG283" s="184"/>
      <c r="LCH283" s="184"/>
      <c r="LCI283" s="184"/>
      <c r="LCP283" s="186"/>
      <c r="LCQ283" s="183"/>
      <c r="LCR283" s="184"/>
      <c r="LCS283" s="184"/>
      <c r="LCT283" s="184"/>
      <c r="LCU283" s="184"/>
      <c r="LCV283" s="184"/>
      <c r="LCW283" s="184"/>
      <c r="LCX283" s="184"/>
      <c r="LDE283" s="186"/>
      <c r="LDF283" s="183"/>
      <c r="LDG283" s="184"/>
      <c r="LDH283" s="184"/>
      <c r="LDI283" s="184"/>
      <c r="LDJ283" s="184"/>
      <c r="LDK283" s="184"/>
      <c r="LDL283" s="184"/>
      <c r="LDM283" s="184"/>
      <c r="LDT283" s="186"/>
      <c r="LDU283" s="183"/>
      <c r="LDV283" s="184"/>
      <c r="LDW283" s="184"/>
      <c r="LDX283" s="184"/>
      <c r="LDY283" s="184"/>
      <c r="LDZ283" s="184"/>
      <c r="LEA283" s="184"/>
      <c r="LEB283" s="184"/>
      <c r="LEI283" s="186"/>
      <c r="LEJ283" s="183"/>
      <c r="LEK283" s="184"/>
      <c r="LEL283" s="184"/>
      <c r="LEM283" s="184"/>
      <c r="LEN283" s="184"/>
      <c r="LEO283" s="184"/>
      <c r="LEP283" s="184"/>
      <c r="LEQ283" s="184"/>
      <c r="LEX283" s="186"/>
      <c r="LEY283" s="183"/>
      <c r="LEZ283" s="184"/>
      <c r="LFA283" s="184"/>
      <c r="LFB283" s="184"/>
      <c r="LFC283" s="184"/>
      <c r="LFD283" s="184"/>
      <c r="LFE283" s="184"/>
      <c r="LFF283" s="184"/>
      <c r="LFM283" s="186"/>
      <c r="LFN283" s="183"/>
      <c r="LFO283" s="184"/>
      <c r="LFP283" s="184"/>
      <c r="LFQ283" s="184"/>
      <c r="LFR283" s="184"/>
      <c r="LFS283" s="184"/>
      <c r="LFT283" s="184"/>
      <c r="LFU283" s="184"/>
      <c r="LGB283" s="186"/>
      <c r="LGC283" s="183"/>
      <c r="LGD283" s="184"/>
      <c r="LGE283" s="184"/>
      <c r="LGF283" s="184"/>
      <c r="LGG283" s="184"/>
      <c r="LGH283" s="184"/>
      <c r="LGI283" s="184"/>
      <c r="LGJ283" s="184"/>
      <c r="LGQ283" s="186"/>
      <c r="LGR283" s="183"/>
      <c r="LGS283" s="184"/>
      <c r="LGT283" s="184"/>
      <c r="LGU283" s="184"/>
      <c r="LGV283" s="184"/>
      <c r="LGW283" s="184"/>
      <c r="LGX283" s="184"/>
      <c r="LGY283" s="184"/>
      <c r="LHF283" s="186"/>
      <c r="LHG283" s="183"/>
      <c r="LHH283" s="184"/>
      <c r="LHI283" s="184"/>
      <c r="LHJ283" s="184"/>
      <c r="LHK283" s="184"/>
      <c r="LHL283" s="184"/>
      <c r="LHM283" s="184"/>
      <c r="LHN283" s="184"/>
      <c r="LHU283" s="186"/>
      <c r="LHV283" s="183"/>
      <c r="LHW283" s="184"/>
      <c r="LHX283" s="184"/>
      <c r="LHY283" s="184"/>
      <c r="LHZ283" s="184"/>
      <c r="LIA283" s="184"/>
      <c r="LIB283" s="184"/>
      <c r="LIC283" s="184"/>
      <c r="LIJ283" s="186"/>
      <c r="LIK283" s="183"/>
      <c r="LIL283" s="184"/>
      <c r="LIM283" s="184"/>
      <c r="LIN283" s="184"/>
      <c r="LIO283" s="184"/>
      <c r="LIP283" s="184"/>
      <c r="LIQ283" s="184"/>
      <c r="LIR283" s="184"/>
      <c r="LIY283" s="186"/>
      <c r="LIZ283" s="183"/>
      <c r="LJA283" s="184"/>
      <c r="LJB283" s="184"/>
      <c r="LJC283" s="184"/>
      <c r="LJD283" s="184"/>
      <c r="LJE283" s="184"/>
      <c r="LJF283" s="184"/>
      <c r="LJG283" s="184"/>
      <c r="LJN283" s="186"/>
      <c r="LJO283" s="183"/>
      <c r="LJP283" s="184"/>
      <c r="LJQ283" s="184"/>
      <c r="LJR283" s="184"/>
      <c r="LJS283" s="184"/>
      <c r="LJT283" s="184"/>
      <c r="LJU283" s="184"/>
      <c r="LJV283" s="184"/>
      <c r="LKC283" s="186"/>
      <c r="LKD283" s="183"/>
      <c r="LKE283" s="184"/>
      <c r="LKF283" s="184"/>
      <c r="LKG283" s="184"/>
      <c r="LKH283" s="184"/>
      <c r="LKI283" s="184"/>
      <c r="LKJ283" s="184"/>
      <c r="LKK283" s="184"/>
      <c r="LKR283" s="186"/>
      <c r="LKS283" s="183"/>
      <c r="LKT283" s="184"/>
      <c r="LKU283" s="184"/>
      <c r="LKV283" s="184"/>
      <c r="LKW283" s="184"/>
      <c r="LKX283" s="184"/>
      <c r="LKY283" s="184"/>
      <c r="LKZ283" s="184"/>
      <c r="LLG283" s="186"/>
      <c r="LLH283" s="183"/>
      <c r="LLI283" s="184"/>
      <c r="LLJ283" s="184"/>
      <c r="LLK283" s="184"/>
      <c r="LLL283" s="184"/>
      <c r="LLM283" s="184"/>
      <c r="LLN283" s="184"/>
      <c r="LLO283" s="184"/>
      <c r="LLV283" s="186"/>
      <c r="LLW283" s="183"/>
      <c r="LLX283" s="184"/>
      <c r="LLY283" s="184"/>
      <c r="LLZ283" s="184"/>
      <c r="LMA283" s="184"/>
      <c r="LMB283" s="184"/>
      <c r="LMC283" s="184"/>
      <c r="LMD283" s="184"/>
      <c r="LMK283" s="186"/>
      <c r="LML283" s="183"/>
      <c r="LMM283" s="184"/>
      <c r="LMN283" s="184"/>
      <c r="LMO283" s="184"/>
      <c r="LMP283" s="184"/>
      <c r="LMQ283" s="184"/>
      <c r="LMR283" s="184"/>
      <c r="LMS283" s="184"/>
      <c r="LMZ283" s="186"/>
      <c r="LNA283" s="183"/>
      <c r="LNB283" s="184"/>
      <c r="LNC283" s="184"/>
      <c r="LND283" s="184"/>
      <c r="LNE283" s="184"/>
      <c r="LNF283" s="184"/>
      <c r="LNG283" s="184"/>
      <c r="LNH283" s="184"/>
      <c r="LNO283" s="186"/>
      <c r="LNP283" s="183"/>
      <c r="LNQ283" s="184"/>
      <c r="LNR283" s="184"/>
      <c r="LNS283" s="184"/>
      <c r="LNT283" s="184"/>
      <c r="LNU283" s="184"/>
      <c r="LNV283" s="184"/>
      <c r="LNW283" s="184"/>
      <c r="LOD283" s="186"/>
      <c r="LOE283" s="183"/>
      <c r="LOF283" s="184"/>
      <c r="LOG283" s="184"/>
      <c r="LOH283" s="184"/>
      <c r="LOI283" s="184"/>
      <c r="LOJ283" s="184"/>
      <c r="LOK283" s="184"/>
      <c r="LOL283" s="184"/>
      <c r="LOS283" s="186"/>
      <c r="LOT283" s="183"/>
      <c r="LOU283" s="184"/>
      <c r="LOV283" s="184"/>
      <c r="LOW283" s="184"/>
      <c r="LOX283" s="184"/>
      <c r="LOY283" s="184"/>
      <c r="LOZ283" s="184"/>
      <c r="LPA283" s="184"/>
      <c r="LPH283" s="186"/>
      <c r="LPI283" s="183"/>
      <c r="LPJ283" s="184"/>
      <c r="LPK283" s="184"/>
      <c r="LPL283" s="184"/>
      <c r="LPM283" s="184"/>
      <c r="LPN283" s="184"/>
      <c r="LPO283" s="184"/>
      <c r="LPP283" s="184"/>
      <c r="LPW283" s="186"/>
      <c r="LPX283" s="183"/>
      <c r="LPY283" s="184"/>
      <c r="LPZ283" s="184"/>
      <c r="LQA283" s="184"/>
      <c r="LQB283" s="184"/>
      <c r="LQC283" s="184"/>
      <c r="LQD283" s="184"/>
      <c r="LQE283" s="184"/>
      <c r="LQL283" s="186"/>
      <c r="LQM283" s="183"/>
      <c r="LQN283" s="184"/>
      <c r="LQO283" s="184"/>
      <c r="LQP283" s="184"/>
      <c r="LQQ283" s="184"/>
      <c r="LQR283" s="184"/>
      <c r="LQS283" s="184"/>
      <c r="LQT283" s="184"/>
      <c r="LRA283" s="186"/>
      <c r="LRB283" s="183"/>
      <c r="LRC283" s="184"/>
      <c r="LRD283" s="184"/>
      <c r="LRE283" s="184"/>
      <c r="LRF283" s="184"/>
      <c r="LRG283" s="184"/>
      <c r="LRH283" s="184"/>
      <c r="LRI283" s="184"/>
      <c r="LRP283" s="186"/>
      <c r="LRQ283" s="183"/>
      <c r="LRR283" s="184"/>
      <c r="LRS283" s="184"/>
      <c r="LRT283" s="184"/>
      <c r="LRU283" s="184"/>
      <c r="LRV283" s="184"/>
      <c r="LRW283" s="184"/>
      <c r="LRX283" s="184"/>
      <c r="LSE283" s="186"/>
      <c r="LSF283" s="183"/>
      <c r="LSG283" s="184"/>
      <c r="LSH283" s="184"/>
      <c r="LSI283" s="184"/>
      <c r="LSJ283" s="184"/>
      <c r="LSK283" s="184"/>
      <c r="LSL283" s="184"/>
      <c r="LSM283" s="184"/>
      <c r="LST283" s="186"/>
      <c r="LSU283" s="183"/>
      <c r="LSV283" s="184"/>
      <c r="LSW283" s="184"/>
      <c r="LSX283" s="184"/>
      <c r="LSY283" s="184"/>
      <c r="LSZ283" s="184"/>
      <c r="LTA283" s="184"/>
      <c r="LTB283" s="184"/>
      <c r="LTI283" s="186"/>
      <c r="LTJ283" s="183"/>
      <c r="LTK283" s="184"/>
      <c r="LTL283" s="184"/>
      <c r="LTM283" s="184"/>
      <c r="LTN283" s="184"/>
      <c r="LTO283" s="184"/>
      <c r="LTP283" s="184"/>
      <c r="LTQ283" s="184"/>
      <c r="LTX283" s="186"/>
      <c r="LTY283" s="183"/>
      <c r="LTZ283" s="184"/>
      <c r="LUA283" s="184"/>
      <c r="LUB283" s="184"/>
      <c r="LUC283" s="184"/>
      <c r="LUD283" s="184"/>
      <c r="LUE283" s="184"/>
      <c r="LUF283" s="184"/>
      <c r="LUM283" s="186"/>
      <c r="LUN283" s="183"/>
      <c r="LUO283" s="184"/>
      <c r="LUP283" s="184"/>
      <c r="LUQ283" s="184"/>
      <c r="LUR283" s="184"/>
      <c r="LUS283" s="184"/>
      <c r="LUT283" s="184"/>
      <c r="LUU283" s="184"/>
      <c r="LVB283" s="186"/>
      <c r="LVC283" s="183"/>
      <c r="LVD283" s="184"/>
      <c r="LVE283" s="184"/>
      <c r="LVF283" s="184"/>
      <c r="LVG283" s="184"/>
      <c r="LVH283" s="184"/>
      <c r="LVI283" s="184"/>
      <c r="LVJ283" s="184"/>
      <c r="LVQ283" s="186"/>
      <c r="LVR283" s="183"/>
      <c r="LVS283" s="184"/>
      <c r="LVT283" s="184"/>
      <c r="LVU283" s="184"/>
      <c r="LVV283" s="184"/>
      <c r="LVW283" s="184"/>
      <c r="LVX283" s="184"/>
      <c r="LVY283" s="184"/>
      <c r="LWF283" s="186"/>
      <c r="LWG283" s="183"/>
      <c r="LWH283" s="184"/>
      <c r="LWI283" s="184"/>
      <c r="LWJ283" s="184"/>
      <c r="LWK283" s="184"/>
      <c r="LWL283" s="184"/>
      <c r="LWM283" s="184"/>
      <c r="LWN283" s="184"/>
      <c r="LWU283" s="186"/>
      <c r="LWV283" s="183"/>
      <c r="LWW283" s="184"/>
      <c r="LWX283" s="184"/>
      <c r="LWY283" s="184"/>
      <c r="LWZ283" s="184"/>
      <c r="LXA283" s="184"/>
      <c r="LXB283" s="184"/>
      <c r="LXC283" s="184"/>
      <c r="LXJ283" s="186"/>
      <c r="LXK283" s="183"/>
      <c r="LXL283" s="184"/>
      <c r="LXM283" s="184"/>
      <c r="LXN283" s="184"/>
      <c r="LXO283" s="184"/>
      <c r="LXP283" s="184"/>
      <c r="LXQ283" s="184"/>
      <c r="LXR283" s="184"/>
      <c r="LXY283" s="186"/>
      <c r="LXZ283" s="183"/>
      <c r="LYA283" s="184"/>
      <c r="LYB283" s="184"/>
      <c r="LYC283" s="184"/>
      <c r="LYD283" s="184"/>
      <c r="LYE283" s="184"/>
      <c r="LYF283" s="184"/>
      <c r="LYG283" s="184"/>
      <c r="LYN283" s="186"/>
      <c r="LYO283" s="183"/>
      <c r="LYP283" s="184"/>
      <c r="LYQ283" s="184"/>
      <c r="LYR283" s="184"/>
      <c r="LYS283" s="184"/>
      <c r="LYT283" s="184"/>
      <c r="LYU283" s="184"/>
      <c r="LYV283" s="184"/>
      <c r="LZC283" s="186"/>
      <c r="LZD283" s="183"/>
      <c r="LZE283" s="184"/>
      <c r="LZF283" s="184"/>
      <c r="LZG283" s="184"/>
      <c r="LZH283" s="184"/>
      <c r="LZI283" s="184"/>
      <c r="LZJ283" s="184"/>
      <c r="LZK283" s="184"/>
      <c r="LZR283" s="186"/>
      <c r="LZS283" s="183"/>
      <c r="LZT283" s="184"/>
      <c r="LZU283" s="184"/>
      <c r="LZV283" s="184"/>
      <c r="LZW283" s="184"/>
      <c r="LZX283" s="184"/>
      <c r="LZY283" s="184"/>
      <c r="LZZ283" s="184"/>
      <c r="MAG283" s="186"/>
      <c r="MAH283" s="183"/>
      <c r="MAI283" s="184"/>
      <c r="MAJ283" s="184"/>
      <c r="MAK283" s="184"/>
      <c r="MAL283" s="184"/>
      <c r="MAM283" s="184"/>
      <c r="MAN283" s="184"/>
      <c r="MAO283" s="184"/>
      <c r="MAV283" s="186"/>
      <c r="MAW283" s="183"/>
      <c r="MAX283" s="184"/>
      <c r="MAY283" s="184"/>
      <c r="MAZ283" s="184"/>
      <c r="MBA283" s="184"/>
      <c r="MBB283" s="184"/>
      <c r="MBC283" s="184"/>
      <c r="MBD283" s="184"/>
      <c r="MBK283" s="186"/>
      <c r="MBL283" s="183"/>
      <c r="MBM283" s="184"/>
      <c r="MBN283" s="184"/>
      <c r="MBO283" s="184"/>
      <c r="MBP283" s="184"/>
      <c r="MBQ283" s="184"/>
      <c r="MBR283" s="184"/>
      <c r="MBS283" s="184"/>
      <c r="MBZ283" s="186"/>
      <c r="MCA283" s="183"/>
      <c r="MCB283" s="184"/>
      <c r="MCC283" s="184"/>
      <c r="MCD283" s="184"/>
      <c r="MCE283" s="184"/>
      <c r="MCF283" s="184"/>
      <c r="MCG283" s="184"/>
      <c r="MCH283" s="184"/>
      <c r="MCO283" s="186"/>
      <c r="MCP283" s="183"/>
      <c r="MCQ283" s="184"/>
      <c r="MCR283" s="184"/>
      <c r="MCS283" s="184"/>
      <c r="MCT283" s="184"/>
      <c r="MCU283" s="184"/>
      <c r="MCV283" s="184"/>
      <c r="MCW283" s="184"/>
      <c r="MDD283" s="186"/>
      <c r="MDE283" s="183"/>
      <c r="MDF283" s="184"/>
      <c r="MDG283" s="184"/>
      <c r="MDH283" s="184"/>
      <c r="MDI283" s="184"/>
      <c r="MDJ283" s="184"/>
      <c r="MDK283" s="184"/>
      <c r="MDL283" s="184"/>
      <c r="MDS283" s="186"/>
      <c r="MDT283" s="183"/>
      <c r="MDU283" s="184"/>
      <c r="MDV283" s="184"/>
      <c r="MDW283" s="184"/>
      <c r="MDX283" s="184"/>
      <c r="MDY283" s="184"/>
      <c r="MDZ283" s="184"/>
      <c r="MEA283" s="184"/>
      <c r="MEH283" s="186"/>
      <c r="MEI283" s="183"/>
      <c r="MEJ283" s="184"/>
      <c r="MEK283" s="184"/>
      <c r="MEL283" s="184"/>
      <c r="MEM283" s="184"/>
      <c r="MEN283" s="184"/>
      <c r="MEO283" s="184"/>
      <c r="MEP283" s="184"/>
      <c r="MEW283" s="186"/>
      <c r="MEX283" s="183"/>
      <c r="MEY283" s="184"/>
      <c r="MEZ283" s="184"/>
      <c r="MFA283" s="184"/>
      <c r="MFB283" s="184"/>
      <c r="MFC283" s="184"/>
      <c r="MFD283" s="184"/>
      <c r="MFE283" s="184"/>
      <c r="MFL283" s="186"/>
      <c r="MFM283" s="183"/>
      <c r="MFN283" s="184"/>
      <c r="MFO283" s="184"/>
      <c r="MFP283" s="184"/>
      <c r="MFQ283" s="184"/>
      <c r="MFR283" s="184"/>
      <c r="MFS283" s="184"/>
      <c r="MFT283" s="184"/>
      <c r="MGA283" s="186"/>
      <c r="MGB283" s="183"/>
      <c r="MGC283" s="184"/>
      <c r="MGD283" s="184"/>
      <c r="MGE283" s="184"/>
      <c r="MGF283" s="184"/>
      <c r="MGG283" s="184"/>
      <c r="MGH283" s="184"/>
      <c r="MGI283" s="184"/>
      <c r="MGP283" s="186"/>
      <c r="MGQ283" s="183"/>
      <c r="MGR283" s="184"/>
      <c r="MGS283" s="184"/>
      <c r="MGT283" s="184"/>
      <c r="MGU283" s="184"/>
      <c r="MGV283" s="184"/>
      <c r="MGW283" s="184"/>
      <c r="MGX283" s="184"/>
      <c r="MHE283" s="186"/>
      <c r="MHF283" s="183"/>
      <c r="MHG283" s="184"/>
      <c r="MHH283" s="184"/>
      <c r="MHI283" s="184"/>
      <c r="MHJ283" s="184"/>
      <c r="MHK283" s="184"/>
      <c r="MHL283" s="184"/>
      <c r="MHM283" s="184"/>
      <c r="MHT283" s="186"/>
      <c r="MHU283" s="183"/>
      <c r="MHV283" s="184"/>
      <c r="MHW283" s="184"/>
      <c r="MHX283" s="184"/>
      <c r="MHY283" s="184"/>
      <c r="MHZ283" s="184"/>
      <c r="MIA283" s="184"/>
      <c r="MIB283" s="184"/>
      <c r="MII283" s="186"/>
      <c r="MIJ283" s="183"/>
      <c r="MIK283" s="184"/>
      <c r="MIL283" s="184"/>
      <c r="MIM283" s="184"/>
      <c r="MIN283" s="184"/>
      <c r="MIO283" s="184"/>
      <c r="MIP283" s="184"/>
      <c r="MIQ283" s="184"/>
      <c r="MIX283" s="186"/>
      <c r="MIY283" s="183"/>
      <c r="MIZ283" s="184"/>
      <c r="MJA283" s="184"/>
      <c r="MJB283" s="184"/>
      <c r="MJC283" s="184"/>
      <c r="MJD283" s="184"/>
      <c r="MJE283" s="184"/>
      <c r="MJF283" s="184"/>
      <c r="MJM283" s="186"/>
      <c r="MJN283" s="183"/>
      <c r="MJO283" s="184"/>
      <c r="MJP283" s="184"/>
      <c r="MJQ283" s="184"/>
      <c r="MJR283" s="184"/>
      <c r="MJS283" s="184"/>
      <c r="MJT283" s="184"/>
      <c r="MJU283" s="184"/>
      <c r="MKB283" s="186"/>
      <c r="MKC283" s="183"/>
      <c r="MKD283" s="184"/>
      <c r="MKE283" s="184"/>
      <c r="MKF283" s="184"/>
      <c r="MKG283" s="184"/>
      <c r="MKH283" s="184"/>
      <c r="MKI283" s="184"/>
      <c r="MKJ283" s="184"/>
      <c r="MKQ283" s="186"/>
      <c r="MKR283" s="183"/>
      <c r="MKS283" s="184"/>
      <c r="MKT283" s="184"/>
      <c r="MKU283" s="184"/>
      <c r="MKV283" s="184"/>
      <c r="MKW283" s="184"/>
      <c r="MKX283" s="184"/>
      <c r="MKY283" s="184"/>
      <c r="MLF283" s="186"/>
      <c r="MLG283" s="183"/>
      <c r="MLH283" s="184"/>
      <c r="MLI283" s="184"/>
      <c r="MLJ283" s="184"/>
      <c r="MLK283" s="184"/>
      <c r="MLL283" s="184"/>
      <c r="MLM283" s="184"/>
      <c r="MLN283" s="184"/>
      <c r="MLU283" s="186"/>
      <c r="MLV283" s="183"/>
      <c r="MLW283" s="184"/>
      <c r="MLX283" s="184"/>
      <c r="MLY283" s="184"/>
      <c r="MLZ283" s="184"/>
      <c r="MMA283" s="184"/>
      <c r="MMB283" s="184"/>
      <c r="MMC283" s="184"/>
      <c r="MMJ283" s="186"/>
      <c r="MMK283" s="183"/>
      <c r="MML283" s="184"/>
      <c r="MMM283" s="184"/>
      <c r="MMN283" s="184"/>
      <c r="MMO283" s="184"/>
      <c r="MMP283" s="184"/>
      <c r="MMQ283" s="184"/>
      <c r="MMR283" s="184"/>
      <c r="MMY283" s="186"/>
      <c r="MMZ283" s="183"/>
      <c r="MNA283" s="184"/>
      <c r="MNB283" s="184"/>
      <c r="MNC283" s="184"/>
      <c r="MND283" s="184"/>
      <c r="MNE283" s="184"/>
      <c r="MNF283" s="184"/>
      <c r="MNG283" s="184"/>
      <c r="MNN283" s="186"/>
      <c r="MNO283" s="183"/>
      <c r="MNP283" s="184"/>
      <c r="MNQ283" s="184"/>
      <c r="MNR283" s="184"/>
      <c r="MNS283" s="184"/>
      <c r="MNT283" s="184"/>
      <c r="MNU283" s="184"/>
      <c r="MNV283" s="184"/>
      <c r="MOC283" s="186"/>
      <c r="MOD283" s="183"/>
      <c r="MOE283" s="184"/>
      <c r="MOF283" s="184"/>
      <c r="MOG283" s="184"/>
      <c r="MOH283" s="184"/>
      <c r="MOI283" s="184"/>
      <c r="MOJ283" s="184"/>
      <c r="MOK283" s="184"/>
      <c r="MOR283" s="186"/>
      <c r="MOS283" s="183"/>
      <c r="MOT283" s="184"/>
      <c r="MOU283" s="184"/>
      <c r="MOV283" s="184"/>
      <c r="MOW283" s="184"/>
      <c r="MOX283" s="184"/>
      <c r="MOY283" s="184"/>
      <c r="MOZ283" s="184"/>
      <c r="MPG283" s="186"/>
      <c r="MPH283" s="183"/>
      <c r="MPI283" s="184"/>
      <c r="MPJ283" s="184"/>
      <c r="MPK283" s="184"/>
      <c r="MPL283" s="184"/>
      <c r="MPM283" s="184"/>
      <c r="MPN283" s="184"/>
      <c r="MPO283" s="184"/>
      <c r="MPV283" s="186"/>
      <c r="MPW283" s="183"/>
      <c r="MPX283" s="184"/>
      <c r="MPY283" s="184"/>
      <c r="MPZ283" s="184"/>
      <c r="MQA283" s="184"/>
      <c r="MQB283" s="184"/>
      <c r="MQC283" s="184"/>
      <c r="MQD283" s="184"/>
      <c r="MQK283" s="186"/>
      <c r="MQL283" s="183"/>
      <c r="MQM283" s="184"/>
      <c r="MQN283" s="184"/>
      <c r="MQO283" s="184"/>
      <c r="MQP283" s="184"/>
      <c r="MQQ283" s="184"/>
      <c r="MQR283" s="184"/>
      <c r="MQS283" s="184"/>
      <c r="MQZ283" s="186"/>
      <c r="MRA283" s="183"/>
      <c r="MRB283" s="184"/>
      <c r="MRC283" s="184"/>
      <c r="MRD283" s="184"/>
      <c r="MRE283" s="184"/>
      <c r="MRF283" s="184"/>
      <c r="MRG283" s="184"/>
      <c r="MRH283" s="184"/>
      <c r="MRO283" s="186"/>
      <c r="MRP283" s="183"/>
      <c r="MRQ283" s="184"/>
      <c r="MRR283" s="184"/>
      <c r="MRS283" s="184"/>
      <c r="MRT283" s="184"/>
      <c r="MRU283" s="184"/>
      <c r="MRV283" s="184"/>
      <c r="MRW283" s="184"/>
      <c r="MSD283" s="186"/>
      <c r="MSE283" s="183"/>
      <c r="MSF283" s="184"/>
      <c r="MSG283" s="184"/>
      <c r="MSH283" s="184"/>
      <c r="MSI283" s="184"/>
      <c r="MSJ283" s="184"/>
      <c r="MSK283" s="184"/>
      <c r="MSL283" s="184"/>
      <c r="MSS283" s="186"/>
      <c r="MST283" s="183"/>
      <c r="MSU283" s="184"/>
      <c r="MSV283" s="184"/>
      <c r="MSW283" s="184"/>
      <c r="MSX283" s="184"/>
      <c r="MSY283" s="184"/>
      <c r="MSZ283" s="184"/>
      <c r="MTA283" s="184"/>
      <c r="MTH283" s="186"/>
      <c r="MTI283" s="183"/>
      <c r="MTJ283" s="184"/>
      <c r="MTK283" s="184"/>
      <c r="MTL283" s="184"/>
      <c r="MTM283" s="184"/>
      <c r="MTN283" s="184"/>
      <c r="MTO283" s="184"/>
      <c r="MTP283" s="184"/>
      <c r="MTW283" s="186"/>
      <c r="MTX283" s="183"/>
      <c r="MTY283" s="184"/>
      <c r="MTZ283" s="184"/>
      <c r="MUA283" s="184"/>
      <c r="MUB283" s="184"/>
      <c r="MUC283" s="184"/>
      <c r="MUD283" s="184"/>
      <c r="MUE283" s="184"/>
      <c r="MUL283" s="186"/>
      <c r="MUM283" s="183"/>
      <c r="MUN283" s="184"/>
      <c r="MUO283" s="184"/>
      <c r="MUP283" s="184"/>
      <c r="MUQ283" s="184"/>
      <c r="MUR283" s="184"/>
      <c r="MUS283" s="184"/>
      <c r="MUT283" s="184"/>
      <c r="MVA283" s="186"/>
      <c r="MVB283" s="183"/>
      <c r="MVC283" s="184"/>
      <c r="MVD283" s="184"/>
      <c r="MVE283" s="184"/>
      <c r="MVF283" s="184"/>
      <c r="MVG283" s="184"/>
      <c r="MVH283" s="184"/>
      <c r="MVI283" s="184"/>
      <c r="MVP283" s="186"/>
      <c r="MVQ283" s="183"/>
      <c r="MVR283" s="184"/>
      <c r="MVS283" s="184"/>
      <c r="MVT283" s="184"/>
      <c r="MVU283" s="184"/>
      <c r="MVV283" s="184"/>
      <c r="MVW283" s="184"/>
      <c r="MVX283" s="184"/>
      <c r="MWE283" s="186"/>
      <c r="MWF283" s="183"/>
      <c r="MWG283" s="184"/>
      <c r="MWH283" s="184"/>
      <c r="MWI283" s="184"/>
      <c r="MWJ283" s="184"/>
      <c r="MWK283" s="184"/>
      <c r="MWL283" s="184"/>
      <c r="MWM283" s="184"/>
      <c r="MWT283" s="186"/>
      <c r="MWU283" s="183"/>
      <c r="MWV283" s="184"/>
      <c r="MWW283" s="184"/>
      <c r="MWX283" s="184"/>
      <c r="MWY283" s="184"/>
      <c r="MWZ283" s="184"/>
      <c r="MXA283" s="184"/>
      <c r="MXB283" s="184"/>
      <c r="MXI283" s="186"/>
      <c r="MXJ283" s="183"/>
      <c r="MXK283" s="184"/>
      <c r="MXL283" s="184"/>
      <c r="MXM283" s="184"/>
      <c r="MXN283" s="184"/>
      <c r="MXO283" s="184"/>
      <c r="MXP283" s="184"/>
      <c r="MXQ283" s="184"/>
      <c r="MXX283" s="186"/>
      <c r="MXY283" s="183"/>
      <c r="MXZ283" s="184"/>
      <c r="MYA283" s="184"/>
      <c r="MYB283" s="184"/>
      <c r="MYC283" s="184"/>
      <c r="MYD283" s="184"/>
      <c r="MYE283" s="184"/>
      <c r="MYF283" s="184"/>
      <c r="MYM283" s="186"/>
      <c r="MYN283" s="183"/>
      <c r="MYO283" s="184"/>
      <c r="MYP283" s="184"/>
      <c r="MYQ283" s="184"/>
      <c r="MYR283" s="184"/>
      <c r="MYS283" s="184"/>
      <c r="MYT283" s="184"/>
      <c r="MYU283" s="184"/>
      <c r="MZB283" s="186"/>
      <c r="MZC283" s="183"/>
      <c r="MZD283" s="184"/>
      <c r="MZE283" s="184"/>
      <c r="MZF283" s="184"/>
      <c r="MZG283" s="184"/>
      <c r="MZH283" s="184"/>
      <c r="MZI283" s="184"/>
      <c r="MZJ283" s="184"/>
      <c r="MZQ283" s="186"/>
      <c r="MZR283" s="183"/>
      <c r="MZS283" s="184"/>
      <c r="MZT283" s="184"/>
      <c r="MZU283" s="184"/>
      <c r="MZV283" s="184"/>
      <c r="MZW283" s="184"/>
      <c r="MZX283" s="184"/>
      <c r="MZY283" s="184"/>
      <c r="NAF283" s="186"/>
      <c r="NAG283" s="183"/>
      <c r="NAH283" s="184"/>
      <c r="NAI283" s="184"/>
      <c r="NAJ283" s="184"/>
      <c r="NAK283" s="184"/>
      <c r="NAL283" s="184"/>
      <c r="NAM283" s="184"/>
      <c r="NAN283" s="184"/>
      <c r="NAU283" s="186"/>
      <c r="NAV283" s="183"/>
      <c r="NAW283" s="184"/>
      <c r="NAX283" s="184"/>
      <c r="NAY283" s="184"/>
      <c r="NAZ283" s="184"/>
      <c r="NBA283" s="184"/>
      <c r="NBB283" s="184"/>
      <c r="NBC283" s="184"/>
      <c r="NBJ283" s="186"/>
      <c r="NBK283" s="183"/>
      <c r="NBL283" s="184"/>
      <c r="NBM283" s="184"/>
      <c r="NBN283" s="184"/>
      <c r="NBO283" s="184"/>
      <c r="NBP283" s="184"/>
      <c r="NBQ283" s="184"/>
      <c r="NBR283" s="184"/>
      <c r="NBY283" s="186"/>
      <c r="NBZ283" s="183"/>
      <c r="NCA283" s="184"/>
      <c r="NCB283" s="184"/>
      <c r="NCC283" s="184"/>
      <c r="NCD283" s="184"/>
      <c r="NCE283" s="184"/>
      <c r="NCF283" s="184"/>
      <c r="NCG283" s="184"/>
      <c r="NCN283" s="186"/>
      <c r="NCO283" s="183"/>
      <c r="NCP283" s="184"/>
      <c r="NCQ283" s="184"/>
      <c r="NCR283" s="184"/>
      <c r="NCS283" s="184"/>
      <c r="NCT283" s="184"/>
      <c r="NCU283" s="184"/>
      <c r="NCV283" s="184"/>
      <c r="NDC283" s="186"/>
      <c r="NDD283" s="183"/>
      <c r="NDE283" s="184"/>
      <c r="NDF283" s="184"/>
      <c r="NDG283" s="184"/>
      <c r="NDH283" s="184"/>
      <c r="NDI283" s="184"/>
      <c r="NDJ283" s="184"/>
      <c r="NDK283" s="184"/>
      <c r="NDR283" s="186"/>
      <c r="NDS283" s="183"/>
      <c r="NDT283" s="184"/>
      <c r="NDU283" s="184"/>
      <c r="NDV283" s="184"/>
      <c r="NDW283" s="184"/>
      <c r="NDX283" s="184"/>
      <c r="NDY283" s="184"/>
      <c r="NDZ283" s="184"/>
      <c r="NEG283" s="186"/>
      <c r="NEH283" s="183"/>
      <c r="NEI283" s="184"/>
      <c r="NEJ283" s="184"/>
      <c r="NEK283" s="184"/>
      <c r="NEL283" s="184"/>
      <c r="NEM283" s="184"/>
      <c r="NEN283" s="184"/>
      <c r="NEO283" s="184"/>
      <c r="NEV283" s="186"/>
      <c r="NEW283" s="183"/>
      <c r="NEX283" s="184"/>
      <c r="NEY283" s="184"/>
      <c r="NEZ283" s="184"/>
      <c r="NFA283" s="184"/>
      <c r="NFB283" s="184"/>
      <c r="NFC283" s="184"/>
      <c r="NFD283" s="184"/>
      <c r="NFK283" s="186"/>
      <c r="NFL283" s="183"/>
      <c r="NFM283" s="184"/>
      <c r="NFN283" s="184"/>
      <c r="NFO283" s="184"/>
      <c r="NFP283" s="184"/>
      <c r="NFQ283" s="184"/>
      <c r="NFR283" s="184"/>
      <c r="NFS283" s="184"/>
      <c r="NFZ283" s="186"/>
      <c r="NGA283" s="183"/>
      <c r="NGB283" s="184"/>
      <c r="NGC283" s="184"/>
      <c r="NGD283" s="184"/>
      <c r="NGE283" s="184"/>
      <c r="NGF283" s="184"/>
      <c r="NGG283" s="184"/>
      <c r="NGH283" s="184"/>
      <c r="NGO283" s="186"/>
      <c r="NGP283" s="183"/>
      <c r="NGQ283" s="184"/>
      <c r="NGR283" s="184"/>
      <c r="NGS283" s="184"/>
      <c r="NGT283" s="184"/>
      <c r="NGU283" s="184"/>
      <c r="NGV283" s="184"/>
      <c r="NGW283" s="184"/>
      <c r="NHD283" s="186"/>
      <c r="NHE283" s="183"/>
      <c r="NHF283" s="184"/>
      <c r="NHG283" s="184"/>
      <c r="NHH283" s="184"/>
      <c r="NHI283" s="184"/>
      <c r="NHJ283" s="184"/>
      <c r="NHK283" s="184"/>
      <c r="NHL283" s="184"/>
      <c r="NHS283" s="186"/>
      <c r="NHT283" s="183"/>
      <c r="NHU283" s="184"/>
      <c r="NHV283" s="184"/>
      <c r="NHW283" s="184"/>
      <c r="NHX283" s="184"/>
      <c r="NHY283" s="184"/>
      <c r="NHZ283" s="184"/>
      <c r="NIA283" s="184"/>
      <c r="NIH283" s="186"/>
      <c r="NII283" s="183"/>
      <c r="NIJ283" s="184"/>
      <c r="NIK283" s="184"/>
      <c r="NIL283" s="184"/>
      <c r="NIM283" s="184"/>
      <c r="NIN283" s="184"/>
      <c r="NIO283" s="184"/>
      <c r="NIP283" s="184"/>
      <c r="NIW283" s="186"/>
      <c r="NIX283" s="183"/>
      <c r="NIY283" s="184"/>
      <c r="NIZ283" s="184"/>
      <c r="NJA283" s="184"/>
      <c r="NJB283" s="184"/>
      <c r="NJC283" s="184"/>
      <c r="NJD283" s="184"/>
      <c r="NJE283" s="184"/>
      <c r="NJL283" s="186"/>
      <c r="NJM283" s="183"/>
      <c r="NJN283" s="184"/>
      <c r="NJO283" s="184"/>
      <c r="NJP283" s="184"/>
      <c r="NJQ283" s="184"/>
      <c r="NJR283" s="184"/>
      <c r="NJS283" s="184"/>
      <c r="NJT283" s="184"/>
      <c r="NKA283" s="186"/>
      <c r="NKB283" s="183"/>
      <c r="NKC283" s="184"/>
      <c r="NKD283" s="184"/>
      <c r="NKE283" s="184"/>
      <c r="NKF283" s="184"/>
      <c r="NKG283" s="184"/>
      <c r="NKH283" s="184"/>
      <c r="NKI283" s="184"/>
      <c r="NKP283" s="186"/>
      <c r="NKQ283" s="183"/>
      <c r="NKR283" s="184"/>
      <c r="NKS283" s="184"/>
      <c r="NKT283" s="184"/>
      <c r="NKU283" s="184"/>
      <c r="NKV283" s="184"/>
      <c r="NKW283" s="184"/>
      <c r="NKX283" s="184"/>
      <c r="NLE283" s="186"/>
      <c r="NLF283" s="183"/>
      <c r="NLG283" s="184"/>
      <c r="NLH283" s="184"/>
      <c r="NLI283" s="184"/>
      <c r="NLJ283" s="184"/>
      <c r="NLK283" s="184"/>
      <c r="NLL283" s="184"/>
      <c r="NLM283" s="184"/>
      <c r="NLT283" s="186"/>
      <c r="NLU283" s="183"/>
      <c r="NLV283" s="184"/>
      <c r="NLW283" s="184"/>
      <c r="NLX283" s="184"/>
      <c r="NLY283" s="184"/>
      <c r="NLZ283" s="184"/>
      <c r="NMA283" s="184"/>
      <c r="NMB283" s="184"/>
      <c r="NMI283" s="186"/>
      <c r="NMJ283" s="183"/>
      <c r="NMK283" s="184"/>
      <c r="NML283" s="184"/>
      <c r="NMM283" s="184"/>
      <c r="NMN283" s="184"/>
      <c r="NMO283" s="184"/>
      <c r="NMP283" s="184"/>
      <c r="NMQ283" s="184"/>
      <c r="NMX283" s="186"/>
      <c r="NMY283" s="183"/>
      <c r="NMZ283" s="184"/>
      <c r="NNA283" s="184"/>
      <c r="NNB283" s="184"/>
      <c r="NNC283" s="184"/>
      <c r="NND283" s="184"/>
      <c r="NNE283" s="184"/>
      <c r="NNF283" s="184"/>
      <c r="NNM283" s="186"/>
      <c r="NNN283" s="183"/>
      <c r="NNO283" s="184"/>
      <c r="NNP283" s="184"/>
      <c r="NNQ283" s="184"/>
      <c r="NNR283" s="184"/>
      <c r="NNS283" s="184"/>
      <c r="NNT283" s="184"/>
      <c r="NNU283" s="184"/>
      <c r="NOB283" s="186"/>
      <c r="NOC283" s="183"/>
      <c r="NOD283" s="184"/>
      <c r="NOE283" s="184"/>
      <c r="NOF283" s="184"/>
      <c r="NOG283" s="184"/>
      <c r="NOH283" s="184"/>
      <c r="NOI283" s="184"/>
      <c r="NOJ283" s="184"/>
      <c r="NOQ283" s="186"/>
      <c r="NOR283" s="183"/>
      <c r="NOS283" s="184"/>
      <c r="NOT283" s="184"/>
      <c r="NOU283" s="184"/>
      <c r="NOV283" s="184"/>
      <c r="NOW283" s="184"/>
      <c r="NOX283" s="184"/>
      <c r="NOY283" s="184"/>
      <c r="NPF283" s="186"/>
      <c r="NPG283" s="183"/>
      <c r="NPH283" s="184"/>
      <c r="NPI283" s="184"/>
      <c r="NPJ283" s="184"/>
      <c r="NPK283" s="184"/>
      <c r="NPL283" s="184"/>
      <c r="NPM283" s="184"/>
      <c r="NPN283" s="184"/>
      <c r="NPU283" s="186"/>
      <c r="NPV283" s="183"/>
      <c r="NPW283" s="184"/>
      <c r="NPX283" s="184"/>
      <c r="NPY283" s="184"/>
      <c r="NPZ283" s="184"/>
      <c r="NQA283" s="184"/>
      <c r="NQB283" s="184"/>
      <c r="NQC283" s="184"/>
      <c r="NQJ283" s="186"/>
      <c r="NQK283" s="183"/>
      <c r="NQL283" s="184"/>
      <c r="NQM283" s="184"/>
      <c r="NQN283" s="184"/>
      <c r="NQO283" s="184"/>
      <c r="NQP283" s="184"/>
      <c r="NQQ283" s="184"/>
      <c r="NQR283" s="184"/>
      <c r="NQY283" s="186"/>
      <c r="NQZ283" s="183"/>
      <c r="NRA283" s="184"/>
      <c r="NRB283" s="184"/>
      <c r="NRC283" s="184"/>
      <c r="NRD283" s="184"/>
      <c r="NRE283" s="184"/>
      <c r="NRF283" s="184"/>
      <c r="NRG283" s="184"/>
      <c r="NRN283" s="186"/>
      <c r="NRO283" s="183"/>
      <c r="NRP283" s="184"/>
      <c r="NRQ283" s="184"/>
      <c r="NRR283" s="184"/>
      <c r="NRS283" s="184"/>
      <c r="NRT283" s="184"/>
      <c r="NRU283" s="184"/>
      <c r="NRV283" s="184"/>
      <c r="NSC283" s="186"/>
      <c r="NSD283" s="183"/>
      <c r="NSE283" s="184"/>
      <c r="NSF283" s="184"/>
      <c r="NSG283" s="184"/>
      <c r="NSH283" s="184"/>
      <c r="NSI283" s="184"/>
      <c r="NSJ283" s="184"/>
      <c r="NSK283" s="184"/>
      <c r="NSR283" s="186"/>
      <c r="NSS283" s="183"/>
      <c r="NST283" s="184"/>
      <c r="NSU283" s="184"/>
      <c r="NSV283" s="184"/>
      <c r="NSW283" s="184"/>
      <c r="NSX283" s="184"/>
      <c r="NSY283" s="184"/>
      <c r="NSZ283" s="184"/>
      <c r="NTG283" s="186"/>
      <c r="NTH283" s="183"/>
      <c r="NTI283" s="184"/>
      <c r="NTJ283" s="184"/>
      <c r="NTK283" s="184"/>
      <c r="NTL283" s="184"/>
      <c r="NTM283" s="184"/>
      <c r="NTN283" s="184"/>
      <c r="NTO283" s="184"/>
      <c r="NTV283" s="186"/>
      <c r="NTW283" s="183"/>
      <c r="NTX283" s="184"/>
      <c r="NTY283" s="184"/>
      <c r="NTZ283" s="184"/>
      <c r="NUA283" s="184"/>
      <c r="NUB283" s="184"/>
      <c r="NUC283" s="184"/>
      <c r="NUD283" s="184"/>
      <c r="NUK283" s="186"/>
      <c r="NUL283" s="183"/>
      <c r="NUM283" s="184"/>
      <c r="NUN283" s="184"/>
      <c r="NUO283" s="184"/>
      <c r="NUP283" s="184"/>
      <c r="NUQ283" s="184"/>
      <c r="NUR283" s="184"/>
      <c r="NUS283" s="184"/>
      <c r="NUZ283" s="186"/>
      <c r="NVA283" s="183"/>
      <c r="NVB283" s="184"/>
      <c r="NVC283" s="184"/>
      <c r="NVD283" s="184"/>
      <c r="NVE283" s="184"/>
      <c r="NVF283" s="184"/>
      <c r="NVG283" s="184"/>
      <c r="NVH283" s="184"/>
      <c r="NVO283" s="186"/>
      <c r="NVP283" s="183"/>
      <c r="NVQ283" s="184"/>
      <c r="NVR283" s="184"/>
      <c r="NVS283" s="184"/>
      <c r="NVT283" s="184"/>
      <c r="NVU283" s="184"/>
      <c r="NVV283" s="184"/>
      <c r="NVW283" s="184"/>
      <c r="NWD283" s="186"/>
      <c r="NWE283" s="183"/>
      <c r="NWF283" s="184"/>
      <c r="NWG283" s="184"/>
      <c r="NWH283" s="184"/>
      <c r="NWI283" s="184"/>
      <c r="NWJ283" s="184"/>
      <c r="NWK283" s="184"/>
      <c r="NWL283" s="184"/>
      <c r="NWS283" s="186"/>
      <c r="NWT283" s="183"/>
      <c r="NWU283" s="184"/>
      <c r="NWV283" s="184"/>
      <c r="NWW283" s="184"/>
      <c r="NWX283" s="184"/>
      <c r="NWY283" s="184"/>
      <c r="NWZ283" s="184"/>
      <c r="NXA283" s="184"/>
      <c r="NXH283" s="186"/>
      <c r="NXI283" s="183"/>
      <c r="NXJ283" s="184"/>
      <c r="NXK283" s="184"/>
      <c r="NXL283" s="184"/>
      <c r="NXM283" s="184"/>
      <c r="NXN283" s="184"/>
      <c r="NXO283" s="184"/>
      <c r="NXP283" s="184"/>
      <c r="NXW283" s="186"/>
      <c r="NXX283" s="183"/>
      <c r="NXY283" s="184"/>
      <c r="NXZ283" s="184"/>
      <c r="NYA283" s="184"/>
      <c r="NYB283" s="184"/>
      <c r="NYC283" s="184"/>
      <c r="NYD283" s="184"/>
      <c r="NYE283" s="184"/>
      <c r="NYL283" s="186"/>
      <c r="NYM283" s="183"/>
      <c r="NYN283" s="184"/>
      <c r="NYO283" s="184"/>
      <c r="NYP283" s="184"/>
      <c r="NYQ283" s="184"/>
      <c r="NYR283" s="184"/>
      <c r="NYS283" s="184"/>
      <c r="NYT283" s="184"/>
      <c r="NZA283" s="186"/>
      <c r="NZB283" s="183"/>
      <c r="NZC283" s="184"/>
      <c r="NZD283" s="184"/>
      <c r="NZE283" s="184"/>
      <c r="NZF283" s="184"/>
      <c r="NZG283" s="184"/>
      <c r="NZH283" s="184"/>
      <c r="NZI283" s="184"/>
      <c r="NZP283" s="186"/>
      <c r="NZQ283" s="183"/>
      <c r="NZR283" s="184"/>
      <c r="NZS283" s="184"/>
      <c r="NZT283" s="184"/>
      <c r="NZU283" s="184"/>
      <c r="NZV283" s="184"/>
      <c r="NZW283" s="184"/>
      <c r="NZX283" s="184"/>
      <c r="OAE283" s="186"/>
      <c r="OAF283" s="183"/>
      <c r="OAG283" s="184"/>
      <c r="OAH283" s="184"/>
      <c r="OAI283" s="184"/>
      <c r="OAJ283" s="184"/>
      <c r="OAK283" s="184"/>
      <c r="OAL283" s="184"/>
      <c r="OAM283" s="184"/>
      <c r="OAT283" s="186"/>
      <c r="OAU283" s="183"/>
      <c r="OAV283" s="184"/>
      <c r="OAW283" s="184"/>
      <c r="OAX283" s="184"/>
      <c r="OAY283" s="184"/>
      <c r="OAZ283" s="184"/>
      <c r="OBA283" s="184"/>
      <c r="OBB283" s="184"/>
      <c r="OBI283" s="186"/>
      <c r="OBJ283" s="183"/>
      <c r="OBK283" s="184"/>
      <c r="OBL283" s="184"/>
      <c r="OBM283" s="184"/>
      <c r="OBN283" s="184"/>
      <c r="OBO283" s="184"/>
      <c r="OBP283" s="184"/>
      <c r="OBQ283" s="184"/>
      <c r="OBX283" s="186"/>
      <c r="OBY283" s="183"/>
      <c r="OBZ283" s="184"/>
      <c r="OCA283" s="184"/>
      <c r="OCB283" s="184"/>
      <c r="OCC283" s="184"/>
      <c r="OCD283" s="184"/>
      <c r="OCE283" s="184"/>
      <c r="OCF283" s="184"/>
      <c r="OCM283" s="186"/>
      <c r="OCN283" s="183"/>
      <c r="OCO283" s="184"/>
      <c r="OCP283" s="184"/>
      <c r="OCQ283" s="184"/>
      <c r="OCR283" s="184"/>
      <c r="OCS283" s="184"/>
      <c r="OCT283" s="184"/>
      <c r="OCU283" s="184"/>
      <c r="ODB283" s="186"/>
      <c r="ODC283" s="183"/>
      <c r="ODD283" s="184"/>
      <c r="ODE283" s="184"/>
      <c r="ODF283" s="184"/>
      <c r="ODG283" s="184"/>
      <c r="ODH283" s="184"/>
      <c r="ODI283" s="184"/>
      <c r="ODJ283" s="184"/>
      <c r="ODQ283" s="186"/>
      <c r="ODR283" s="183"/>
      <c r="ODS283" s="184"/>
      <c r="ODT283" s="184"/>
      <c r="ODU283" s="184"/>
      <c r="ODV283" s="184"/>
      <c r="ODW283" s="184"/>
      <c r="ODX283" s="184"/>
      <c r="ODY283" s="184"/>
      <c r="OEF283" s="186"/>
      <c r="OEG283" s="183"/>
      <c r="OEH283" s="184"/>
      <c r="OEI283" s="184"/>
      <c r="OEJ283" s="184"/>
      <c r="OEK283" s="184"/>
      <c r="OEL283" s="184"/>
      <c r="OEM283" s="184"/>
      <c r="OEN283" s="184"/>
      <c r="OEU283" s="186"/>
      <c r="OEV283" s="183"/>
      <c r="OEW283" s="184"/>
      <c r="OEX283" s="184"/>
      <c r="OEY283" s="184"/>
      <c r="OEZ283" s="184"/>
      <c r="OFA283" s="184"/>
      <c r="OFB283" s="184"/>
      <c r="OFC283" s="184"/>
      <c r="OFJ283" s="186"/>
      <c r="OFK283" s="183"/>
      <c r="OFL283" s="184"/>
      <c r="OFM283" s="184"/>
      <c r="OFN283" s="184"/>
      <c r="OFO283" s="184"/>
      <c r="OFP283" s="184"/>
      <c r="OFQ283" s="184"/>
      <c r="OFR283" s="184"/>
      <c r="OFY283" s="186"/>
      <c r="OFZ283" s="183"/>
      <c r="OGA283" s="184"/>
      <c r="OGB283" s="184"/>
      <c r="OGC283" s="184"/>
      <c r="OGD283" s="184"/>
      <c r="OGE283" s="184"/>
      <c r="OGF283" s="184"/>
      <c r="OGG283" s="184"/>
      <c r="OGN283" s="186"/>
      <c r="OGO283" s="183"/>
      <c r="OGP283" s="184"/>
      <c r="OGQ283" s="184"/>
      <c r="OGR283" s="184"/>
      <c r="OGS283" s="184"/>
      <c r="OGT283" s="184"/>
      <c r="OGU283" s="184"/>
      <c r="OGV283" s="184"/>
      <c r="OHC283" s="186"/>
      <c r="OHD283" s="183"/>
      <c r="OHE283" s="184"/>
      <c r="OHF283" s="184"/>
      <c r="OHG283" s="184"/>
      <c r="OHH283" s="184"/>
      <c r="OHI283" s="184"/>
      <c r="OHJ283" s="184"/>
      <c r="OHK283" s="184"/>
      <c r="OHR283" s="186"/>
      <c r="OHS283" s="183"/>
      <c r="OHT283" s="184"/>
      <c r="OHU283" s="184"/>
      <c r="OHV283" s="184"/>
      <c r="OHW283" s="184"/>
      <c r="OHX283" s="184"/>
      <c r="OHY283" s="184"/>
      <c r="OHZ283" s="184"/>
      <c r="OIG283" s="186"/>
      <c r="OIH283" s="183"/>
      <c r="OII283" s="184"/>
      <c r="OIJ283" s="184"/>
      <c r="OIK283" s="184"/>
      <c r="OIL283" s="184"/>
      <c r="OIM283" s="184"/>
      <c r="OIN283" s="184"/>
      <c r="OIO283" s="184"/>
      <c r="OIV283" s="186"/>
      <c r="OIW283" s="183"/>
      <c r="OIX283" s="184"/>
      <c r="OIY283" s="184"/>
      <c r="OIZ283" s="184"/>
      <c r="OJA283" s="184"/>
      <c r="OJB283" s="184"/>
      <c r="OJC283" s="184"/>
      <c r="OJD283" s="184"/>
      <c r="OJK283" s="186"/>
      <c r="OJL283" s="183"/>
      <c r="OJM283" s="184"/>
      <c r="OJN283" s="184"/>
      <c r="OJO283" s="184"/>
      <c r="OJP283" s="184"/>
      <c r="OJQ283" s="184"/>
      <c r="OJR283" s="184"/>
      <c r="OJS283" s="184"/>
      <c r="OJZ283" s="186"/>
      <c r="OKA283" s="183"/>
      <c r="OKB283" s="184"/>
      <c r="OKC283" s="184"/>
      <c r="OKD283" s="184"/>
      <c r="OKE283" s="184"/>
      <c r="OKF283" s="184"/>
      <c r="OKG283" s="184"/>
      <c r="OKH283" s="184"/>
      <c r="OKO283" s="186"/>
      <c r="OKP283" s="183"/>
      <c r="OKQ283" s="184"/>
      <c r="OKR283" s="184"/>
      <c r="OKS283" s="184"/>
      <c r="OKT283" s="184"/>
      <c r="OKU283" s="184"/>
      <c r="OKV283" s="184"/>
      <c r="OKW283" s="184"/>
      <c r="OLD283" s="186"/>
      <c r="OLE283" s="183"/>
      <c r="OLF283" s="184"/>
      <c r="OLG283" s="184"/>
      <c r="OLH283" s="184"/>
      <c r="OLI283" s="184"/>
      <c r="OLJ283" s="184"/>
      <c r="OLK283" s="184"/>
      <c r="OLL283" s="184"/>
      <c r="OLS283" s="186"/>
      <c r="OLT283" s="183"/>
      <c r="OLU283" s="184"/>
      <c r="OLV283" s="184"/>
      <c r="OLW283" s="184"/>
      <c r="OLX283" s="184"/>
      <c r="OLY283" s="184"/>
      <c r="OLZ283" s="184"/>
      <c r="OMA283" s="184"/>
      <c r="OMH283" s="186"/>
      <c r="OMI283" s="183"/>
      <c r="OMJ283" s="184"/>
      <c r="OMK283" s="184"/>
      <c r="OML283" s="184"/>
      <c r="OMM283" s="184"/>
      <c r="OMN283" s="184"/>
      <c r="OMO283" s="184"/>
      <c r="OMP283" s="184"/>
      <c r="OMW283" s="186"/>
      <c r="OMX283" s="183"/>
      <c r="OMY283" s="184"/>
      <c r="OMZ283" s="184"/>
      <c r="ONA283" s="184"/>
      <c r="ONB283" s="184"/>
      <c r="ONC283" s="184"/>
      <c r="OND283" s="184"/>
      <c r="ONE283" s="184"/>
      <c r="ONL283" s="186"/>
      <c r="ONM283" s="183"/>
      <c r="ONN283" s="184"/>
      <c r="ONO283" s="184"/>
      <c r="ONP283" s="184"/>
      <c r="ONQ283" s="184"/>
      <c r="ONR283" s="184"/>
      <c r="ONS283" s="184"/>
      <c r="ONT283" s="184"/>
      <c r="OOA283" s="186"/>
      <c r="OOB283" s="183"/>
      <c r="OOC283" s="184"/>
      <c r="OOD283" s="184"/>
      <c r="OOE283" s="184"/>
      <c r="OOF283" s="184"/>
      <c r="OOG283" s="184"/>
      <c r="OOH283" s="184"/>
      <c r="OOI283" s="184"/>
      <c r="OOP283" s="186"/>
      <c r="OOQ283" s="183"/>
      <c r="OOR283" s="184"/>
      <c r="OOS283" s="184"/>
      <c r="OOT283" s="184"/>
      <c r="OOU283" s="184"/>
      <c r="OOV283" s="184"/>
      <c r="OOW283" s="184"/>
      <c r="OOX283" s="184"/>
      <c r="OPE283" s="186"/>
      <c r="OPF283" s="183"/>
      <c r="OPG283" s="184"/>
      <c r="OPH283" s="184"/>
      <c r="OPI283" s="184"/>
      <c r="OPJ283" s="184"/>
      <c r="OPK283" s="184"/>
      <c r="OPL283" s="184"/>
      <c r="OPM283" s="184"/>
      <c r="OPT283" s="186"/>
      <c r="OPU283" s="183"/>
      <c r="OPV283" s="184"/>
      <c r="OPW283" s="184"/>
      <c r="OPX283" s="184"/>
      <c r="OPY283" s="184"/>
      <c r="OPZ283" s="184"/>
      <c r="OQA283" s="184"/>
      <c r="OQB283" s="184"/>
      <c r="OQI283" s="186"/>
      <c r="OQJ283" s="183"/>
      <c r="OQK283" s="184"/>
      <c r="OQL283" s="184"/>
      <c r="OQM283" s="184"/>
      <c r="OQN283" s="184"/>
      <c r="OQO283" s="184"/>
      <c r="OQP283" s="184"/>
      <c r="OQQ283" s="184"/>
      <c r="OQX283" s="186"/>
      <c r="OQY283" s="183"/>
      <c r="OQZ283" s="184"/>
      <c r="ORA283" s="184"/>
      <c r="ORB283" s="184"/>
      <c r="ORC283" s="184"/>
      <c r="ORD283" s="184"/>
      <c r="ORE283" s="184"/>
      <c r="ORF283" s="184"/>
      <c r="ORM283" s="186"/>
      <c r="ORN283" s="183"/>
      <c r="ORO283" s="184"/>
      <c r="ORP283" s="184"/>
      <c r="ORQ283" s="184"/>
      <c r="ORR283" s="184"/>
      <c r="ORS283" s="184"/>
      <c r="ORT283" s="184"/>
      <c r="ORU283" s="184"/>
      <c r="OSB283" s="186"/>
      <c r="OSC283" s="183"/>
      <c r="OSD283" s="184"/>
      <c r="OSE283" s="184"/>
      <c r="OSF283" s="184"/>
      <c r="OSG283" s="184"/>
      <c r="OSH283" s="184"/>
      <c r="OSI283" s="184"/>
      <c r="OSJ283" s="184"/>
      <c r="OSQ283" s="186"/>
      <c r="OSR283" s="183"/>
      <c r="OSS283" s="184"/>
      <c r="OST283" s="184"/>
      <c r="OSU283" s="184"/>
      <c r="OSV283" s="184"/>
      <c r="OSW283" s="184"/>
      <c r="OSX283" s="184"/>
      <c r="OSY283" s="184"/>
      <c r="OTF283" s="186"/>
      <c r="OTG283" s="183"/>
      <c r="OTH283" s="184"/>
      <c r="OTI283" s="184"/>
      <c r="OTJ283" s="184"/>
      <c r="OTK283" s="184"/>
      <c r="OTL283" s="184"/>
      <c r="OTM283" s="184"/>
      <c r="OTN283" s="184"/>
      <c r="OTU283" s="186"/>
      <c r="OTV283" s="183"/>
      <c r="OTW283" s="184"/>
      <c r="OTX283" s="184"/>
      <c r="OTY283" s="184"/>
      <c r="OTZ283" s="184"/>
      <c r="OUA283" s="184"/>
      <c r="OUB283" s="184"/>
      <c r="OUC283" s="184"/>
      <c r="OUJ283" s="186"/>
      <c r="OUK283" s="183"/>
      <c r="OUL283" s="184"/>
      <c r="OUM283" s="184"/>
      <c r="OUN283" s="184"/>
      <c r="OUO283" s="184"/>
      <c r="OUP283" s="184"/>
      <c r="OUQ283" s="184"/>
      <c r="OUR283" s="184"/>
      <c r="OUY283" s="186"/>
      <c r="OUZ283" s="183"/>
      <c r="OVA283" s="184"/>
      <c r="OVB283" s="184"/>
      <c r="OVC283" s="184"/>
      <c r="OVD283" s="184"/>
      <c r="OVE283" s="184"/>
      <c r="OVF283" s="184"/>
      <c r="OVG283" s="184"/>
      <c r="OVN283" s="186"/>
      <c r="OVO283" s="183"/>
      <c r="OVP283" s="184"/>
      <c r="OVQ283" s="184"/>
      <c r="OVR283" s="184"/>
      <c r="OVS283" s="184"/>
      <c r="OVT283" s="184"/>
      <c r="OVU283" s="184"/>
      <c r="OVV283" s="184"/>
      <c r="OWC283" s="186"/>
      <c r="OWD283" s="183"/>
      <c r="OWE283" s="184"/>
      <c r="OWF283" s="184"/>
      <c r="OWG283" s="184"/>
      <c r="OWH283" s="184"/>
      <c r="OWI283" s="184"/>
      <c r="OWJ283" s="184"/>
      <c r="OWK283" s="184"/>
      <c r="OWR283" s="186"/>
      <c r="OWS283" s="183"/>
      <c r="OWT283" s="184"/>
      <c r="OWU283" s="184"/>
      <c r="OWV283" s="184"/>
      <c r="OWW283" s="184"/>
      <c r="OWX283" s="184"/>
      <c r="OWY283" s="184"/>
      <c r="OWZ283" s="184"/>
      <c r="OXG283" s="186"/>
      <c r="OXH283" s="183"/>
      <c r="OXI283" s="184"/>
      <c r="OXJ283" s="184"/>
      <c r="OXK283" s="184"/>
      <c r="OXL283" s="184"/>
      <c r="OXM283" s="184"/>
      <c r="OXN283" s="184"/>
      <c r="OXO283" s="184"/>
      <c r="OXV283" s="186"/>
      <c r="OXW283" s="183"/>
      <c r="OXX283" s="184"/>
      <c r="OXY283" s="184"/>
      <c r="OXZ283" s="184"/>
      <c r="OYA283" s="184"/>
      <c r="OYB283" s="184"/>
      <c r="OYC283" s="184"/>
      <c r="OYD283" s="184"/>
      <c r="OYK283" s="186"/>
      <c r="OYL283" s="183"/>
      <c r="OYM283" s="184"/>
      <c r="OYN283" s="184"/>
      <c r="OYO283" s="184"/>
      <c r="OYP283" s="184"/>
      <c r="OYQ283" s="184"/>
      <c r="OYR283" s="184"/>
      <c r="OYS283" s="184"/>
      <c r="OYZ283" s="186"/>
      <c r="OZA283" s="183"/>
      <c r="OZB283" s="184"/>
      <c r="OZC283" s="184"/>
      <c r="OZD283" s="184"/>
      <c r="OZE283" s="184"/>
      <c r="OZF283" s="184"/>
      <c r="OZG283" s="184"/>
      <c r="OZH283" s="184"/>
      <c r="OZO283" s="186"/>
      <c r="OZP283" s="183"/>
      <c r="OZQ283" s="184"/>
      <c r="OZR283" s="184"/>
      <c r="OZS283" s="184"/>
      <c r="OZT283" s="184"/>
      <c r="OZU283" s="184"/>
      <c r="OZV283" s="184"/>
      <c r="OZW283" s="184"/>
      <c r="PAD283" s="186"/>
      <c r="PAE283" s="183"/>
      <c r="PAF283" s="184"/>
      <c r="PAG283" s="184"/>
      <c r="PAH283" s="184"/>
      <c r="PAI283" s="184"/>
      <c r="PAJ283" s="184"/>
      <c r="PAK283" s="184"/>
      <c r="PAL283" s="184"/>
      <c r="PAS283" s="186"/>
      <c r="PAT283" s="183"/>
      <c r="PAU283" s="184"/>
      <c r="PAV283" s="184"/>
      <c r="PAW283" s="184"/>
      <c r="PAX283" s="184"/>
      <c r="PAY283" s="184"/>
      <c r="PAZ283" s="184"/>
      <c r="PBA283" s="184"/>
      <c r="PBH283" s="186"/>
      <c r="PBI283" s="183"/>
      <c r="PBJ283" s="184"/>
      <c r="PBK283" s="184"/>
      <c r="PBL283" s="184"/>
      <c r="PBM283" s="184"/>
      <c r="PBN283" s="184"/>
      <c r="PBO283" s="184"/>
      <c r="PBP283" s="184"/>
      <c r="PBW283" s="186"/>
      <c r="PBX283" s="183"/>
      <c r="PBY283" s="184"/>
      <c r="PBZ283" s="184"/>
      <c r="PCA283" s="184"/>
      <c r="PCB283" s="184"/>
      <c r="PCC283" s="184"/>
      <c r="PCD283" s="184"/>
      <c r="PCE283" s="184"/>
      <c r="PCL283" s="186"/>
      <c r="PCM283" s="183"/>
      <c r="PCN283" s="184"/>
      <c r="PCO283" s="184"/>
      <c r="PCP283" s="184"/>
      <c r="PCQ283" s="184"/>
      <c r="PCR283" s="184"/>
      <c r="PCS283" s="184"/>
      <c r="PCT283" s="184"/>
      <c r="PDA283" s="186"/>
      <c r="PDB283" s="183"/>
      <c r="PDC283" s="184"/>
      <c r="PDD283" s="184"/>
      <c r="PDE283" s="184"/>
      <c r="PDF283" s="184"/>
      <c r="PDG283" s="184"/>
      <c r="PDH283" s="184"/>
      <c r="PDI283" s="184"/>
      <c r="PDP283" s="186"/>
      <c r="PDQ283" s="183"/>
      <c r="PDR283" s="184"/>
      <c r="PDS283" s="184"/>
      <c r="PDT283" s="184"/>
      <c r="PDU283" s="184"/>
      <c r="PDV283" s="184"/>
      <c r="PDW283" s="184"/>
      <c r="PDX283" s="184"/>
      <c r="PEE283" s="186"/>
      <c r="PEF283" s="183"/>
      <c r="PEG283" s="184"/>
      <c r="PEH283" s="184"/>
      <c r="PEI283" s="184"/>
      <c r="PEJ283" s="184"/>
      <c r="PEK283" s="184"/>
      <c r="PEL283" s="184"/>
      <c r="PEM283" s="184"/>
      <c r="PET283" s="186"/>
      <c r="PEU283" s="183"/>
      <c r="PEV283" s="184"/>
      <c r="PEW283" s="184"/>
      <c r="PEX283" s="184"/>
      <c r="PEY283" s="184"/>
      <c r="PEZ283" s="184"/>
      <c r="PFA283" s="184"/>
      <c r="PFB283" s="184"/>
      <c r="PFI283" s="186"/>
      <c r="PFJ283" s="183"/>
      <c r="PFK283" s="184"/>
      <c r="PFL283" s="184"/>
      <c r="PFM283" s="184"/>
      <c r="PFN283" s="184"/>
      <c r="PFO283" s="184"/>
      <c r="PFP283" s="184"/>
      <c r="PFQ283" s="184"/>
      <c r="PFX283" s="186"/>
      <c r="PFY283" s="183"/>
      <c r="PFZ283" s="184"/>
      <c r="PGA283" s="184"/>
      <c r="PGB283" s="184"/>
      <c r="PGC283" s="184"/>
      <c r="PGD283" s="184"/>
      <c r="PGE283" s="184"/>
      <c r="PGF283" s="184"/>
      <c r="PGM283" s="186"/>
      <c r="PGN283" s="183"/>
      <c r="PGO283" s="184"/>
      <c r="PGP283" s="184"/>
      <c r="PGQ283" s="184"/>
      <c r="PGR283" s="184"/>
      <c r="PGS283" s="184"/>
      <c r="PGT283" s="184"/>
      <c r="PGU283" s="184"/>
      <c r="PHB283" s="186"/>
      <c r="PHC283" s="183"/>
      <c r="PHD283" s="184"/>
      <c r="PHE283" s="184"/>
      <c r="PHF283" s="184"/>
      <c r="PHG283" s="184"/>
      <c r="PHH283" s="184"/>
      <c r="PHI283" s="184"/>
      <c r="PHJ283" s="184"/>
      <c r="PHQ283" s="186"/>
      <c r="PHR283" s="183"/>
      <c r="PHS283" s="184"/>
      <c r="PHT283" s="184"/>
      <c r="PHU283" s="184"/>
      <c r="PHV283" s="184"/>
      <c r="PHW283" s="184"/>
      <c r="PHX283" s="184"/>
      <c r="PHY283" s="184"/>
      <c r="PIF283" s="186"/>
      <c r="PIG283" s="183"/>
      <c r="PIH283" s="184"/>
      <c r="PII283" s="184"/>
      <c r="PIJ283" s="184"/>
      <c r="PIK283" s="184"/>
      <c r="PIL283" s="184"/>
      <c r="PIM283" s="184"/>
      <c r="PIN283" s="184"/>
      <c r="PIU283" s="186"/>
      <c r="PIV283" s="183"/>
      <c r="PIW283" s="184"/>
      <c r="PIX283" s="184"/>
      <c r="PIY283" s="184"/>
      <c r="PIZ283" s="184"/>
      <c r="PJA283" s="184"/>
      <c r="PJB283" s="184"/>
      <c r="PJC283" s="184"/>
      <c r="PJJ283" s="186"/>
      <c r="PJK283" s="183"/>
      <c r="PJL283" s="184"/>
      <c r="PJM283" s="184"/>
      <c r="PJN283" s="184"/>
      <c r="PJO283" s="184"/>
      <c r="PJP283" s="184"/>
      <c r="PJQ283" s="184"/>
      <c r="PJR283" s="184"/>
      <c r="PJY283" s="186"/>
      <c r="PJZ283" s="183"/>
      <c r="PKA283" s="184"/>
      <c r="PKB283" s="184"/>
      <c r="PKC283" s="184"/>
      <c r="PKD283" s="184"/>
      <c r="PKE283" s="184"/>
      <c r="PKF283" s="184"/>
      <c r="PKG283" s="184"/>
      <c r="PKN283" s="186"/>
      <c r="PKO283" s="183"/>
      <c r="PKP283" s="184"/>
      <c r="PKQ283" s="184"/>
      <c r="PKR283" s="184"/>
      <c r="PKS283" s="184"/>
      <c r="PKT283" s="184"/>
      <c r="PKU283" s="184"/>
      <c r="PKV283" s="184"/>
      <c r="PLC283" s="186"/>
      <c r="PLD283" s="183"/>
      <c r="PLE283" s="184"/>
      <c r="PLF283" s="184"/>
      <c r="PLG283" s="184"/>
      <c r="PLH283" s="184"/>
      <c r="PLI283" s="184"/>
      <c r="PLJ283" s="184"/>
      <c r="PLK283" s="184"/>
      <c r="PLR283" s="186"/>
      <c r="PLS283" s="183"/>
      <c r="PLT283" s="184"/>
      <c r="PLU283" s="184"/>
      <c r="PLV283" s="184"/>
      <c r="PLW283" s="184"/>
      <c r="PLX283" s="184"/>
      <c r="PLY283" s="184"/>
      <c r="PLZ283" s="184"/>
      <c r="PMG283" s="186"/>
      <c r="PMH283" s="183"/>
      <c r="PMI283" s="184"/>
      <c r="PMJ283" s="184"/>
      <c r="PMK283" s="184"/>
      <c r="PML283" s="184"/>
      <c r="PMM283" s="184"/>
      <c r="PMN283" s="184"/>
      <c r="PMO283" s="184"/>
      <c r="PMV283" s="186"/>
      <c r="PMW283" s="183"/>
      <c r="PMX283" s="184"/>
      <c r="PMY283" s="184"/>
      <c r="PMZ283" s="184"/>
      <c r="PNA283" s="184"/>
      <c r="PNB283" s="184"/>
      <c r="PNC283" s="184"/>
      <c r="PND283" s="184"/>
      <c r="PNK283" s="186"/>
      <c r="PNL283" s="183"/>
      <c r="PNM283" s="184"/>
      <c r="PNN283" s="184"/>
      <c r="PNO283" s="184"/>
      <c r="PNP283" s="184"/>
      <c r="PNQ283" s="184"/>
      <c r="PNR283" s="184"/>
      <c r="PNS283" s="184"/>
      <c r="PNZ283" s="186"/>
      <c r="POA283" s="183"/>
      <c r="POB283" s="184"/>
      <c r="POC283" s="184"/>
      <c r="POD283" s="184"/>
      <c r="POE283" s="184"/>
      <c r="POF283" s="184"/>
      <c r="POG283" s="184"/>
      <c r="POH283" s="184"/>
      <c r="POO283" s="186"/>
      <c r="POP283" s="183"/>
      <c r="POQ283" s="184"/>
      <c r="POR283" s="184"/>
      <c r="POS283" s="184"/>
      <c r="POT283" s="184"/>
      <c r="POU283" s="184"/>
      <c r="POV283" s="184"/>
      <c r="POW283" s="184"/>
      <c r="PPD283" s="186"/>
      <c r="PPE283" s="183"/>
      <c r="PPF283" s="184"/>
      <c r="PPG283" s="184"/>
      <c r="PPH283" s="184"/>
      <c r="PPI283" s="184"/>
      <c r="PPJ283" s="184"/>
      <c r="PPK283" s="184"/>
      <c r="PPL283" s="184"/>
      <c r="PPS283" s="186"/>
      <c r="PPT283" s="183"/>
      <c r="PPU283" s="184"/>
      <c r="PPV283" s="184"/>
      <c r="PPW283" s="184"/>
      <c r="PPX283" s="184"/>
      <c r="PPY283" s="184"/>
      <c r="PPZ283" s="184"/>
      <c r="PQA283" s="184"/>
      <c r="PQH283" s="186"/>
      <c r="PQI283" s="183"/>
      <c r="PQJ283" s="184"/>
      <c r="PQK283" s="184"/>
      <c r="PQL283" s="184"/>
      <c r="PQM283" s="184"/>
      <c r="PQN283" s="184"/>
      <c r="PQO283" s="184"/>
      <c r="PQP283" s="184"/>
      <c r="PQW283" s="186"/>
      <c r="PQX283" s="183"/>
      <c r="PQY283" s="184"/>
      <c r="PQZ283" s="184"/>
      <c r="PRA283" s="184"/>
      <c r="PRB283" s="184"/>
      <c r="PRC283" s="184"/>
      <c r="PRD283" s="184"/>
      <c r="PRE283" s="184"/>
      <c r="PRL283" s="186"/>
      <c r="PRM283" s="183"/>
      <c r="PRN283" s="184"/>
      <c r="PRO283" s="184"/>
      <c r="PRP283" s="184"/>
      <c r="PRQ283" s="184"/>
      <c r="PRR283" s="184"/>
      <c r="PRS283" s="184"/>
      <c r="PRT283" s="184"/>
      <c r="PSA283" s="186"/>
      <c r="PSB283" s="183"/>
      <c r="PSC283" s="184"/>
      <c r="PSD283" s="184"/>
      <c r="PSE283" s="184"/>
      <c r="PSF283" s="184"/>
      <c r="PSG283" s="184"/>
      <c r="PSH283" s="184"/>
      <c r="PSI283" s="184"/>
      <c r="PSP283" s="186"/>
      <c r="PSQ283" s="183"/>
      <c r="PSR283" s="184"/>
      <c r="PSS283" s="184"/>
      <c r="PST283" s="184"/>
      <c r="PSU283" s="184"/>
      <c r="PSV283" s="184"/>
      <c r="PSW283" s="184"/>
      <c r="PSX283" s="184"/>
      <c r="PTE283" s="186"/>
      <c r="PTF283" s="183"/>
      <c r="PTG283" s="184"/>
      <c r="PTH283" s="184"/>
      <c r="PTI283" s="184"/>
      <c r="PTJ283" s="184"/>
      <c r="PTK283" s="184"/>
      <c r="PTL283" s="184"/>
      <c r="PTM283" s="184"/>
      <c r="PTT283" s="186"/>
      <c r="PTU283" s="183"/>
      <c r="PTV283" s="184"/>
      <c r="PTW283" s="184"/>
      <c r="PTX283" s="184"/>
      <c r="PTY283" s="184"/>
      <c r="PTZ283" s="184"/>
      <c r="PUA283" s="184"/>
      <c r="PUB283" s="184"/>
      <c r="PUI283" s="186"/>
      <c r="PUJ283" s="183"/>
      <c r="PUK283" s="184"/>
      <c r="PUL283" s="184"/>
      <c r="PUM283" s="184"/>
      <c r="PUN283" s="184"/>
      <c r="PUO283" s="184"/>
      <c r="PUP283" s="184"/>
      <c r="PUQ283" s="184"/>
      <c r="PUX283" s="186"/>
      <c r="PUY283" s="183"/>
      <c r="PUZ283" s="184"/>
      <c r="PVA283" s="184"/>
      <c r="PVB283" s="184"/>
      <c r="PVC283" s="184"/>
      <c r="PVD283" s="184"/>
      <c r="PVE283" s="184"/>
      <c r="PVF283" s="184"/>
      <c r="PVM283" s="186"/>
      <c r="PVN283" s="183"/>
      <c r="PVO283" s="184"/>
      <c r="PVP283" s="184"/>
      <c r="PVQ283" s="184"/>
      <c r="PVR283" s="184"/>
      <c r="PVS283" s="184"/>
      <c r="PVT283" s="184"/>
      <c r="PVU283" s="184"/>
      <c r="PWB283" s="186"/>
      <c r="PWC283" s="183"/>
      <c r="PWD283" s="184"/>
      <c r="PWE283" s="184"/>
      <c r="PWF283" s="184"/>
      <c r="PWG283" s="184"/>
      <c r="PWH283" s="184"/>
      <c r="PWI283" s="184"/>
      <c r="PWJ283" s="184"/>
      <c r="PWQ283" s="186"/>
      <c r="PWR283" s="183"/>
      <c r="PWS283" s="184"/>
      <c r="PWT283" s="184"/>
      <c r="PWU283" s="184"/>
      <c r="PWV283" s="184"/>
      <c r="PWW283" s="184"/>
      <c r="PWX283" s="184"/>
      <c r="PWY283" s="184"/>
      <c r="PXF283" s="186"/>
      <c r="PXG283" s="183"/>
      <c r="PXH283" s="184"/>
      <c r="PXI283" s="184"/>
      <c r="PXJ283" s="184"/>
      <c r="PXK283" s="184"/>
      <c r="PXL283" s="184"/>
      <c r="PXM283" s="184"/>
      <c r="PXN283" s="184"/>
      <c r="PXU283" s="186"/>
      <c r="PXV283" s="183"/>
      <c r="PXW283" s="184"/>
      <c r="PXX283" s="184"/>
      <c r="PXY283" s="184"/>
      <c r="PXZ283" s="184"/>
      <c r="PYA283" s="184"/>
      <c r="PYB283" s="184"/>
      <c r="PYC283" s="184"/>
      <c r="PYJ283" s="186"/>
      <c r="PYK283" s="183"/>
      <c r="PYL283" s="184"/>
      <c r="PYM283" s="184"/>
      <c r="PYN283" s="184"/>
      <c r="PYO283" s="184"/>
      <c r="PYP283" s="184"/>
      <c r="PYQ283" s="184"/>
      <c r="PYR283" s="184"/>
      <c r="PYY283" s="186"/>
      <c r="PYZ283" s="183"/>
      <c r="PZA283" s="184"/>
      <c r="PZB283" s="184"/>
      <c r="PZC283" s="184"/>
      <c r="PZD283" s="184"/>
      <c r="PZE283" s="184"/>
      <c r="PZF283" s="184"/>
      <c r="PZG283" s="184"/>
      <c r="PZN283" s="186"/>
      <c r="PZO283" s="183"/>
      <c r="PZP283" s="184"/>
      <c r="PZQ283" s="184"/>
      <c r="PZR283" s="184"/>
      <c r="PZS283" s="184"/>
      <c r="PZT283" s="184"/>
      <c r="PZU283" s="184"/>
      <c r="PZV283" s="184"/>
      <c r="QAC283" s="186"/>
      <c r="QAD283" s="183"/>
      <c r="QAE283" s="184"/>
      <c r="QAF283" s="184"/>
      <c r="QAG283" s="184"/>
      <c r="QAH283" s="184"/>
      <c r="QAI283" s="184"/>
      <c r="QAJ283" s="184"/>
      <c r="QAK283" s="184"/>
      <c r="QAR283" s="186"/>
      <c r="QAS283" s="183"/>
      <c r="QAT283" s="184"/>
      <c r="QAU283" s="184"/>
      <c r="QAV283" s="184"/>
      <c r="QAW283" s="184"/>
      <c r="QAX283" s="184"/>
      <c r="QAY283" s="184"/>
      <c r="QAZ283" s="184"/>
      <c r="QBG283" s="186"/>
      <c r="QBH283" s="183"/>
      <c r="QBI283" s="184"/>
      <c r="QBJ283" s="184"/>
      <c r="QBK283" s="184"/>
      <c r="QBL283" s="184"/>
      <c r="QBM283" s="184"/>
      <c r="QBN283" s="184"/>
      <c r="QBO283" s="184"/>
      <c r="QBV283" s="186"/>
      <c r="QBW283" s="183"/>
      <c r="QBX283" s="184"/>
      <c r="QBY283" s="184"/>
      <c r="QBZ283" s="184"/>
      <c r="QCA283" s="184"/>
      <c r="QCB283" s="184"/>
      <c r="QCC283" s="184"/>
      <c r="QCD283" s="184"/>
      <c r="QCK283" s="186"/>
      <c r="QCL283" s="183"/>
      <c r="QCM283" s="184"/>
      <c r="QCN283" s="184"/>
      <c r="QCO283" s="184"/>
      <c r="QCP283" s="184"/>
      <c r="QCQ283" s="184"/>
      <c r="QCR283" s="184"/>
      <c r="QCS283" s="184"/>
      <c r="QCZ283" s="186"/>
      <c r="QDA283" s="183"/>
      <c r="QDB283" s="184"/>
      <c r="QDC283" s="184"/>
      <c r="QDD283" s="184"/>
      <c r="QDE283" s="184"/>
      <c r="QDF283" s="184"/>
      <c r="QDG283" s="184"/>
      <c r="QDH283" s="184"/>
      <c r="QDO283" s="186"/>
      <c r="QDP283" s="183"/>
      <c r="QDQ283" s="184"/>
      <c r="QDR283" s="184"/>
      <c r="QDS283" s="184"/>
      <c r="QDT283" s="184"/>
      <c r="QDU283" s="184"/>
      <c r="QDV283" s="184"/>
      <c r="QDW283" s="184"/>
      <c r="QED283" s="186"/>
      <c r="QEE283" s="183"/>
      <c r="QEF283" s="184"/>
      <c r="QEG283" s="184"/>
      <c r="QEH283" s="184"/>
      <c r="QEI283" s="184"/>
      <c r="QEJ283" s="184"/>
      <c r="QEK283" s="184"/>
      <c r="QEL283" s="184"/>
      <c r="QES283" s="186"/>
      <c r="QET283" s="183"/>
      <c r="QEU283" s="184"/>
      <c r="QEV283" s="184"/>
      <c r="QEW283" s="184"/>
      <c r="QEX283" s="184"/>
      <c r="QEY283" s="184"/>
      <c r="QEZ283" s="184"/>
      <c r="QFA283" s="184"/>
      <c r="QFH283" s="186"/>
      <c r="QFI283" s="183"/>
      <c r="QFJ283" s="184"/>
      <c r="QFK283" s="184"/>
      <c r="QFL283" s="184"/>
      <c r="QFM283" s="184"/>
      <c r="QFN283" s="184"/>
      <c r="QFO283" s="184"/>
      <c r="QFP283" s="184"/>
      <c r="QFW283" s="186"/>
      <c r="QFX283" s="183"/>
      <c r="QFY283" s="184"/>
      <c r="QFZ283" s="184"/>
      <c r="QGA283" s="184"/>
      <c r="QGB283" s="184"/>
      <c r="QGC283" s="184"/>
      <c r="QGD283" s="184"/>
      <c r="QGE283" s="184"/>
      <c r="QGL283" s="186"/>
      <c r="QGM283" s="183"/>
      <c r="QGN283" s="184"/>
      <c r="QGO283" s="184"/>
      <c r="QGP283" s="184"/>
      <c r="QGQ283" s="184"/>
      <c r="QGR283" s="184"/>
      <c r="QGS283" s="184"/>
      <c r="QGT283" s="184"/>
      <c r="QHA283" s="186"/>
      <c r="QHB283" s="183"/>
      <c r="QHC283" s="184"/>
      <c r="QHD283" s="184"/>
      <c r="QHE283" s="184"/>
      <c r="QHF283" s="184"/>
      <c r="QHG283" s="184"/>
      <c r="QHH283" s="184"/>
      <c r="QHI283" s="184"/>
      <c r="QHP283" s="186"/>
      <c r="QHQ283" s="183"/>
      <c r="QHR283" s="184"/>
      <c r="QHS283" s="184"/>
      <c r="QHT283" s="184"/>
      <c r="QHU283" s="184"/>
      <c r="QHV283" s="184"/>
      <c r="QHW283" s="184"/>
      <c r="QHX283" s="184"/>
      <c r="QIE283" s="186"/>
      <c r="QIF283" s="183"/>
      <c r="QIG283" s="184"/>
      <c r="QIH283" s="184"/>
      <c r="QII283" s="184"/>
      <c r="QIJ283" s="184"/>
      <c r="QIK283" s="184"/>
      <c r="QIL283" s="184"/>
      <c r="QIM283" s="184"/>
      <c r="QIT283" s="186"/>
      <c r="QIU283" s="183"/>
      <c r="QIV283" s="184"/>
      <c r="QIW283" s="184"/>
      <c r="QIX283" s="184"/>
      <c r="QIY283" s="184"/>
      <c r="QIZ283" s="184"/>
      <c r="QJA283" s="184"/>
      <c r="QJB283" s="184"/>
      <c r="QJI283" s="186"/>
      <c r="QJJ283" s="183"/>
      <c r="QJK283" s="184"/>
      <c r="QJL283" s="184"/>
      <c r="QJM283" s="184"/>
      <c r="QJN283" s="184"/>
      <c r="QJO283" s="184"/>
      <c r="QJP283" s="184"/>
      <c r="QJQ283" s="184"/>
      <c r="QJX283" s="186"/>
      <c r="QJY283" s="183"/>
      <c r="QJZ283" s="184"/>
      <c r="QKA283" s="184"/>
      <c r="QKB283" s="184"/>
      <c r="QKC283" s="184"/>
      <c r="QKD283" s="184"/>
      <c r="QKE283" s="184"/>
      <c r="QKF283" s="184"/>
      <c r="QKM283" s="186"/>
      <c r="QKN283" s="183"/>
      <c r="QKO283" s="184"/>
      <c r="QKP283" s="184"/>
      <c r="QKQ283" s="184"/>
      <c r="QKR283" s="184"/>
      <c r="QKS283" s="184"/>
      <c r="QKT283" s="184"/>
      <c r="QKU283" s="184"/>
      <c r="QLB283" s="186"/>
      <c r="QLC283" s="183"/>
      <c r="QLD283" s="184"/>
      <c r="QLE283" s="184"/>
      <c r="QLF283" s="184"/>
      <c r="QLG283" s="184"/>
      <c r="QLH283" s="184"/>
      <c r="QLI283" s="184"/>
      <c r="QLJ283" s="184"/>
      <c r="QLQ283" s="186"/>
      <c r="QLR283" s="183"/>
      <c r="QLS283" s="184"/>
      <c r="QLT283" s="184"/>
      <c r="QLU283" s="184"/>
      <c r="QLV283" s="184"/>
      <c r="QLW283" s="184"/>
      <c r="QLX283" s="184"/>
      <c r="QLY283" s="184"/>
      <c r="QMF283" s="186"/>
      <c r="QMG283" s="183"/>
      <c r="QMH283" s="184"/>
      <c r="QMI283" s="184"/>
      <c r="QMJ283" s="184"/>
      <c r="QMK283" s="184"/>
      <c r="QML283" s="184"/>
      <c r="QMM283" s="184"/>
      <c r="QMN283" s="184"/>
      <c r="QMU283" s="186"/>
      <c r="QMV283" s="183"/>
      <c r="QMW283" s="184"/>
      <c r="QMX283" s="184"/>
      <c r="QMY283" s="184"/>
      <c r="QMZ283" s="184"/>
      <c r="QNA283" s="184"/>
      <c r="QNB283" s="184"/>
      <c r="QNC283" s="184"/>
      <c r="QNJ283" s="186"/>
      <c r="QNK283" s="183"/>
      <c r="QNL283" s="184"/>
      <c r="QNM283" s="184"/>
      <c r="QNN283" s="184"/>
      <c r="QNO283" s="184"/>
      <c r="QNP283" s="184"/>
      <c r="QNQ283" s="184"/>
      <c r="QNR283" s="184"/>
      <c r="QNY283" s="186"/>
      <c r="QNZ283" s="183"/>
      <c r="QOA283" s="184"/>
      <c r="QOB283" s="184"/>
      <c r="QOC283" s="184"/>
      <c r="QOD283" s="184"/>
      <c r="QOE283" s="184"/>
      <c r="QOF283" s="184"/>
      <c r="QOG283" s="184"/>
      <c r="QON283" s="186"/>
      <c r="QOO283" s="183"/>
      <c r="QOP283" s="184"/>
      <c r="QOQ283" s="184"/>
      <c r="QOR283" s="184"/>
      <c r="QOS283" s="184"/>
      <c r="QOT283" s="184"/>
      <c r="QOU283" s="184"/>
      <c r="QOV283" s="184"/>
      <c r="QPC283" s="186"/>
      <c r="QPD283" s="183"/>
      <c r="QPE283" s="184"/>
      <c r="QPF283" s="184"/>
      <c r="QPG283" s="184"/>
      <c r="QPH283" s="184"/>
      <c r="QPI283" s="184"/>
      <c r="QPJ283" s="184"/>
      <c r="QPK283" s="184"/>
      <c r="QPR283" s="186"/>
      <c r="QPS283" s="183"/>
      <c r="QPT283" s="184"/>
      <c r="QPU283" s="184"/>
      <c r="QPV283" s="184"/>
      <c r="QPW283" s="184"/>
      <c r="QPX283" s="184"/>
      <c r="QPY283" s="184"/>
      <c r="QPZ283" s="184"/>
      <c r="QQG283" s="186"/>
      <c r="QQH283" s="183"/>
      <c r="QQI283" s="184"/>
      <c r="QQJ283" s="184"/>
      <c r="QQK283" s="184"/>
      <c r="QQL283" s="184"/>
      <c r="QQM283" s="184"/>
      <c r="QQN283" s="184"/>
      <c r="QQO283" s="184"/>
      <c r="QQV283" s="186"/>
      <c r="QQW283" s="183"/>
      <c r="QQX283" s="184"/>
      <c r="QQY283" s="184"/>
      <c r="QQZ283" s="184"/>
      <c r="QRA283" s="184"/>
      <c r="QRB283" s="184"/>
      <c r="QRC283" s="184"/>
      <c r="QRD283" s="184"/>
      <c r="QRK283" s="186"/>
      <c r="QRL283" s="183"/>
      <c r="QRM283" s="184"/>
      <c r="QRN283" s="184"/>
      <c r="QRO283" s="184"/>
      <c r="QRP283" s="184"/>
      <c r="QRQ283" s="184"/>
      <c r="QRR283" s="184"/>
      <c r="QRS283" s="184"/>
      <c r="QRZ283" s="186"/>
      <c r="QSA283" s="183"/>
      <c r="QSB283" s="184"/>
      <c r="QSC283" s="184"/>
      <c r="QSD283" s="184"/>
      <c r="QSE283" s="184"/>
      <c r="QSF283" s="184"/>
      <c r="QSG283" s="184"/>
      <c r="QSH283" s="184"/>
      <c r="QSO283" s="186"/>
      <c r="QSP283" s="183"/>
      <c r="QSQ283" s="184"/>
      <c r="QSR283" s="184"/>
      <c r="QSS283" s="184"/>
      <c r="QST283" s="184"/>
      <c r="QSU283" s="184"/>
      <c r="QSV283" s="184"/>
      <c r="QSW283" s="184"/>
      <c r="QTD283" s="186"/>
      <c r="QTE283" s="183"/>
      <c r="QTF283" s="184"/>
      <c r="QTG283" s="184"/>
      <c r="QTH283" s="184"/>
      <c r="QTI283" s="184"/>
      <c r="QTJ283" s="184"/>
      <c r="QTK283" s="184"/>
      <c r="QTL283" s="184"/>
      <c r="QTS283" s="186"/>
      <c r="QTT283" s="183"/>
      <c r="QTU283" s="184"/>
      <c r="QTV283" s="184"/>
      <c r="QTW283" s="184"/>
      <c r="QTX283" s="184"/>
      <c r="QTY283" s="184"/>
      <c r="QTZ283" s="184"/>
      <c r="QUA283" s="184"/>
      <c r="QUH283" s="186"/>
      <c r="QUI283" s="183"/>
      <c r="QUJ283" s="184"/>
      <c r="QUK283" s="184"/>
      <c r="QUL283" s="184"/>
      <c r="QUM283" s="184"/>
      <c r="QUN283" s="184"/>
      <c r="QUO283" s="184"/>
      <c r="QUP283" s="184"/>
      <c r="QUW283" s="186"/>
      <c r="QUX283" s="183"/>
      <c r="QUY283" s="184"/>
      <c r="QUZ283" s="184"/>
      <c r="QVA283" s="184"/>
      <c r="QVB283" s="184"/>
      <c r="QVC283" s="184"/>
      <c r="QVD283" s="184"/>
      <c r="QVE283" s="184"/>
      <c r="QVL283" s="186"/>
      <c r="QVM283" s="183"/>
      <c r="QVN283" s="184"/>
      <c r="QVO283" s="184"/>
      <c r="QVP283" s="184"/>
      <c r="QVQ283" s="184"/>
      <c r="QVR283" s="184"/>
      <c r="QVS283" s="184"/>
      <c r="QVT283" s="184"/>
      <c r="QWA283" s="186"/>
      <c r="QWB283" s="183"/>
      <c r="QWC283" s="184"/>
      <c r="QWD283" s="184"/>
      <c r="QWE283" s="184"/>
      <c r="QWF283" s="184"/>
      <c r="QWG283" s="184"/>
      <c r="QWH283" s="184"/>
      <c r="QWI283" s="184"/>
      <c r="QWP283" s="186"/>
      <c r="QWQ283" s="183"/>
      <c r="QWR283" s="184"/>
      <c r="QWS283" s="184"/>
      <c r="QWT283" s="184"/>
      <c r="QWU283" s="184"/>
      <c r="QWV283" s="184"/>
      <c r="QWW283" s="184"/>
      <c r="QWX283" s="184"/>
      <c r="QXE283" s="186"/>
      <c r="QXF283" s="183"/>
      <c r="QXG283" s="184"/>
      <c r="QXH283" s="184"/>
      <c r="QXI283" s="184"/>
      <c r="QXJ283" s="184"/>
      <c r="QXK283" s="184"/>
      <c r="QXL283" s="184"/>
      <c r="QXM283" s="184"/>
      <c r="QXT283" s="186"/>
      <c r="QXU283" s="183"/>
      <c r="QXV283" s="184"/>
      <c r="QXW283" s="184"/>
      <c r="QXX283" s="184"/>
      <c r="QXY283" s="184"/>
      <c r="QXZ283" s="184"/>
      <c r="QYA283" s="184"/>
      <c r="QYB283" s="184"/>
      <c r="QYI283" s="186"/>
      <c r="QYJ283" s="183"/>
      <c r="QYK283" s="184"/>
      <c r="QYL283" s="184"/>
      <c r="QYM283" s="184"/>
      <c r="QYN283" s="184"/>
      <c r="QYO283" s="184"/>
      <c r="QYP283" s="184"/>
      <c r="QYQ283" s="184"/>
      <c r="QYX283" s="186"/>
      <c r="QYY283" s="183"/>
      <c r="QYZ283" s="184"/>
      <c r="QZA283" s="184"/>
      <c r="QZB283" s="184"/>
      <c r="QZC283" s="184"/>
      <c r="QZD283" s="184"/>
      <c r="QZE283" s="184"/>
      <c r="QZF283" s="184"/>
      <c r="QZM283" s="186"/>
      <c r="QZN283" s="183"/>
      <c r="QZO283" s="184"/>
      <c r="QZP283" s="184"/>
      <c r="QZQ283" s="184"/>
      <c r="QZR283" s="184"/>
      <c r="QZS283" s="184"/>
      <c r="QZT283" s="184"/>
      <c r="QZU283" s="184"/>
      <c r="RAB283" s="186"/>
      <c r="RAC283" s="183"/>
      <c r="RAD283" s="184"/>
      <c r="RAE283" s="184"/>
      <c r="RAF283" s="184"/>
      <c r="RAG283" s="184"/>
      <c r="RAH283" s="184"/>
      <c r="RAI283" s="184"/>
      <c r="RAJ283" s="184"/>
      <c r="RAQ283" s="186"/>
      <c r="RAR283" s="183"/>
      <c r="RAS283" s="184"/>
      <c r="RAT283" s="184"/>
      <c r="RAU283" s="184"/>
      <c r="RAV283" s="184"/>
      <c r="RAW283" s="184"/>
      <c r="RAX283" s="184"/>
      <c r="RAY283" s="184"/>
      <c r="RBF283" s="186"/>
      <c r="RBG283" s="183"/>
      <c r="RBH283" s="184"/>
      <c r="RBI283" s="184"/>
      <c r="RBJ283" s="184"/>
      <c r="RBK283" s="184"/>
      <c r="RBL283" s="184"/>
      <c r="RBM283" s="184"/>
      <c r="RBN283" s="184"/>
      <c r="RBU283" s="186"/>
      <c r="RBV283" s="183"/>
      <c r="RBW283" s="184"/>
      <c r="RBX283" s="184"/>
      <c r="RBY283" s="184"/>
      <c r="RBZ283" s="184"/>
      <c r="RCA283" s="184"/>
      <c r="RCB283" s="184"/>
      <c r="RCC283" s="184"/>
      <c r="RCJ283" s="186"/>
      <c r="RCK283" s="183"/>
      <c r="RCL283" s="184"/>
      <c r="RCM283" s="184"/>
      <c r="RCN283" s="184"/>
      <c r="RCO283" s="184"/>
      <c r="RCP283" s="184"/>
      <c r="RCQ283" s="184"/>
      <c r="RCR283" s="184"/>
      <c r="RCY283" s="186"/>
      <c r="RCZ283" s="183"/>
      <c r="RDA283" s="184"/>
      <c r="RDB283" s="184"/>
      <c r="RDC283" s="184"/>
      <c r="RDD283" s="184"/>
      <c r="RDE283" s="184"/>
      <c r="RDF283" s="184"/>
      <c r="RDG283" s="184"/>
      <c r="RDN283" s="186"/>
      <c r="RDO283" s="183"/>
      <c r="RDP283" s="184"/>
      <c r="RDQ283" s="184"/>
      <c r="RDR283" s="184"/>
      <c r="RDS283" s="184"/>
      <c r="RDT283" s="184"/>
      <c r="RDU283" s="184"/>
      <c r="RDV283" s="184"/>
      <c r="REC283" s="186"/>
      <c r="RED283" s="183"/>
      <c r="REE283" s="184"/>
      <c r="REF283" s="184"/>
      <c r="REG283" s="184"/>
      <c r="REH283" s="184"/>
      <c r="REI283" s="184"/>
      <c r="REJ283" s="184"/>
      <c r="REK283" s="184"/>
      <c r="RER283" s="186"/>
      <c r="RES283" s="183"/>
      <c r="RET283" s="184"/>
      <c r="REU283" s="184"/>
      <c r="REV283" s="184"/>
      <c r="REW283" s="184"/>
      <c r="REX283" s="184"/>
      <c r="REY283" s="184"/>
      <c r="REZ283" s="184"/>
      <c r="RFG283" s="186"/>
      <c r="RFH283" s="183"/>
      <c r="RFI283" s="184"/>
      <c r="RFJ283" s="184"/>
      <c r="RFK283" s="184"/>
      <c r="RFL283" s="184"/>
      <c r="RFM283" s="184"/>
      <c r="RFN283" s="184"/>
      <c r="RFO283" s="184"/>
      <c r="RFV283" s="186"/>
      <c r="RFW283" s="183"/>
      <c r="RFX283" s="184"/>
      <c r="RFY283" s="184"/>
      <c r="RFZ283" s="184"/>
      <c r="RGA283" s="184"/>
      <c r="RGB283" s="184"/>
      <c r="RGC283" s="184"/>
      <c r="RGD283" s="184"/>
      <c r="RGK283" s="186"/>
      <c r="RGL283" s="183"/>
      <c r="RGM283" s="184"/>
      <c r="RGN283" s="184"/>
      <c r="RGO283" s="184"/>
      <c r="RGP283" s="184"/>
      <c r="RGQ283" s="184"/>
      <c r="RGR283" s="184"/>
      <c r="RGS283" s="184"/>
      <c r="RGZ283" s="186"/>
      <c r="RHA283" s="183"/>
      <c r="RHB283" s="184"/>
      <c r="RHC283" s="184"/>
      <c r="RHD283" s="184"/>
      <c r="RHE283" s="184"/>
      <c r="RHF283" s="184"/>
      <c r="RHG283" s="184"/>
      <c r="RHH283" s="184"/>
      <c r="RHO283" s="186"/>
      <c r="RHP283" s="183"/>
      <c r="RHQ283" s="184"/>
      <c r="RHR283" s="184"/>
      <c r="RHS283" s="184"/>
      <c r="RHT283" s="184"/>
      <c r="RHU283" s="184"/>
      <c r="RHV283" s="184"/>
      <c r="RHW283" s="184"/>
      <c r="RID283" s="186"/>
      <c r="RIE283" s="183"/>
      <c r="RIF283" s="184"/>
      <c r="RIG283" s="184"/>
      <c r="RIH283" s="184"/>
      <c r="RII283" s="184"/>
      <c r="RIJ283" s="184"/>
      <c r="RIK283" s="184"/>
      <c r="RIL283" s="184"/>
      <c r="RIS283" s="186"/>
      <c r="RIT283" s="183"/>
      <c r="RIU283" s="184"/>
      <c r="RIV283" s="184"/>
      <c r="RIW283" s="184"/>
      <c r="RIX283" s="184"/>
      <c r="RIY283" s="184"/>
      <c r="RIZ283" s="184"/>
      <c r="RJA283" s="184"/>
      <c r="RJH283" s="186"/>
      <c r="RJI283" s="183"/>
      <c r="RJJ283" s="184"/>
      <c r="RJK283" s="184"/>
      <c r="RJL283" s="184"/>
      <c r="RJM283" s="184"/>
      <c r="RJN283" s="184"/>
      <c r="RJO283" s="184"/>
      <c r="RJP283" s="184"/>
      <c r="RJW283" s="186"/>
      <c r="RJX283" s="183"/>
      <c r="RJY283" s="184"/>
      <c r="RJZ283" s="184"/>
      <c r="RKA283" s="184"/>
      <c r="RKB283" s="184"/>
      <c r="RKC283" s="184"/>
      <c r="RKD283" s="184"/>
      <c r="RKE283" s="184"/>
      <c r="RKL283" s="186"/>
      <c r="RKM283" s="183"/>
      <c r="RKN283" s="184"/>
      <c r="RKO283" s="184"/>
      <c r="RKP283" s="184"/>
      <c r="RKQ283" s="184"/>
      <c r="RKR283" s="184"/>
      <c r="RKS283" s="184"/>
      <c r="RKT283" s="184"/>
      <c r="RLA283" s="186"/>
      <c r="RLB283" s="183"/>
      <c r="RLC283" s="184"/>
      <c r="RLD283" s="184"/>
      <c r="RLE283" s="184"/>
      <c r="RLF283" s="184"/>
      <c r="RLG283" s="184"/>
      <c r="RLH283" s="184"/>
      <c r="RLI283" s="184"/>
      <c r="RLP283" s="186"/>
      <c r="RLQ283" s="183"/>
      <c r="RLR283" s="184"/>
      <c r="RLS283" s="184"/>
      <c r="RLT283" s="184"/>
      <c r="RLU283" s="184"/>
      <c r="RLV283" s="184"/>
      <c r="RLW283" s="184"/>
      <c r="RLX283" s="184"/>
      <c r="RME283" s="186"/>
      <c r="RMF283" s="183"/>
      <c r="RMG283" s="184"/>
      <c r="RMH283" s="184"/>
      <c r="RMI283" s="184"/>
      <c r="RMJ283" s="184"/>
      <c r="RMK283" s="184"/>
      <c r="RML283" s="184"/>
      <c r="RMM283" s="184"/>
      <c r="RMT283" s="186"/>
      <c r="RMU283" s="183"/>
      <c r="RMV283" s="184"/>
      <c r="RMW283" s="184"/>
      <c r="RMX283" s="184"/>
      <c r="RMY283" s="184"/>
      <c r="RMZ283" s="184"/>
      <c r="RNA283" s="184"/>
      <c r="RNB283" s="184"/>
      <c r="RNI283" s="186"/>
      <c r="RNJ283" s="183"/>
      <c r="RNK283" s="184"/>
      <c r="RNL283" s="184"/>
      <c r="RNM283" s="184"/>
      <c r="RNN283" s="184"/>
      <c r="RNO283" s="184"/>
      <c r="RNP283" s="184"/>
      <c r="RNQ283" s="184"/>
      <c r="RNX283" s="186"/>
      <c r="RNY283" s="183"/>
      <c r="RNZ283" s="184"/>
      <c r="ROA283" s="184"/>
      <c r="ROB283" s="184"/>
      <c r="ROC283" s="184"/>
      <c r="ROD283" s="184"/>
      <c r="ROE283" s="184"/>
      <c r="ROF283" s="184"/>
      <c r="ROM283" s="186"/>
      <c r="RON283" s="183"/>
      <c r="ROO283" s="184"/>
      <c r="ROP283" s="184"/>
      <c r="ROQ283" s="184"/>
      <c r="ROR283" s="184"/>
      <c r="ROS283" s="184"/>
      <c r="ROT283" s="184"/>
      <c r="ROU283" s="184"/>
      <c r="RPB283" s="186"/>
      <c r="RPC283" s="183"/>
      <c r="RPD283" s="184"/>
      <c r="RPE283" s="184"/>
      <c r="RPF283" s="184"/>
      <c r="RPG283" s="184"/>
      <c r="RPH283" s="184"/>
      <c r="RPI283" s="184"/>
      <c r="RPJ283" s="184"/>
      <c r="RPQ283" s="186"/>
      <c r="RPR283" s="183"/>
      <c r="RPS283" s="184"/>
      <c r="RPT283" s="184"/>
      <c r="RPU283" s="184"/>
      <c r="RPV283" s="184"/>
      <c r="RPW283" s="184"/>
      <c r="RPX283" s="184"/>
      <c r="RPY283" s="184"/>
      <c r="RQF283" s="186"/>
      <c r="RQG283" s="183"/>
      <c r="RQH283" s="184"/>
      <c r="RQI283" s="184"/>
      <c r="RQJ283" s="184"/>
      <c r="RQK283" s="184"/>
      <c r="RQL283" s="184"/>
      <c r="RQM283" s="184"/>
      <c r="RQN283" s="184"/>
      <c r="RQU283" s="186"/>
      <c r="RQV283" s="183"/>
      <c r="RQW283" s="184"/>
      <c r="RQX283" s="184"/>
      <c r="RQY283" s="184"/>
      <c r="RQZ283" s="184"/>
      <c r="RRA283" s="184"/>
      <c r="RRB283" s="184"/>
      <c r="RRC283" s="184"/>
      <c r="RRJ283" s="186"/>
      <c r="RRK283" s="183"/>
      <c r="RRL283" s="184"/>
      <c r="RRM283" s="184"/>
      <c r="RRN283" s="184"/>
      <c r="RRO283" s="184"/>
      <c r="RRP283" s="184"/>
      <c r="RRQ283" s="184"/>
      <c r="RRR283" s="184"/>
      <c r="RRY283" s="186"/>
      <c r="RRZ283" s="183"/>
      <c r="RSA283" s="184"/>
      <c r="RSB283" s="184"/>
      <c r="RSC283" s="184"/>
      <c r="RSD283" s="184"/>
      <c r="RSE283" s="184"/>
      <c r="RSF283" s="184"/>
      <c r="RSG283" s="184"/>
      <c r="RSN283" s="186"/>
      <c r="RSO283" s="183"/>
      <c r="RSP283" s="184"/>
      <c r="RSQ283" s="184"/>
      <c r="RSR283" s="184"/>
      <c r="RSS283" s="184"/>
      <c r="RST283" s="184"/>
      <c r="RSU283" s="184"/>
      <c r="RSV283" s="184"/>
      <c r="RTC283" s="186"/>
      <c r="RTD283" s="183"/>
      <c r="RTE283" s="184"/>
      <c r="RTF283" s="184"/>
      <c r="RTG283" s="184"/>
      <c r="RTH283" s="184"/>
      <c r="RTI283" s="184"/>
      <c r="RTJ283" s="184"/>
      <c r="RTK283" s="184"/>
      <c r="RTR283" s="186"/>
      <c r="RTS283" s="183"/>
      <c r="RTT283" s="184"/>
      <c r="RTU283" s="184"/>
      <c r="RTV283" s="184"/>
      <c r="RTW283" s="184"/>
      <c r="RTX283" s="184"/>
      <c r="RTY283" s="184"/>
      <c r="RTZ283" s="184"/>
      <c r="RUG283" s="186"/>
      <c r="RUH283" s="183"/>
      <c r="RUI283" s="184"/>
      <c r="RUJ283" s="184"/>
      <c r="RUK283" s="184"/>
      <c r="RUL283" s="184"/>
      <c r="RUM283" s="184"/>
      <c r="RUN283" s="184"/>
      <c r="RUO283" s="184"/>
      <c r="RUV283" s="186"/>
      <c r="RUW283" s="183"/>
      <c r="RUX283" s="184"/>
      <c r="RUY283" s="184"/>
      <c r="RUZ283" s="184"/>
      <c r="RVA283" s="184"/>
      <c r="RVB283" s="184"/>
      <c r="RVC283" s="184"/>
      <c r="RVD283" s="184"/>
      <c r="RVK283" s="186"/>
      <c r="RVL283" s="183"/>
      <c r="RVM283" s="184"/>
      <c r="RVN283" s="184"/>
      <c r="RVO283" s="184"/>
      <c r="RVP283" s="184"/>
      <c r="RVQ283" s="184"/>
      <c r="RVR283" s="184"/>
      <c r="RVS283" s="184"/>
      <c r="RVZ283" s="186"/>
      <c r="RWA283" s="183"/>
      <c r="RWB283" s="184"/>
      <c r="RWC283" s="184"/>
      <c r="RWD283" s="184"/>
      <c r="RWE283" s="184"/>
      <c r="RWF283" s="184"/>
      <c r="RWG283" s="184"/>
      <c r="RWH283" s="184"/>
      <c r="RWO283" s="186"/>
      <c r="RWP283" s="183"/>
      <c r="RWQ283" s="184"/>
      <c r="RWR283" s="184"/>
      <c r="RWS283" s="184"/>
      <c r="RWT283" s="184"/>
      <c r="RWU283" s="184"/>
      <c r="RWV283" s="184"/>
      <c r="RWW283" s="184"/>
      <c r="RXD283" s="186"/>
      <c r="RXE283" s="183"/>
      <c r="RXF283" s="184"/>
      <c r="RXG283" s="184"/>
      <c r="RXH283" s="184"/>
      <c r="RXI283" s="184"/>
      <c r="RXJ283" s="184"/>
      <c r="RXK283" s="184"/>
      <c r="RXL283" s="184"/>
      <c r="RXS283" s="186"/>
      <c r="RXT283" s="183"/>
      <c r="RXU283" s="184"/>
      <c r="RXV283" s="184"/>
      <c r="RXW283" s="184"/>
      <c r="RXX283" s="184"/>
      <c r="RXY283" s="184"/>
      <c r="RXZ283" s="184"/>
      <c r="RYA283" s="184"/>
      <c r="RYH283" s="186"/>
      <c r="RYI283" s="183"/>
      <c r="RYJ283" s="184"/>
      <c r="RYK283" s="184"/>
      <c r="RYL283" s="184"/>
      <c r="RYM283" s="184"/>
      <c r="RYN283" s="184"/>
      <c r="RYO283" s="184"/>
      <c r="RYP283" s="184"/>
      <c r="RYW283" s="186"/>
      <c r="RYX283" s="183"/>
      <c r="RYY283" s="184"/>
      <c r="RYZ283" s="184"/>
      <c r="RZA283" s="184"/>
      <c r="RZB283" s="184"/>
      <c r="RZC283" s="184"/>
      <c r="RZD283" s="184"/>
      <c r="RZE283" s="184"/>
      <c r="RZL283" s="186"/>
      <c r="RZM283" s="183"/>
      <c r="RZN283" s="184"/>
      <c r="RZO283" s="184"/>
      <c r="RZP283" s="184"/>
      <c r="RZQ283" s="184"/>
      <c r="RZR283" s="184"/>
      <c r="RZS283" s="184"/>
      <c r="RZT283" s="184"/>
      <c r="SAA283" s="186"/>
      <c r="SAB283" s="183"/>
      <c r="SAC283" s="184"/>
      <c r="SAD283" s="184"/>
      <c r="SAE283" s="184"/>
      <c r="SAF283" s="184"/>
      <c r="SAG283" s="184"/>
      <c r="SAH283" s="184"/>
      <c r="SAI283" s="184"/>
      <c r="SAP283" s="186"/>
      <c r="SAQ283" s="183"/>
      <c r="SAR283" s="184"/>
      <c r="SAS283" s="184"/>
      <c r="SAT283" s="184"/>
      <c r="SAU283" s="184"/>
      <c r="SAV283" s="184"/>
      <c r="SAW283" s="184"/>
      <c r="SAX283" s="184"/>
      <c r="SBE283" s="186"/>
      <c r="SBF283" s="183"/>
      <c r="SBG283" s="184"/>
      <c r="SBH283" s="184"/>
      <c r="SBI283" s="184"/>
      <c r="SBJ283" s="184"/>
      <c r="SBK283" s="184"/>
      <c r="SBL283" s="184"/>
      <c r="SBM283" s="184"/>
      <c r="SBT283" s="186"/>
      <c r="SBU283" s="183"/>
      <c r="SBV283" s="184"/>
      <c r="SBW283" s="184"/>
      <c r="SBX283" s="184"/>
      <c r="SBY283" s="184"/>
      <c r="SBZ283" s="184"/>
      <c r="SCA283" s="184"/>
      <c r="SCB283" s="184"/>
      <c r="SCI283" s="186"/>
      <c r="SCJ283" s="183"/>
      <c r="SCK283" s="184"/>
      <c r="SCL283" s="184"/>
      <c r="SCM283" s="184"/>
      <c r="SCN283" s="184"/>
      <c r="SCO283" s="184"/>
      <c r="SCP283" s="184"/>
      <c r="SCQ283" s="184"/>
      <c r="SCX283" s="186"/>
      <c r="SCY283" s="183"/>
      <c r="SCZ283" s="184"/>
      <c r="SDA283" s="184"/>
      <c r="SDB283" s="184"/>
      <c r="SDC283" s="184"/>
      <c r="SDD283" s="184"/>
      <c r="SDE283" s="184"/>
      <c r="SDF283" s="184"/>
      <c r="SDM283" s="186"/>
      <c r="SDN283" s="183"/>
      <c r="SDO283" s="184"/>
      <c r="SDP283" s="184"/>
      <c r="SDQ283" s="184"/>
      <c r="SDR283" s="184"/>
      <c r="SDS283" s="184"/>
      <c r="SDT283" s="184"/>
      <c r="SDU283" s="184"/>
      <c r="SEB283" s="186"/>
      <c r="SEC283" s="183"/>
      <c r="SED283" s="184"/>
      <c r="SEE283" s="184"/>
      <c r="SEF283" s="184"/>
      <c r="SEG283" s="184"/>
      <c r="SEH283" s="184"/>
      <c r="SEI283" s="184"/>
      <c r="SEJ283" s="184"/>
      <c r="SEQ283" s="186"/>
      <c r="SER283" s="183"/>
      <c r="SES283" s="184"/>
      <c r="SET283" s="184"/>
      <c r="SEU283" s="184"/>
      <c r="SEV283" s="184"/>
      <c r="SEW283" s="184"/>
      <c r="SEX283" s="184"/>
      <c r="SEY283" s="184"/>
      <c r="SFF283" s="186"/>
      <c r="SFG283" s="183"/>
      <c r="SFH283" s="184"/>
      <c r="SFI283" s="184"/>
      <c r="SFJ283" s="184"/>
      <c r="SFK283" s="184"/>
      <c r="SFL283" s="184"/>
      <c r="SFM283" s="184"/>
      <c r="SFN283" s="184"/>
      <c r="SFU283" s="186"/>
      <c r="SFV283" s="183"/>
      <c r="SFW283" s="184"/>
      <c r="SFX283" s="184"/>
      <c r="SFY283" s="184"/>
      <c r="SFZ283" s="184"/>
      <c r="SGA283" s="184"/>
      <c r="SGB283" s="184"/>
      <c r="SGC283" s="184"/>
      <c r="SGJ283" s="186"/>
      <c r="SGK283" s="183"/>
      <c r="SGL283" s="184"/>
      <c r="SGM283" s="184"/>
      <c r="SGN283" s="184"/>
      <c r="SGO283" s="184"/>
      <c r="SGP283" s="184"/>
      <c r="SGQ283" s="184"/>
      <c r="SGR283" s="184"/>
      <c r="SGY283" s="186"/>
      <c r="SGZ283" s="183"/>
      <c r="SHA283" s="184"/>
      <c r="SHB283" s="184"/>
      <c r="SHC283" s="184"/>
      <c r="SHD283" s="184"/>
      <c r="SHE283" s="184"/>
      <c r="SHF283" s="184"/>
      <c r="SHG283" s="184"/>
      <c r="SHN283" s="186"/>
      <c r="SHO283" s="183"/>
      <c r="SHP283" s="184"/>
      <c r="SHQ283" s="184"/>
      <c r="SHR283" s="184"/>
      <c r="SHS283" s="184"/>
      <c r="SHT283" s="184"/>
      <c r="SHU283" s="184"/>
      <c r="SHV283" s="184"/>
      <c r="SIC283" s="186"/>
      <c r="SID283" s="183"/>
      <c r="SIE283" s="184"/>
      <c r="SIF283" s="184"/>
      <c r="SIG283" s="184"/>
      <c r="SIH283" s="184"/>
      <c r="SII283" s="184"/>
      <c r="SIJ283" s="184"/>
      <c r="SIK283" s="184"/>
      <c r="SIR283" s="186"/>
      <c r="SIS283" s="183"/>
      <c r="SIT283" s="184"/>
      <c r="SIU283" s="184"/>
      <c r="SIV283" s="184"/>
      <c r="SIW283" s="184"/>
      <c r="SIX283" s="184"/>
      <c r="SIY283" s="184"/>
      <c r="SIZ283" s="184"/>
      <c r="SJG283" s="186"/>
      <c r="SJH283" s="183"/>
      <c r="SJI283" s="184"/>
      <c r="SJJ283" s="184"/>
      <c r="SJK283" s="184"/>
      <c r="SJL283" s="184"/>
      <c r="SJM283" s="184"/>
      <c r="SJN283" s="184"/>
      <c r="SJO283" s="184"/>
      <c r="SJV283" s="186"/>
      <c r="SJW283" s="183"/>
      <c r="SJX283" s="184"/>
      <c r="SJY283" s="184"/>
      <c r="SJZ283" s="184"/>
      <c r="SKA283" s="184"/>
      <c r="SKB283" s="184"/>
      <c r="SKC283" s="184"/>
      <c r="SKD283" s="184"/>
      <c r="SKK283" s="186"/>
      <c r="SKL283" s="183"/>
      <c r="SKM283" s="184"/>
      <c r="SKN283" s="184"/>
      <c r="SKO283" s="184"/>
      <c r="SKP283" s="184"/>
      <c r="SKQ283" s="184"/>
      <c r="SKR283" s="184"/>
      <c r="SKS283" s="184"/>
      <c r="SKZ283" s="186"/>
      <c r="SLA283" s="183"/>
      <c r="SLB283" s="184"/>
      <c r="SLC283" s="184"/>
      <c r="SLD283" s="184"/>
      <c r="SLE283" s="184"/>
      <c r="SLF283" s="184"/>
      <c r="SLG283" s="184"/>
      <c r="SLH283" s="184"/>
      <c r="SLO283" s="186"/>
      <c r="SLP283" s="183"/>
      <c r="SLQ283" s="184"/>
      <c r="SLR283" s="184"/>
      <c r="SLS283" s="184"/>
      <c r="SLT283" s="184"/>
      <c r="SLU283" s="184"/>
      <c r="SLV283" s="184"/>
      <c r="SLW283" s="184"/>
      <c r="SMD283" s="186"/>
      <c r="SME283" s="183"/>
      <c r="SMF283" s="184"/>
      <c r="SMG283" s="184"/>
      <c r="SMH283" s="184"/>
      <c r="SMI283" s="184"/>
      <c r="SMJ283" s="184"/>
      <c r="SMK283" s="184"/>
      <c r="SML283" s="184"/>
      <c r="SMS283" s="186"/>
      <c r="SMT283" s="183"/>
      <c r="SMU283" s="184"/>
      <c r="SMV283" s="184"/>
      <c r="SMW283" s="184"/>
      <c r="SMX283" s="184"/>
      <c r="SMY283" s="184"/>
      <c r="SMZ283" s="184"/>
      <c r="SNA283" s="184"/>
      <c r="SNH283" s="186"/>
      <c r="SNI283" s="183"/>
      <c r="SNJ283" s="184"/>
      <c r="SNK283" s="184"/>
      <c r="SNL283" s="184"/>
      <c r="SNM283" s="184"/>
      <c r="SNN283" s="184"/>
      <c r="SNO283" s="184"/>
      <c r="SNP283" s="184"/>
      <c r="SNW283" s="186"/>
      <c r="SNX283" s="183"/>
      <c r="SNY283" s="184"/>
      <c r="SNZ283" s="184"/>
      <c r="SOA283" s="184"/>
      <c r="SOB283" s="184"/>
      <c r="SOC283" s="184"/>
      <c r="SOD283" s="184"/>
      <c r="SOE283" s="184"/>
      <c r="SOL283" s="186"/>
      <c r="SOM283" s="183"/>
      <c r="SON283" s="184"/>
      <c r="SOO283" s="184"/>
      <c r="SOP283" s="184"/>
      <c r="SOQ283" s="184"/>
      <c r="SOR283" s="184"/>
      <c r="SOS283" s="184"/>
      <c r="SOT283" s="184"/>
      <c r="SPA283" s="186"/>
      <c r="SPB283" s="183"/>
      <c r="SPC283" s="184"/>
      <c r="SPD283" s="184"/>
      <c r="SPE283" s="184"/>
      <c r="SPF283" s="184"/>
      <c r="SPG283" s="184"/>
      <c r="SPH283" s="184"/>
      <c r="SPI283" s="184"/>
      <c r="SPP283" s="186"/>
      <c r="SPQ283" s="183"/>
      <c r="SPR283" s="184"/>
      <c r="SPS283" s="184"/>
      <c r="SPT283" s="184"/>
      <c r="SPU283" s="184"/>
      <c r="SPV283" s="184"/>
      <c r="SPW283" s="184"/>
      <c r="SPX283" s="184"/>
      <c r="SQE283" s="186"/>
      <c r="SQF283" s="183"/>
      <c r="SQG283" s="184"/>
      <c r="SQH283" s="184"/>
      <c r="SQI283" s="184"/>
      <c r="SQJ283" s="184"/>
      <c r="SQK283" s="184"/>
      <c r="SQL283" s="184"/>
      <c r="SQM283" s="184"/>
      <c r="SQT283" s="186"/>
      <c r="SQU283" s="183"/>
      <c r="SQV283" s="184"/>
      <c r="SQW283" s="184"/>
      <c r="SQX283" s="184"/>
      <c r="SQY283" s="184"/>
      <c r="SQZ283" s="184"/>
      <c r="SRA283" s="184"/>
      <c r="SRB283" s="184"/>
      <c r="SRI283" s="186"/>
      <c r="SRJ283" s="183"/>
      <c r="SRK283" s="184"/>
      <c r="SRL283" s="184"/>
      <c r="SRM283" s="184"/>
      <c r="SRN283" s="184"/>
      <c r="SRO283" s="184"/>
      <c r="SRP283" s="184"/>
      <c r="SRQ283" s="184"/>
      <c r="SRX283" s="186"/>
      <c r="SRY283" s="183"/>
      <c r="SRZ283" s="184"/>
      <c r="SSA283" s="184"/>
      <c r="SSB283" s="184"/>
      <c r="SSC283" s="184"/>
      <c r="SSD283" s="184"/>
      <c r="SSE283" s="184"/>
      <c r="SSF283" s="184"/>
      <c r="SSM283" s="186"/>
      <c r="SSN283" s="183"/>
      <c r="SSO283" s="184"/>
      <c r="SSP283" s="184"/>
      <c r="SSQ283" s="184"/>
      <c r="SSR283" s="184"/>
      <c r="SSS283" s="184"/>
      <c r="SST283" s="184"/>
      <c r="SSU283" s="184"/>
      <c r="STB283" s="186"/>
      <c r="STC283" s="183"/>
      <c r="STD283" s="184"/>
      <c r="STE283" s="184"/>
      <c r="STF283" s="184"/>
      <c r="STG283" s="184"/>
      <c r="STH283" s="184"/>
      <c r="STI283" s="184"/>
      <c r="STJ283" s="184"/>
      <c r="STQ283" s="186"/>
      <c r="STR283" s="183"/>
      <c r="STS283" s="184"/>
      <c r="STT283" s="184"/>
      <c r="STU283" s="184"/>
      <c r="STV283" s="184"/>
      <c r="STW283" s="184"/>
      <c r="STX283" s="184"/>
      <c r="STY283" s="184"/>
      <c r="SUF283" s="186"/>
      <c r="SUG283" s="183"/>
      <c r="SUH283" s="184"/>
      <c r="SUI283" s="184"/>
      <c r="SUJ283" s="184"/>
      <c r="SUK283" s="184"/>
      <c r="SUL283" s="184"/>
      <c r="SUM283" s="184"/>
      <c r="SUN283" s="184"/>
      <c r="SUU283" s="186"/>
      <c r="SUV283" s="183"/>
      <c r="SUW283" s="184"/>
      <c r="SUX283" s="184"/>
      <c r="SUY283" s="184"/>
      <c r="SUZ283" s="184"/>
      <c r="SVA283" s="184"/>
      <c r="SVB283" s="184"/>
      <c r="SVC283" s="184"/>
      <c r="SVJ283" s="186"/>
      <c r="SVK283" s="183"/>
      <c r="SVL283" s="184"/>
      <c r="SVM283" s="184"/>
      <c r="SVN283" s="184"/>
      <c r="SVO283" s="184"/>
      <c r="SVP283" s="184"/>
      <c r="SVQ283" s="184"/>
      <c r="SVR283" s="184"/>
      <c r="SVY283" s="186"/>
      <c r="SVZ283" s="183"/>
      <c r="SWA283" s="184"/>
      <c r="SWB283" s="184"/>
      <c r="SWC283" s="184"/>
      <c r="SWD283" s="184"/>
      <c r="SWE283" s="184"/>
      <c r="SWF283" s="184"/>
      <c r="SWG283" s="184"/>
      <c r="SWN283" s="186"/>
      <c r="SWO283" s="183"/>
      <c r="SWP283" s="184"/>
      <c r="SWQ283" s="184"/>
      <c r="SWR283" s="184"/>
      <c r="SWS283" s="184"/>
      <c r="SWT283" s="184"/>
      <c r="SWU283" s="184"/>
      <c r="SWV283" s="184"/>
      <c r="SXC283" s="186"/>
      <c r="SXD283" s="183"/>
      <c r="SXE283" s="184"/>
      <c r="SXF283" s="184"/>
      <c r="SXG283" s="184"/>
      <c r="SXH283" s="184"/>
      <c r="SXI283" s="184"/>
      <c r="SXJ283" s="184"/>
      <c r="SXK283" s="184"/>
      <c r="SXR283" s="186"/>
      <c r="SXS283" s="183"/>
      <c r="SXT283" s="184"/>
      <c r="SXU283" s="184"/>
      <c r="SXV283" s="184"/>
      <c r="SXW283" s="184"/>
      <c r="SXX283" s="184"/>
      <c r="SXY283" s="184"/>
      <c r="SXZ283" s="184"/>
      <c r="SYG283" s="186"/>
      <c r="SYH283" s="183"/>
      <c r="SYI283" s="184"/>
      <c r="SYJ283" s="184"/>
      <c r="SYK283" s="184"/>
      <c r="SYL283" s="184"/>
      <c r="SYM283" s="184"/>
      <c r="SYN283" s="184"/>
      <c r="SYO283" s="184"/>
      <c r="SYV283" s="186"/>
      <c r="SYW283" s="183"/>
      <c r="SYX283" s="184"/>
      <c r="SYY283" s="184"/>
      <c r="SYZ283" s="184"/>
      <c r="SZA283" s="184"/>
      <c r="SZB283" s="184"/>
      <c r="SZC283" s="184"/>
      <c r="SZD283" s="184"/>
      <c r="SZK283" s="186"/>
      <c r="SZL283" s="183"/>
      <c r="SZM283" s="184"/>
      <c r="SZN283" s="184"/>
      <c r="SZO283" s="184"/>
      <c r="SZP283" s="184"/>
      <c r="SZQ283" s="184"/>
      <c r="SZR283" s="184"/>
      <c r="SZS283" s="184"/>
      <c r="SZZ283" s="186"/>
      <c r="TAA283" s="183"/>
      <c r="TAB283" s="184"/>
      <c r="TAC283" s="184"/>
      <c r="TAD283" s="184"/>
      <c r="TAE283" s="184"/>
      <c r="TAF283" s="184"/>
      <c r="TAG283" s="184"/>
      <c r="TAH283" s="184"/>
      <c r="TAO283" s="186"/>
      <c r="TAP283" s="183"/>
      <c r="TAQ283" s="184"/>
      <c r="TAR283" s="184"/>
      <c r="TAS283" s="184"/>
      <c r="TAT283" s="184"/>
      <c r="TAU283" s="184"/>
      <c r="TAV283" s="184"/>
      <c r="TAW283" s="184"/>
      <c r="TBD283" s="186"/>
      <c r="TBE283" s="183"/>
      <c r="TBF283" s="184"/>
      <c r="TBG283" s="184"/>
      <c r="TBH283" s="184"/>
      <c r="TBI283" s="184"/>
      <c r="TBJ283" s="184"/>
      <c r="TBK283" s="184"/>
      <c r="TBL283" s="184"/>
      <c r="TBS283" s="186"/>
      <c r="TBT283" s="183"/>
      <c r="TBU283" s="184"/>
      <c r="TBV283" s="184"/>
      <c r="TBW283" s="184"/>
      <c r="TBX283" s="184"/>
      <c r="TBY283" s="184"/>
      <c r="TBZ283" s="184"/>
      <c r="TCA283" s="184"/>
      <c r="TCH283" s="186"/>
      <c r="TCI283" s="183"/>
      <c r="TCJ283" s="184"/>
      <c r="TCK283" s="184"/>
      <c r="TCL283" s="184"/>
      <c r="TCM283" s="184"/>
      <c r="TCN283" s="184"/>
      <c r="TCO283" s="184"/>
      <c r="TCP283" s="184"/>
      <c r="TCW283" s="186"/>
      <c r="TCX283" s="183"/>
      <c r="TCY283" s="184"/>
      <c r="TCZ283" s="184"/>
      <c r="TDA283" s="184"/>
      <c r="TDB283" s="184"/>
      <c r="TDC283" s="184"/>
      <c r="TDD283" s="184"/>
      <c r="TDE283" s="184"/>
      <c r="TDL283" s="186"/>
      <c r="TDM283" s="183"/>
      <c r="TDN283" s="184"/>
      <c r="TDO283" s="184"/>
      <c r="TDP283" s="184"/>
      <c r="TDQ283" s="184"/>
      <c r="TDR283" s="184"/>
      <c r="TDS283" s="184"/>
      <c r="TDT283" s="184"/>
      <c r="TEA283" s="186"/>
      <c r="TEB283" s="183"/>
      <c r="TEC283" s="184"/>
      <c r="TED283" s="184"/>
      <c r="TEE283" s="184"/>
      <c r="TEF283" s="184"/>
      <c r="TEG283" s="184"/>
      <c r="TEH283" s="184"/>
      <c r="TEI283" s="184"/>
      <c r="TEP283" s="186"/>
      <c r="TEQ283" s="183"/>
      <c r="TER283" s="184"/>
      <c r="TES283" s="184"/>
      <c r="TET283" s="184"/>
      <c r="TEU283" s="184"/>
      <c r="TEV283" s="184"/>
      <c r="TEW283" s="184"/>
      <c r="TEX283" s="184"/>
      <c r="TFE283" s="186"/>
      <c r="TFF283" s="183"/>
      <c r="TFG283" s="184"/>
      <c r="TFH283" s="184"/>
      <c r="TFI283" s="184"/>
      <c r="TFJ283" s="184"/>
      <c r="TFK283" s="184"/>
      <c r="TFL283" s="184"/>
      <c r="TFM283" s="184"/>
      <c r="TFT283" s="186"/>
      <c r="TFU283" s="183"/>
      <c r="TFV283" s="184"/>
      <c r="TFW283" s="184"/>
      <c r="TFX283" s="184"/>
      <c r="TFY283" s="184"/>
      <c r="TFZ283" s="184"/>
      <c r="TGA283" s="184"/>
      <c r="TGB283" s="184"/>
      <c r="TGI283" s="186"/>
      <c r="TGJ283" s="183"/>
      <c r="TGK283" s="184"/>
      <c r="TGL283" s="184"/>
      <c r="TGM283" s="184"/>
      <c r="TGN283" s="184"/>
      <c r="TGO283" s="184"/>
      <c r="TGP283" s="184"/>
      <c r="TGQ283" s="184"/>
      <c r="TGX283" s="186"/>
      <c r="TGY283" s="183"/>
      <c r="TGZ283" s="184"/>
      <c r="THA283" s="184"/>
      <c r="THB283" s="184"/>
      <c r="THC283" s="184"/>
      <c r="THD283" s="184"/>
      <c r="THE283" s="184"/>
      <c r="THF283" s="184"/>
      <c r="THM283" s="186"/>
      <c r="THN283" s="183"/>
      <c r="THO283" s="184"/>
      <c r="THP283" s="184"/>
      <c r="THQ283" s="184"/>
      <c r="THR283" s="184"/>
      <c r="THS283" s="184"/>
      <c r="THT283" s="184"/>
      <c r="THU283" s="184"/>
      <c r="TIB283" s="186"/>
      <c r="TIC283" s="183"/>
      <c r="TID283" s="184"/>
      <c r="TIE283" s="184"/>
      <c r="TIF283" s="184"/>
      <c r="TIG283" s="184"/>
      <c r="TIH283" s="184"/>
      <c r="TII283" s="184"/>
      <c r="TIJ283" s="184"/>
      <c r="TIQ283" s="186"/>
      <c r="TIR283" s="183"/>
      <c r="TIS283" s="184"/>
      <c r="TIT283" s="184"/>
      <c r="TIU283" s="184"/>
      <c r="TIV283" s="184"/>
      <c r="TIW283" s="184"/>
      <c r="TIX283" s="184"/>
      <c r="TIY283" s="184"/>
      <c r="TJF283" s="186"/>
      <c r="TJG283" s="183"/>
      <c r="TJH283" s="184"/>
      <c r="TJI283" s="184"/>
      <c r="TJJ283" s="184"/>
      <c r="TJK283" s="184"/>
      <c r="TJL283" s="184"/>
      <c r="TJM283" s="184"/>
      <c r="TJN283" s="184"/>
      <c r="TJU283" s="186"/>
      <c r="TJV283" s="183"/>
      <c r="TJW283" s="184"/>
      <c r="TJX283" s="184"/>
      <c r="TJY283" s="184"/>
      <c r="TJZ283" s="184"/>
      <c r="TKA283" s="184"/>
      <c r="TKB283" s="184"/>
      <c r="TKC283" s="184"/>
      <c r="TKJ283" s="186"/>
      <c r="TKK283" s="183"/>
      <c r="TKL283" s="184"/>
      <c r="TKM283" s="184"/>
      <c r="TKN283" s="184"/>
      <c r="TKO283" s="184"/>
      <c r="TKP283" s="184"/>
      <c r="TKQ283" s="184"/>
      <c r="TKR283" s="184"/>
      <c r="TKY283" s="186"/>
      <c r="TKZ283" s="183"/>
      <c r="TLA283" s="184"/>
      <c r="TLB283" s="184"/>
      <c r="TLC283" s="184"/>
      <c r="TLD283" s="184"/>
      <c r="TLE283" s="184"/>
      <c r="TLF283" s="184"/>
      <c r="TLG283" s="184"/>
      <c r="TLN283" s="186"/>
      <c r="TLO283" s="183"/>
      <c r="TLP283" s="184"/>
      <c r="TLQ283" s="184"/>
      <c r="TLR283" s="184"/>
      <c r="TLS283" s="184"/>
      <c r="TLT283" s="184"/>
      <c r="TLU283" s="184"/>
      <c r="TLV283" s="184"/>
      <c r="TMC283" s="186"/>
      <c r="TMD283" s="183"/>
      <c r="TME283" s="184"/>
      <c r="TMF283" s="184"/>
      <c r="TMG283" s="184"/>
      <c r="TMH283" s="184"/>
      <c r="TMI283" s="184"/>
      <c r="TMJ283" s="184"/>
      <c r="TMK283" s="184"/>
      <c r="TMR283" s="186"/>
      <c r="TMS283" s="183"/>
      <c r="TMT283" s="184"/>
      <c r="TMU283" s="184"/>
      <c r="TMV283" s="184"/>
      <c r="TMW283" s="184"/>
      <c r="TMX283" s="184"/>
      <c r="TMY283" s="184"/>
      <c r="TMZ283" s="184"/>
      <c r="TNG283" s="186"/>
      <c r="TNH283" s="183"/>
      <c r="TNI283" s="184"/>
      <c r="TNJ283" s="184"/>
      <c r="TNK283" s="184"/>
      <c r="TNL283" s="184"/>
      <c r="TNM283" s="184"/>
      <c r="TNN283" s="184"/>
      <c r="TNO283" s="184"/>
      <c r="TNV283" s="186"/>
      <c r="TNW283" s="183"/>
      <c r="TNX283" s="184"/>
      <c r="TNY283" s="184"/>
      <c r="TNZ283" s="184"/>
      <c r="TOA283" s="184"/>
      <c r="TOB283" s="184"/>
      <c r="TOC283" s="184"/>
      <c r="TOD283" s="184"/>
      <c r="TOK283" s="186"/>
      <c r="TOL283" s="183"/>
      <c r="TOM283" s="184"/>
      <c r="TON283" s="184"/>
      <c r="TOO283" s="184"/>
      <c r="TOP283" s="184"/>
      <c r="TOQ283" s="184"/>
      <c r="TOR283" s="184"/>
      <c r="TOS283" s="184"/>
      <c r="TOZ283" s="186"/>
      <c r="TPA283" s="183"/>
      <c r="TPB283" s="184"/>
      <c r="TPC283" s="184"/>
      <c r="TPD283" s="184"/>
      <c r="TPE283" s="184"/>
      <c r="TPF283" s="184"/>
      <c r="TPG283" s="184"/>
      <c r="TPH283" s="184"/>
      <c r="TPO283" s="186"/>
      <c r="TPP283" s="183"/>
      <c r="TPQ283" s="184"/>
      <c r="TPR283" s="184"/>
      <c r="TPS283" s="184"/>
      <c r="TPT283" s="184"/>
      <c r="TPU283" s="184"/>
      <c r="TPV283" s="184"/>
      <c r="TPW283" s="184"/>
      <c r="TQD283" s="186"/>
      <c r="TQE283" s="183"/>
      <c r="TQF283" s="184"/>
      <c r="TQG283" s="184"/>
      <c r="TQH283" s="184"/>
      <c r="TQI283" s="184"/>
      <c r="TQJ283" s="184"/>
      <c r="TQK283" s="184"/>
      <c r="TQL283" s="184"/>
      <c r="TQS283" s="186"/>
      <c r="TQT283" s="183"/>
      <c r="TQU283" s="184"/>
      <c r="TQV283" s="184"/>
      <c r="TQW283" s="184"/>
      <c r="TQX283" s="184"/>
      <c r="TQY283" s="184"/>
      <c r="TQZ283" s="184"/>
      <c r="TRA283" s="184"/>
      <c r="TRH283" s="186"/>
      <c r="TRI283" s="183"/>
      <c r="TRJ283" s="184"/>
      <c r="TRK283" s="184"/>
      <c r="TRL283" s="184"/>
      <c r="TRM283" s="184"/>
      <c r="TRN283" s="184"/>
      <c r="TRO283" s="184"/>
      <c r="TRP283" s="184"/>
      <c r="TRW283" s="186"/>
      <c r="TRX283" s="183"/>
      <c r="TRY283" s="184"/>
      <c r="TRZ283" s="184"/>
      <c r="TSA283" s="184"/>
      <c r="TSB283" s="184"/>
      <c r="TSC283" s="184"/>
      <c r="TSD283" s="184"/>
      <c r="TSE283" s="184"/>
      <c r="TSL283" s="186"/>
      <c r="TSM283" s="183"/>
      <c r="TSN283" s="184"/>
      <c r="TSO283" s="184"/>
      <c r="TSP283" s="184"/>
      <c r="TSQ283" s="184"/>
      <c r="TSR283" s="184"/>
      <c r="TSS283" s="184"/>
      <c r="TST283" s="184"/>
      <c r="TTA283" s="186"/>
      <c r="TTB283" s="183"/>
      <c r="TTC283" s="184"/>
      <c r="TTD283" s="184"/>
      <c r="TTE283" s="184"/>
      <c r="TTF283" s="184"/>
      <c r="TTG283" s="184"/>
      <c r="TTH283" s="184"/>
      <c r="TTI283" s="184"/>
      <c r="TTP283" s="186"/>
      <c r="TTQ283" s="183"/>
      <c r="TTR283" s="184"/>
      <c r="TTS283" s="184"/>
      <c r="TTT283" s="184"/>
      <c r="TTU283" s="184"/>
      <c r="TTV283" s="184"/>
      <c r="TTW283" s="184"/>
      <c r="TTX283" s="184"/>
      <c r="TUE283" s="186"/>
      <c r="TUF283" s="183"/>
      <c r="TUG283" s="184"/>
      <c r="TUH283" s="184"/>
      <c r="TUI283" s="184"/>
      <c r="TUJ283" s="184"/>
      <c r="TUK283" s="184"/>
      <c r="TUL283" s="184"/>
      <c r="TUM283" s="184"/>
      <c r="TUT283" s="186"/>
      <c r="TUU283" s="183"/>
      <c r="TUV283" s="184"/>
      <c r="TUW283" s="184"/>
      <c r="TUX283" s="184"/>
      <c r="TUY283" s="184"/>
      <c r="TUZ283" s="184"/>
      <c r="TVA283" s="184"/>
      <c r="TVB283" s="184"/>
      <c r="TVI283" s="186"/>
      <c r="TVJ283" s="183"/>
      <c r="TVK283" s="184"/>
      <c r="TVL283" s="184"/>
      <c r="TVM283" s="184"/>
      <c r="TVN283" s="184"/>
      <c r="TVO283" s="184"/>
      <c r="TVP283" s="184"/>
      <c r="TVQ283" s="184"/>
      <c r="TVX283" s="186"/>
      <c r="TVY283" s="183"/>
      <c r="TVZ283" s="184"/>
      <c r="TWA283" s="184"/>
      <c r="TWB283" s="184"/>
      <c r="TWC283" s="184"/>
      <c r="TWD283" s="184"/>
      <c r="TWE283" s="184"/>
      <c r="TWF283" s="184"/>
      <c r="TWM283" s="186"/>
      <c r="TWN283" s="183"/>
      <c r="TWO283" s="184"/>
      <c r="TWP283" s="184"/>
      <c r="TWQ283" s="184"/>
      <c r="TWR283" s="184"/>
      <c r="TWS283" s="184"/>
      <c r="TWT283" s="184"/>
      <c r="TWU283" s="184"/>
      <c r="TXB283" s="186"/>
      <c r="TXC283" s="183"/>
      <c r="TXD283" s="184"/>
      <c r="TXE283" s="184"/>
      <c r="TXF283" s="184"/>
      <c r="TXG283" s="184"/>
      <c r="TXH283" s="184"/>
      <c r="TXI283" s="184"/>
      <c r="TXJ283" s="184"/>
      <c r="TXQ283" s="186"/>
      <c r="TXR283" s="183"/>
      <c r="TXS283" s="184"/>
      <c r="TXT283" s="184"/>
      <c r="TXU283" s="184"/>
      <c r="TXV283" s="184"/>
      <c r="TXW283" s="184"/>
      <c r="TXX283" s="184"/>
      <c r="TXY283" s="184"/>
      <c r="TYF283" s="186"/>
      <c r="TYG283" s="183"/>
      <c r="TYH283" s="184"/>
      <c r="TYI283" s="184"/>
      <c r="TYJ283" s="184"/>
      <c r="TYK283" s="184"/>
      <c r="TYL283" s="184"/>
      <c r="TYM283" s="184"/>
      <c r="TYN283" s="184"/>
      <c r="TYU283" s="186"/>
      <c r="TYV283" s="183"/>
      <c r="TYW283" s="184"/>
      <c r="TYX283" s="184"/>
      <c r="TYY283" s="184"/>
      <c r="TYZ283" s="184"/>
      <c r="TZA283" s="184"/>
      <c r="TZB283" s="184"/>
      <c r="TZC283" s="184"/>
      <c r="TZJ283" s="186"/>
      <c r="TZK283" s="183"/>
      <c r="TZL283" s="184"/>
      <c r="TZM283" s="184"/>
      <c r="TZN283" s="184"/>
      <c r="TZO283" s="184"/>
      <c r="TZP283" s="184"/>
      <c r="TZQ283" s="184"/>
      <c r="TZR283" s="184"/>
      <c r="TZY283" s="186"/>
      <c r="TZZ283" s="183"/>
      <c r="UAA283" s="184"/>
      <c r="UAB283" s="184"/>
      <c r="UAC283" s="184"/>
      <c r="UAD283" s="184"/>
      <c r="UAE283" s="184"/>
      <c r="UAF283" s="184"/>
      <c r="UAG283" s="184"/>
      <c r="UAN283" s="186"/>
      <c r="UAO283" s="183"/>
      <c r="UAP283" s="184"/>
      <c r="UAQ283" s="184"/>
      <c r="UAR283" s="184"/>
      <c r="UAS283" s="184"/>
      <c r="UAT283" s="184"/>
      <c r="UAU283" s="184"/>
      <c r="UAV283" s="184"/>
      <c r="UBC283" s="186"/>
      <c r="UBD283" s="183"/>
      <c r="UBE283" s="184"/>
      <c r="UBF283" s="184"/>
      <c r="UBG283" s="184"/>
      <c r="UBH283" s="184"/>
      <c r="UBI283" s="184"/>
      <c r="UBJ283" s="184"/>
      <c r="UBK283" s="184"/>
      <c r="UBR283" s="186"/>
      <c r="UBS283" s="183"/>
      <c r="UBT283" s="184"/>
      <c r="UBU283" s="184"/>
      <c r="UBV283" s="184"/>
      <c r="UBW283" s="184"/>
      <c r="UBX283" s="184"/>
      <c r="UBY283" s="184"/>
      <c r="UBZ283" s="184"/>
      <c r="UCG283" s="186"/>
      <c r="UCH283" s="183"/>
      <c r="UCI283" s="184"/>
      <c r="UCJ283" s="184"/>
      <c r="UCK283" s="184"/>
      <c r="UCL283" s="184"/>
      <c r="UCM283" s="184"/>
      <c r="UCN283" s="184"/>
      <c r="UCO283" s="184"/>
      <c r="UCV283" s="186"/>
      <c r="UCW283" s="183"/>
      <c r="UCX283" s="184"/>
      <c r="UCY283" s="184"/>
      <c r="UCZ283" s="184"/>
      <c r="UDA283" s="184"/>
      <c r="UDB283" s="184"/>
      <c r="UDC283" s="184"/>
      <c r="UDD283" s="184"/>
      <c r="UDK283" s="186"/>
      <c r="UDL283" s="183"/>
      <c r="UDM283" s="184"/>
      <c r="UDN283" s="184"/>
      <c r="UDO283" s="184"/>
      <c r="UDP283" s="184"/>
      <c r="UDQ283" s="184"/>
      <c r="UDR283" s="184"/>
      <c r="UDS283" s="184"/>
      <c r="UDZ283" s="186"/>
      <c r="UEA283" s="183"/>
      <c r="UEB283" s="184"/>
      <c r="UEC283" s="184"/>
      <c r="UED283" s="184"/>
      <c r="UEE283" s="184"/>
      <c r="UEF283" s="184"/>
      <c r="UEG283" s="184"/>
      <c r="UEH283" s="184"/>
      <c r="UEO283" s="186"/>
      <c r="UEP283" s="183"/>
      <c r="UEQ283" s="184"/>
      <c r="UER283" s="184"/>
      <c r="UES283" s="184"/>
      <c r="UET283" s="184"/>
      <c r="UEU283" s="184"/>
      <c r="UEV283" s="184"/>
      <c r="UEW283" s="184"/>
      <c r="UFD283" s="186"/>
      <c r="UFE283" s="183"/>
      <c r="UFF283" s="184"/>
      <c r="UFG283" s="184"/>
      <c r="UFH283" s="184"/>
      <c r="UFI283" s="184"/>
      <c r="UFJ283" s="184"/>
      <c r="UFK283" s="184"/>
      <c r="UFL283" s="184"/>
      <c r="UFS283" s="186"/>
      <c r="UFT283" s="183"/>
      <c r="UFU283" s="184"/>
      <c r="UFV283" s="184"/>
      <c r="UFW283" s="184"/>
      <c r="UFX283" s="184"/>
      <c r="UFY283" s="184"/>
      <c r="UFZ283" s="184"/>
      <c r="UGA283" s="184"/>
      <c r="UGH283" s="186"/>
      <c r="UGI283" s="183"/>
      <c r="UGJ283" s="184"/>
      <c r="UGK283" s="184"/>
      <c r="UGL283" s="184"/>
      <c r="UGM283" s="184"/>
      <c r="UGN283" s="184"/>
      <c r="UGO283" s="184"/>
      <c r="UGP283" s="184"/>
      <c r="UGW283" s="186"/>
      <c r="UGX283" s="183"/>
      <c r="UGY283" s="184"/>
      <c r="UGZ283" s="184"/>
      <c r="UHA283" s="184"/>
      <c r="UHB283" s="184"/>
      <c r="UHC283" s="184"/>
      <c r="UHD283" s="184"/>
      <c r="UHE283" s="184"/>
      <c r="UHL283" s="186"/>
      <c r="UHM283" s="183"/>
      <c r="UHN283" s="184"/>
      <c r="UHO283" s="184"/>
      <c r="UHP283" s="184"/>
      <c r="UHQ283" s="184"/>
      <c r="UHR283" s="184"/>
      <c r="UHS283" s="184"/>
      <c r="UHT283" s="184"/>
      <c r="UIA283" s="186"/>
      <c r="UIB283" s="183"/>
      <c r="UIC283" s="184"/>
      <c r="UID283" s="184"/>
      <c r="UIE283" s="184"/>
      <c r="UIF283" s="184"/>
      <c r="UIG283" s="184"/>
      <c r="UIH283" s="184"/>
      <c r="UII283" s="184"/>
      <c r="UIP283" s="186"/>
      <c r="UIQ283" s="183"/>
      <c r="UIR283" s="184"/>
      <c r="UIS283" s="184"/>
      <c r="UIT283" s="184"/>
      <c r="UIU283" s="184"/>
      <c r="UIV283" s="184"/>
      <c r="UIW283" s="184"/>
      <c r="UIX283" s="184"/>
      <c r="UJE283" s="186"/>
      <c r="UJF283" s="183"/>
      <c r="UJG283" s="184"/>
      <c r="UJH283" s="184"/>
      <c r="UJI283" s="184"/>
      <c r="UJJ283" s="184"/>
      <c r="UJK283" s="184"/>
      <c r="UJL283" s="184"/>
      <c r="UJM283" s="184"/>
      <c r="UJT283" s="186"/>
      <c r="UJU283" s="183"/>
      <c r="UJV283" s="184"/>
      <c r="UJW283" s="184"/>
      <c r="UJX283" s="184"/>
      <c r="UJY283" s="184"/>
      <c r="UJZ283" s="184"/>
      <c r="UKA283" s="184"/>
      <c r="UKB283" s="184"/>
      <c r="UKI283" s="186"/>
      <c r="UKJ283" s="183"/>
      <c r="UKK283" s="184"/>
      <c r="UKL283" s="184"/>
      <c r="UKM283" s="184"/>
      <c r="UKN283" s="184"/>
      <c r="UKO283" s="184"/>
      <c r="UKP283" s="184"/>
      <c r="UKQ283" s="184"/>
      <c r="UKX283" s="186"/>
      <c r="UKY283" s="183"/>
      <c r="UKZ283" s="184"/>
      <c r="ULA283" s="184"/>
      <c r="ULB283" s="184"/>
      <c r="ULC283" s="184"/>
      <c r="ULD283" s="184"/>
      <c r="ULE283" s="184"/>
      <c r="ULF283" s="184"/>
      <c r="ULM283" s="186"/>
      <c r="ULN283" s="183"/>
      <c r="ULO283" s="184"/>
      <c r="ULP283" s="184"/>
      <c r="ULQ283" s="184"/>
      <c r="ULR283" s="184"/>
      <c r="ULS283" s="184"/>
      <c r="ULT283" s="184"/>
      <c r="ULU283" s="184"/>
      <c r="UMB283" s="186"/>
      <c r="UMC283" s="183"/>
      <c r="UMD283" s="184"/>
      <c r="UME283" s="184"/>
      <c r="UMF283" s="184"/>
      <c r="UMG283" s="184"/>
      <c r="UMH283" s="184"/>
      <c r="UMI283" s="184"/>
      <c r="UMJ283" s="184"/>
      <c r="UMQ283" s="186"/>
      <c r="UMR283" s="183"/>
      <c r="UMS283" s="184"/>
      <c r="UMT283" s="184"/>
      <c r="UMU283" s="184"/>
      <c r="UMV283" s="184"/>
      <c r="UMW283" s="184"/>
      <c r="UMX283" s="184"/>
      <c r="UMY283" s="184"/>
      <c r="UNF283" s="186"/>
      <c r="UNG283" s="183"/>
      <c r="UNH283" s="184"/>
      <c r="UNI283" s="184"/>
      <c r="UNJ283" s="184"/>
      <c r="UNK283" s="184"/>
      <c r="UNL283" s="184"/>
      <c r="UNM283" s="184"/>
      <c r="UNN283" s="184"/>
      <c r="UNU283" s="186"/>
      <c r="UNV283" s="183"/>
      <c r="UNW283" s="184"/>
      <c r="UNX283" s="184"/>
      <c r="UNY283" s="184"/>
      <c r="UNZ283" s="184"/>
      <c r="UOA283" s="184"/>
      <c r="UOB283" s="184"/>
      <c r="UOC283" s="184"/>
      <c r="UOJ283" s="186"/>
      <c r="UOK283" s="183"/>
      <c r="UOL283" s="184"/>
      <c r="UOM283" s="184"/>
      <c r="UON283" s="184"/>
      <c r="UOO283" s="184"/>
      <c r="UOP283" s="184"/>
      <c r="UOQ283" s="184"/>
      <c r="UOR283" s="184"/>
      <c r="UOY283" s="186"/>
      <c r="UOZ283" s="183"/>
      <c r="UPA283" s="184"/>
      <c r="UPB283" s="184"/>
      <c r="UPC283" s="184"/>
      <c r="UPD283" s="184"/>
      <c r="UPE283" s="184"/>
      <c r="UPF283" s="184"/>
      <c r="UPG283" s="184"/>
      <c r="UPN283" s="186"/>
      <c r="UPO283" s="183"/>
      <c r="UPP283" s="184"/>
      <c r="UPQ283" s="184"/>
      <c r="UPR283" s="184"/>
      <c r="UPS283" s="184"/>
      <c r="UPT283" s="184"/>
      <c r="UPU283" s="184"/>
      <c r="UPV283" s="184"/>
      <c r="UQC283" s="186"/>
      <c r="UQD283" s="183"/>
      <c r="UQE283" s="184"/>
      <c r="UQF283" s="184"/>
      <c r="UQG283" s="184"/>
      <c r="UQH283" s="184"/>
      <c r="UQI283" s="184"/>
      <c r="UQJ283" s="184"/>
      <c r="UQK283" s="184"/>
      <c r="UQR283" s="186"/>
      <c r="UQS283" s="183"/>
      <c r="UQT283" s="184"/>
      <c r="UQU283" s="184"/>
      <c r="UQV283" s="184"/>
      <c r="UQW283" s="184"/>
      <c r="UQX283" s="184"/>
      <c r="UQY283" s="184"/>
      <c r="UQZ283" s="184"/>
      <c r="URG283" s="186"/>
      <c r="URH283" s="183"/>
      <c r="URI283" s="184"/>
      <c r="URJ283" s="184"/>
      <c r="URK283" s="184"/>
      <c r="URL283" s="184"/>
      <c r="URM283" s="184"/>
      <c r="URN283" s="184"/>
      <c r="URO283" s="184"/>
      <c r="URV283" s="186"/>
      <c r="URW283" s="183"/>
      <c r="URX283" s="184"/>
      <c r="URY283" s="184"/>
      <c r="URZ283" s="184"/>
      <c r="USA283" s="184"/>
      <c r="USB283" s="184"/>
      <c r="USC283" s="184"/>
      <c r="USD283" s="184"/>
      <c r="USK283" s="186"/>
      <c r="USL283" s="183"/>
      <c r="USM283" s="184"/>
      <c r="USN283" s="184"/>
      <c r="USO283" s="184"/>
      <c r="USP283" s="184"/>
      <c r="USQ283" s="184"/>
      <c r="USR283" s="184"/>
      <c r="USS283" s="184"/>
      <c r="USZ283" s="186"/>
      <c r="UTA283" s="183"/>
      <c r="UTB283" s="184"/>
      <c r="UTC283" s="184"/>
      <c r="UTD283" s="184"/>
      <c r="UTE283" s="184"/>
      <c r="UTF283" s="184"/>
      <c r="UTG283" s="184"/>
      <c r="UTH283" s="184"/>
      <c r="UTO283" s="186"/>
      <c r="UTP283" s="183"/>
      <c r="UTQ283" s="184"/>
      <c r="UTR283" s="184"/>
      <c r="UTS283" s="184"/>
      <c r="UTT283" s="184"/>
      <c r="UTU283" s="184"/>
      <c r="UTV283" s="184"/>
      <c r="UTW283" s="184"/>
      <c r="UUD283" s="186"/>
      <c r="UUE283" s="183"/>
      <c r="UUF283" s="184"/>
      <c r="UUG283" s="184"/>
      <c r="UUH283" s="184"/>
      <c r="UUI283" s="184"/>
      <c r="UUJ283" s="184"/>
      <c r="UUK283" s="184"/>
      <c r="UUL283" s="184"/>
      <c r="UUS283" s="186"/>
      <c r="UUT283" s="183"/>
      <c r="UUU283" s="184"/>
      <c r="UUV283" s="184"/>
      <c r="UUW283" s="184"/>
      <c r="UUX283" s="184"/>
      <c r="UUY283" s="184"/>
      <c r="UUZ283" s="184"/>
      <c r="UVA283" s="184"/>
      <c r="UVH283" s="186"/>
      <c r="UVI283" s="183"/>
      <c r="UVJ283" s="184"/>
      <c r="UVK283" s="184"/>
      <c r="UVL283" s="184"/>
      <c r="UVM283" s="184"/>
      <c r="UVN283" s="184"/>
      <c r="UVO283" s="184"/>
      <c r="UVP283" s="184"/>
      <c r="UVW283" s="186"/>
      <c r="UVX283" s="183"/>
      <c r="UVY283" s="184"/>
      <c r="UVZ283" s="184"/>
      <c r="UWA283" s="184"/>
      <c r="UWB283" s="184"/>
      <c r="UWC283" s="184"/>
      <c r="UWD283" s="184"/>
      <c r="UWE283" s="184"/>
      <c r="UWL283" s="186"/>
      <c r="UWM283" s="183"/>
      <c r="UWN283" s="184"/>
      <c r="UWO283" s="184"/>
      <c r="UWP283" s="184"/>
      <c r="UWQ283" s="184"/>
      <c r="UWR283" s="184"/>
      <c r="UWS283" s="184"/>
      <c r="UWT283" s="184"/>
      <c r="UXA283" s="186"/>
      <c r="UXB283" s="183"/>
      <c r="UXC283" s="184"/>
      <c r="UXD283" s="184"/>
      <c r="UXE283" s="184"/>
      <c r="UXF283" s="184"/>
      <c r="UXG283" s="184"/>
      <c r="UXH283" s="184"/>
      <c r="UXI283" s="184"/>
      <c r="UXP283" s="186"/>
      <c r="UXQ283" s="183"/>
      <c r="UXR283" s="184"/>
      <c r="UXS283" s="184"/>
      <c r="UXT283" s="184"/>
      <c r="UXU283" s="184"/>
      <c r="UXV283" s="184"/>
      <c r="UXW283" s="184"/>
      <c r="UXX283" s="184"/>
      <c r="UYE283" s="186"/>
      <c r="UYF283" s="183"/>
      <c r="UYG283" s="184"/>
      <c r="UYH283" s="184"/>
      <c r="UYI283" s="184"/>
      <c r="UYJ283" s="184"/>
      <c r="UYK283" s="184"/>
      <c r="UYL283" s="184"/>
      <c r="UYM283" s="184"/>
      <c r="UYT283" s="186"/>
      <c r="UYU283" s="183"/>
      <c r="UYV283" s="184"/>
      <c r="UYW283" s="184"/>
      <c r="UYX283" s="184"/>
      <c r="UYY283" s="184"/>
      <c r="UYZ283" s="184"/>
      <c r="UZA283" s="184"/>
      <c r="UZB283" s="184"/>
      <c r="UZI283" s="186"/>
      <c r="UZJ283" s="183"/>
      <c r="UZK283" s="184"/>
      <c r="UZL283" s="184"/>
      <c r="UZM283" s="184"/>
      <c r="UZN283" s="184"/>
      <c r="UZO283" s="184"/>
      <c r="UZP283" s="184"/>
      <c r="UZQ283" s="184"/>
      <c r="UZX283" s="186"/>
      <c r="UZY283" s="183"/>
      <c r="UZZ283" s="184"/>
      <c r="VAA283" s="184"/>
      <c r="VAB283" s="184"/>
      <c r="VAC283" s="184"/>
      <c r="VAD283" s="184"/>
      <c r="VAE283" s="184"/>
      <c r="VAF283" s="184"/>
      <c r="VAM283" s="186"/>
      <c r="VAN283" s="183"/>
      <c r="VAO283" s="184"/>
      <c r="VAP283" s="184"/>
      <c r="VAQ283" s="184"/>
      <c r="VAR283" s="184"/>
      <c r="VAS283" s="184"/>
      <c r="VAT283" s="184"/>
      <c r="VAU283" s="184"/>
      <c r="VBB283" s="186"/>
      <c r="VBC283" s="183"/>
      <c r="VBD283" s="184"/>
      <c r="VBE283" s="184"/>
      <c r="VBF283" s="184"/>
      <c r="VBG283" s="184"/>
      <c r="VBH283" s="184"/>
      <c r="VBI283" s="184"/>
      <c r="VBJ283" s="184"/>
      <c r="VBQ283" s="186"/>
      <c r="VBR283" s="183"/>
      <c r="VBS283" s="184"/>
      <c r="VBT283" s="184"/>
      <c r="VBU283" s="184"/>
      <c r="VBV283" s="184"/>
      <c r="VBW283" s="184"/>
      <c r="VBX283" s="184"/>
      <c r="VBY283" s="184"/>
      <c r="VCF283" s="186"/>
      <c r="VCG283" s="183"/>
      <c r="VCH283" s="184"/>
      <c r="VCI283" s="184"/>
      <c r="VCJ283" s="184"/>
      <c r="VCK283" s="184"/>
      <c r="VCL283" s="184"/>
      <c r="VCM283" s="184"/>
      <c r="VCN283" s="184"/>
      <c r="VCU283" s="186"/>
      <c r="VCV283" s="183"/>
      <c r="VCW283" s="184"/>
      <c r="VCX283" s="184"/>
      <c r="VCY283" s="184"/>
      <c r="VCZ283" s="184"/>
      <c r="VDA283" s="184"/>
      <c r="VDB283" s="184"/>
      <c r="VDC283" s="184"/>
      <c r="VDJ283" s="186"/>
      <c r="VDK283" s="183"/>
      <c r="VDL283" s="184"/>
      <c r="VDM283" s="184"/>
      <c r="VDN283" s="184"/>
      <c r="VDO283" s="184"/>
      <c r="VDP283" s="184"/>
      <c r="VDQ283" s="184"/>
      <c r="VDR283" s="184"/>
      <c r="VDY283" s="186"/>
      <c r="VDZ283" s="183"/>
      <c r="VEA283" s="184"/>
      <c r="VEB283" s="184"/>
      <c r="VEC283" s="184"/>
      <c r="VED283" s="184"/>
      <c r="VEE283" s="184"/>
      <c r="VEF283" s="184"/>
      <c r="VEG283" s="184"/>
      <c r="VEN283" s="186"/>
      <c r="VEO283" s="183"/>
      <c r="VEP283" s="184"/>
      <c r="VEQ283" s="184"/>
      <c r="VER283" s="184"/>
      <c r="VES283" s="184"/>
      <c r="VET283" s="184"/>
      <c r="VEU283" s="184"/>
      <c r="VEV283" s="184"/>
      <c r="VFC283" s="186"/>
      <c r="VFD283" s="183"/>
      <c r="VFE283" s="184"/>
      <c r="VFF283" s="184"/>
      <c r="VFG283" s="184"/>
      <c r="VFH283" s="184"/>
      <c r="VFI283" s="184"/>
      <c r="VFJ283" s="184"/>
      <c r="VFK283" s="184"/>
      <c r="VFR283" s="186"/>
      <c r="VFS283" s="183"/>
      <c r="VFT283" s="184"/>
      <c r="VFU283" s="184"/>
      <c r="VFV283" s="184"/>
      <c r="VFW283" s="184"/>
      <c r="VFX283" s="184"/>
      <c r="VFY283" s="184"/>
      <c r="VFZ283" s="184"/>
      <c r="VGG283" s="186"/>
      <c r="VGH283" s="183"/>
      <c r="VGI283" s="184"/>
      <c r="VGJ283" s="184"/>
      <c r="VGK283" s="184"/>
      <c r="VGL283" s="184"/>
      <c r="VGM283" s="184"/>
      <c r="VGN283" s="184"/>
      <c r="VGO283" s="184"/>
      <c r="VGV283" s="186"/>
      <c r="VGW283" s="183"/>
      <c r="VGX283" s="184"/>
      <c r="VGY283" s="184"/>
      <c r="VGZ283" s="184"/>
      <c r="VHA283" s="184"/>
      <c r="VHB283" s="184"/>
      <c r="VHC283" s="184"/>
      <c r="VHD283" s="184"/>
      <c r="VHK283" s="186"/>
      <c r="VHL283" s="183"/>
      <c r="VHM283" s="184"/>
      <c r="VHN283" s="184"/>
      <c r="VHO283" s="184"/>
      <c r="VHP283" s="184"/>
      <c r="VHQ283" s="184"/>
      <c r="VHR283" s="184"/>
      <c r="VHS283" s="184"/>
      <c r="VHZ283" s="186"/>
      <c r="VIA283" s="183"/>
      <c r="VIB283" s="184"/>
      <c r="VIC283" s="184"/>
      <c r="VID283" s="184"/>
      <c r="VIE283" s="184"/>
      <c r="VIF283" s="184"/>
      <c r="VIG283" s="184"/>
      <c r="VIH283" s="184"/>
      <c r="VIO283" s="186"/>
      <c r="VIP283" s="183"/>
      <c r="VIQ283" s="184"/>
      <c r="VIR283" s="184"/>
      <c r="VIS283" s="184"/>
      <c r="VIT283" s="184"/>
      <c r="VIU283" s="184"/>
      <c r="VIV283" s="184"/>
      <c r="VIW283" s="184"/>
      <c r="VJD283" s="186"/>
      <c r="VJE283" s="183"/>
      <c r="VJF283" s="184"/>
      <c r="VJG283" s="184"/>
      <c r="VJH283" s="184"/>
      <c r="VJI283" s="184"/>
      <c r="VJJ283" s="184"/>
      <c r="VJK283" s="184"/>
      <c r="VJL283" s="184"/>
      <c r="VJS283" s="186"/>
      <c r="VJT283" s="183"/>
      <c r="VJU283" s="184"/>
      <c r="VJV283" s="184"/>
      <c r="VJW283" s="184"/>
      <c r="VJX283" s="184"/>
      <c r="VJY283" s="184"/>
      <c r="VJZ283" s="184"/>
      <c r="VKA283" s="184"/>
      <c r="VKH283" s="186"/>
      <c r="VKI283" s="183"/>
      <c r="VKJ283" s="184"/>
      <c r="VKK283" s="184"/>
      <c r="VKL283" s="184"/>
      <c r="VKM283" s="184"/>
      <c r="VKN283" s="184"/>
      <c r="VKO283" s="184"/>
      <c r="VKP283" s="184"/>
      <c r="VKW283" s="186"/>
      <c r="VKX283" s="183"/>
      <c r="VKY283" s="184"/>
      <c r="VKZ283" s="184"/>
      <c r="VLA283" s="184"/>
      <c r="VLB283" s="184"/>
      <c r="VLC283" s="184"/>
      <c r="VLD283" s="184"/>
      <c r="VLE283" s="184"/>
      <c r="VLL283" s="186"/>
      <c r="VLM283" s="183"/>
      <c r="VLN283" s="184"/>
      <c r="VLO283" s="184"/>
      <c r="VLP283" s="184"/>
      <c r="VLQ283" s="184"/>
      <c r="VLR283" s="184"/>
      <c r="VLS283" s="184"/>
      <c r="VLT283" s="184"/>
      <c r="VMA283" s="186"/>
      <c r="VMB283" s="183"/>
      <c r="VMC283" s="184"/>
      <c r="VMD283" s="184"/>
      <c r="VME283" s="184"/>
      <c r="VMF283" s="184"/>
      <c r="VMG283" s="184"/>
      <c r="VMH283" s="184"/>
      <c r="VMI283" s="184"/>
      <c r="VMP283" s="186"/>
      <c r="VMQ283" s="183"/>
      <c r="VMR283" s="184"/>
      <c r="VMS283" s="184"/>
      <c r="VMT283" s="184"/>
      <c r="VMU283" s="184"/>
      <c r="VMV283" s="184"/>
      <c r="VMW283" s="184"/>
      <c r="VMX283" s="184"/>
      <c r="VNE283" s="186"/>
      <c r="VNF283" s="183"/>
      <c r="VNG283" s="184"/>
      <c r="VNH283" s="184"/>
      <c r="VNI283" s="184"/>
      <c r="VNJ283" s="184"/>
      <c r="VNK283" s="184"/>
      <c r="VNL283" s="184"/>
      <c r="VNM283" s="184"/>
      <c r="VNT283" s="186"/>
      <c r="VNU283" s="183"/>
      <c r="VNV283" s="184"/>
      <c r="VNW283" s="184"/>
      <c r="VNX283" s="184"/>
      <c r="VNY283" s="184"/>
      <c r="VNZ283" s="184"/>
      <c r="VOA283" s="184"/>
      <c r="VOB283" s="184"/>
      <c r="VOI283" s="186"/>
      <c r="VOJ283" s="183"/>
      <c r="VOK283" s="184"/>
      <c r="VOL283" s="184"/>
      <c r="VOM283" s="184"/>
      <c r="VON283" s="184"/>
      <c r="VOO283" s="184"/>
      <c r="VOP283" s="184"/>
      <c r="VOQ283" s="184"/>
      <c r="VOX283" s="186"/>
      <c r="VOY283" s="183"/>
      <c r="VOZ283" s="184"/>
      <c r="VPA283" s="184"/>
      <c r="VPB283" s="184"/>
      <c r="VPC283" s="184"/>
      <c r="VPD283" s="184"/>
      <c r="VPE283" s="184"/>
      <c r="VPF283" s="184"/>
      <c r="VPM283" s="186"/>
      <c r="VPN283" s="183"/>
      <c r="VPO283" s="184"/>
      <c r="VPP283" s="184"/>
      <c r="VPQ283" s="184"/>
      <c r="VPR283" s="184"/>
      <c r="VPS283" s="184"/>
      <c r="VPT283" s="184"/>
      <c r="VPU283" s="184"/>
      <c r="VQB283" s="186"/>
      <c r="VQC283" s="183"/>
      <c r="VQD283" s="184"/>
      <c r="VQE283" s="184"/>
      <c r="VQF283" s="184"/>
      <c r="VQG283" s="184"/>
      <c r="VQH283" s="184"/>
      <c r="VQI283" s="184"/>
      <c r="VQJ283" s="184"/>
      <c r="VQQ283" s="186"/>
      <c r="VQR283" s="183"/>
      <c r="VQS283" s="184"/>
      <c r="VQT283" s="184"/>
      <c r="VQU283" s="184"/>
      <c r="VQV283" s="184"/>
      <c r="VQW283" s="184"/>
      <c r="VQX283" s="184"/>
      <c r="VQY283" s="184"/>
      <c r="VRF283" s="186"/>
      <c r="VRG283" s="183"/>
      <c r="VRH283" s="184"/>
      <c r="VRI283" s="184"/>
      <c r="VRJ283" s="184"/>
      <c r="VRK283" s="184"/>
      <c r="VRL283" s="184"/>
      <c r="VRM283" s="184"/>
      <c r="VRN283" s="184"/>
      <c r="VRU283" s="186"/>
      <c r="VRV283" s="183"/>
      <c r="VRW283" s="184"/>
      <c r="VRX283" s="184"/>
      <c r="VRY283" s="184"/>
      <c r="VRZ283" s="184"/>
      <c r="VSA283" s="184"/>
      <c r="VSB283" s="184"/>
      <c r="VSC283" s="184"/>
      <c r="VSJ283" s="186"/>
      <c r="VSK283" s="183"/>
      <c r="VSL283" s="184"/>
      <c r="VSM283" s="184"/>
      <c r="VSN283" s="184"/>
      <c r="VSO283" s="184"/>
      <c r="VSP283" s="184"/>
      <c r="VSQ283" s="184"/>
      <c r="VSR283" s="184"/>
      <c r="VSY283" s="186"/>
      <c r="VSZ283" s="183"/>
      <c r="VTA283" s="184"/>
      <c r="VTB283" s="184"/>
      <c r="VTC283" s="184"/>
      <c r="VTD283" s="184"/>
      <c r="VTE283" s="184"/>
      <c r="VTF283" s="184"/>
      <c r="VTG283" s="184"/>
      <c r="VTN283" s="186"/>
      <c r="VTO283" s="183"/>
      <c r="VTP283" s="184"/>
      <c r="VTQ283" s="184"/>
      <c r="VTR283" s="184"/>
      <c r="VTS283" s="184"/>
      <c r="VTT283" s="184"/>
      <c r="VTU283" s="184"/>
      <c r="VTV283" s="184"/>
      <c r="VUC283" s="186"/>
      <c r="VUD283" s="183"/>
      <c r="VUE283" s="184"/>
      <c r="VUF283" s="184"/>
      <c r="VUG283" s="184"/>
      <c r="VUH283" s="184"/>
      <c r="VUI283" s="184"/>
      <c r="VUJ283" s="184"/>
      <c r="VUK283" s="184"/>
      <c r="VUR283" s="186"/>
      <c r="VUS283" s="183"/>
      <c r="VUT283" s="184"/>
      <c r="VUU283" s="184"/>
      <c r="VUV283" s="184"/>
      <c r="VUW283" s="184"/>
      <c r="VUX283" s="184"/>
      <c r="VUY283" s="184"/>
      <c r="VUZ283" s="184"/>
      <c r="VVG283" s="186"/>
      <c r="VVH283" s="183"/>
      <c r="VVI283" s="184"/>
      <c r="VVJ283" s="184"/>
      <c r="VVK283" s="184"/>
      <c r="VVL283" s="184"/>
      <c r="VVM283" s="184"/>
      <c r="VVN283" s="184"/>
      <c r="VVO283" s="184"/>
      <c r="VVV283" s="186"/>
      <c r="VVW283" s="183"/>
      <c r="VVX283" s="184"/>
      <c r="VVY283" s="184"/>
      <c r="VVZ283" s="184"/>
      <c r="VWA283" s="184"/>
      <c r="VWB283" s="184"/>
      <c r="VWC283" s="184"/>
      <c r="VWD283" s="184"/>
      <c r="VWK283" s="186"/>
      <c r="VWL283" s="183"/>
      <c r="VWM283" s="184"/>
      <c r="VWN283" s="184"/>
      <c r="VWO283" s="184"/>
      <c r="VWP283" s="184"/>
      <c r="VWQ283" s="184"/>
      <c r="VWR283" s="184"/>
      <c r="VWS283" s="184"/>
      <c r="VWZ283" s="186"/>
      <c r="VXA283" s="183"/>
      <c r="VXB283" s="184"/>
      <c r="VXC283" s="184"/>
      <c r="VXD283" s="184"/>
      <c r="VXE283" s="184"/>
      <c r="VXF283" s="184"/>
      <c r="VXG283" s="184"/>
      <c r="VXH283" s="184"/>
      <c r="VXO283" s="186"/>
      <c r="VXP283" s="183"/>
      <c r="VXQ283" s="184"/>
      <c r="VXR283" s="184"/>
      <c r="VXS283" s="184"/>
      <c r="VXT283" s="184"/>
      <c r="VXU283" s="184"/>
      <c r="VXV283" s="184"/>
      <c r="VXW283" s="184"/>
      <c r="VYD283" s="186"/>
      <c r="VYE283" s="183"/>
      <c r="VYF283" s="184"/>
      <c r="VYG283" s="184"/>
      <c r="VYH283" s="184"/>
      <c r="VYI283" s="184"/>
      <c r="VYJ283" s="184"/>
      <c r="VYK283" s="184"/>
      <c r="VYL283" s="184"/>
      <c r="VYS283" s="186"/>
      <c r="VYT283" s="183"/>
      <c r="VYU283" s="184"/>
      <c r="VYV283" s="184"/>
      <c r="VYW283" s="184"/>
      <c r="VYX283" s="184"/>
      <c r="VYY283" s="184"/>
      <c r="VYZ283" s="184"/>
      <c r="VZA283" s="184"/>
      <c r="VZH283" s="186"/>
      <c r="VZI283" s="183"/>
      <c r="VZJ283" s="184"/>
      <c r="VZK283" s="184"/>
      <c r="VZL283" s="184"/>
      <c r="VZM283" s="184"/>
      <c r="VZN283" s="184"/>
      <c r="VZO283" s="184"/>
      <c r="VZP283" s="184"/>
      <c r="VZW283" s="186"/>
      <c r="VZX283" s="183"/>
      <c r="VZY283" s="184"/>
      <c r="VZZ283" s="184"/>
      <c r="WAA283" s="184"/>
      <c r="WAB283" s="184"/>
      <c r="WAC283" s="184"/>
      <c r="WAD283" s="184"/>
      <c r="WAE283" s="184"/>
      <c r="WAL283" s="186"/>
      <c r="WAM283" s="183"/>
      <c r="WAN283" s="184"/>
      <c r="WAO283" s="184"/>
      <c r="WAP283" s="184"/>
      <c r="WAQ283" s="184"/>
      <c r="WAR283" s="184"/>
      <c r="WAS283" s="184"/>
      <c r="WAT283" s="184"/>
      <c r="WBA283" s="186"/>
      <c r="WBB283" s="183"/>
      <c r="WBC283" s="184"/>
      <c r="WBD283" s="184"/>
      <c r="WBE283" s="184"/>
      <c r="WBF283" s="184"/>
      <c r="WBG283" s="184"/>
      <c r="WBH283" s="184"/>
      <c r="WBI283" s="184"/>
      <c r="WBP283" s="186"/>
      <c r="WBQ283" s="183"/>
      <c r="WBR283" s="184"/>
      <c r="WBS283" s="184"/>
      <c r="WBT283" s="184"/>
      <c r="WBU283" s="184"/>
      <c r="WBV283" s="184"/>
      <c r="WBW283" s="184"/>
      <c r="WBX283" s="184"/>
      <c r="WCE283" s="186"/>
      <c r="WCF283" s="183"/>
      <c r="WCG283" s="184"/>
      <c r="WCH283" s="184"/>
      <c r="WCI283" s="184"/>
      <c r="WCJ283" s="184"/>
      <c r="WCK283" s="184"/>
      <c r="WCL283" s="184"/>
      <c r="WCM283" s="184"/>
      <c r="WCT283" s="186"/>
      <c r="WCU283" s="183"/>
      <c r="WCV283" s="184"/>
      <c r="WCW283" s="184"/>
      <c r="WCX283" s="184"/>
      <c r="WCY283" s="184"/>
      <c r="WCZ283" s="184"/>
      <c r="WDA283" s="184"/>
      <c r="WDB283" s="184"/>
      <c r="WDI283" s="186"/>
      <c r="WDJ283" s="183"/>
      <c r="WDK283" s="184"/>
      <c r="WDL283" s="184"/>
      <c r="WDM283" s="184"/>
      <c r="WDN283" s="184"/>
      <c r="WDO283" s="184"/>
      <c r="WDP283" s="184"/>
      <c r="WDQ283" s="184"/>
      <c r="WDX283" s="186"/>
      <c r="WDY283" s="183"/>
      <c r="WDZ283" s="184"/>
      <c r="WEA283" s="184"/>
      <c r="WEB283" s="184"/>
      <c r="WEC283" s="184"/>
      <c r="WED283" s="184"/>
      <c r="WEE283" s="184"/>
      <c r="WEF283" s="184"/>
      <c r="WEM283" s="186"/>
      <c r="WEN283" s="183"/>
      <c r="WEO283" s="184"/>
      <c r="WEP283" s="184"/>
      <c r="WEQ283" s="184"/>
      <c r="WER283" s="184"/>
      <c r="WES283" s="184"/>
      <c r="WET283" s="184"/>
      <c r="WEU283" s="184"/>
      <c r="WFB283" s="186"/>
      <c r="WFC283" s="183"/>
      <c r="WFD283" s="184"/>
      <c r="WFE283" s="184"/>
      <c r="WFF283" s="184"/>
      <c r="WFG283" s="184"/>
      <c r="WFH283" s="184"/>
      <c r="WFI283" s="184"/>
      <c r="WFJ283" s="184"/>
      <c r="WFQ283" s="186"/>
      <c r="WFR283" s="183"/>
      <c r="WFS283" s="184"/>
      <c r="WFT283" s="184"/>
      <c r="WFU283" s="184"/>
      <c r="WFV283" s="184"/>
      <c r="WFW283" s="184"/>
      <c r="WFX283" s="184"/>
      <c r="WFY283" s="184"/>
      <c r="WGF283" s="186"/>
      <c r="WGG283" s="183"/>
      <c r="WGH283" s="184"/>
      <c r="WGI283" s="184"/>
      <c r="WGJ283" s="184"/>
      <c r="WGK283" s="184"/>
      <c r="WGL283" s="184"/>
      <c r="WGM283" s="184"/>
      <c r="WGN283" s="184"/>
      <c r="WGU283" s="186"/>
      <c r="WGV283" s="183"/>
      <c r="WGW283" s="184"/>
      <c r="WGX283" s="184"/>
      <c r="WGY283" s="184"/>
      <c r="WGZ283" s="184"/>
      <c r="WHA283" s="184"/>
      <c r="WHB283" s="184"/>
      <c r="WHC283" s="184"/>
      <c r="WHJ283" s="186"/>
      <c r="WHK283" s="183"/>
      <c r="WHL283" s="184"/>
      <c r="WHM283" s="184"/>
      <c r="WHN283" s="184"/>
      <c r="WHO283" s="184"/>
      <c r="WHP283" s="184"/>
      <c r="WHQ283" s="184"/>
      <c r="WHR283" s="184"/>
      <c r="WHY283" s="186"/>
      <c r="WHZ283" s="183"/>
      <c r="WIA283" s="184"/>
      <c r="WIB283" s="184"/>
      <c r="WIC283" s="184"/>
      <c r="WID283" s="184"/>
      <c r="WIE283" s="184"/>
      <c r="WIF283" s="184"/>
      <c r="WIG283" s="184"/>
      <c r="WIN283" s="186"/>
      <c r="WIO283" s="183"/>
      <c r="WIP283" s="184"/>
      <c r="WIQ283" s="184"/>
      <c r="WIR283" s="184"/>
      <c r="WIS283" s="184"/>
      <c r="WIT283" s="184"/>
      <c r="WIU283" s="184"/>
      <c r="WIV283" s="184"/>
      <c r="WJC283" s="186"/>
      <c r="WJD283" s="183"/>
      <c r="WJE283" s="184"/>
      <c r="WJF283" s="184"/>
      <c r="WJG283" s="184"/>
      <c r="WJH283" s="184"/>
      <c r="WJI283" s="184"/>
      <c r="WJJ283" s="184"/>
      <c r="WJK283" s="184"/>
      <c r="WJR283" s="186"/>
      <c r="WJS283" s="183"/>
      <c r="WJT283" s="184"/>
      <c r="WJU283" s="184"/>
      <c r="WJV283" s="184"/>
      <c r="WJW283" s="184"/>
      <c r="WJX283" s="184"/>
      <c r="WJY283" s="184"/>
      <c r="WJZ283" s="184"/>
      <c r="WKG283" s="186"/>
      <c r="WKH283" s="183"/>
      <c r="WKI283" s="184"/>
      <c r="WKJ283" s="184"/>
      <c r="WKK283" s="184"/>
      <c r="WKL283" s="184"/>
      <c r="WKM283" s="184"/>
      <c r="WKN283" s="184"/>
      <c r="WKO283" s="184"/>
      <c r="WKV283" s="186"/>
      <c r="WKW283" s="183"/>
      <c r="WKX283" s="184"/>
      <c r="WKY283" s="184"/>
      <c r="WKZ283" s="184"/>
      <c r="WLA283" s="184"/>
      <c r="WLB283" s="184"/>
      <c r="WLC283" s="184"/>
      <c r="WLD283" s="184"/>
      <c r="WLK283" s="186"/>
      <c r="WLL283" s="183"/>
      <c r="WLM283" s="184"/>
      <c r="WLN283" s="184"/>
      <c r="WLO283" s="184"/>
      <c r="WLP283" s="184"/>
      <c r="WLQ283" s="184"/>
      <c r="WLR283" s="184"/>
      <c r="WLS283" s="184"/>
      <c r="WLZ283" s="186"/>
      <c r="WMA283" s="183"/>
      <c r="WMB283" s="184"/>
      <c r="WMC283" s="184"/>
      <c r="WMD283" s="184"/>
      <c r="WME283" s="184"/>
      <c r="WMF283" s="184"/>
      <c r="WMG283" s="184"/>
      <c r="WMH283" s="184"/>
      <c r="WMO283" s="186"/>
      <c r="WMP283" s="183"/>
      <c r="WMQ283" s="184"/>
      <c r="WMR283" s="184"/>
      <c r="WMS283" s="184"/>
      <c r="WMT283" s="184"/>
      <c r="WMU283" s="184"/>
      <c r="WMV283" s="184"/>
      <c r="WMW283" s="184"/>
      <c r="WND283" s="186"/>
      <c r="WNE283" s="183"/>
      <c r="WNF283" s="184"/>
      <c r="WNG283" s="184"/>
      <c r="WNH283" s="184"/>
      <c r="WNI283" s="184"/>
      <c r="WNJ283" s="184"/>
      <c r="WNK283" s="184"/>
      <c r="WNL283" s="184"/>
      <c r="WNS283" s="186"/>
      <c r="WNT283" s="183"/>
      <c r="WNU283" s="184"/>
      <c r="WNV283" s="184"/>
      <c r="WNW283" s="184"/>
      <c r="WNX283" s="184"/>
      <c r="WNY283" s="184"/>
      <c r="WNZ283" s="184"/>
      <c r="WOA283" s="184"/>
      <c r="WOH283" s="186"/>
      <c r="WOI283" s="183"/>
      <c r="WOJ283" s="184"/>
      <c r="WOK283" s="184"/>
      <c r="WOL283" s="184"/>
      <c r="WOM283" s="184"/>
      <c r="WON283" s="184"/>
      <c r="WOO283" s="184"/>
      <c r="WOP283" s="184"/>
      <c r="WOW283" s="186"/>
      <c r="WOX283" s="183"/>
      <c r="WOY283" s="184"/>
      <c r="WOZ283" s="184"/>
      <c r="WPA283" s="184"/>
      <c r="WPB283" s="184"/>
      <c r="WPC283" s="184"/>
      <c r="WPD283" s="184"/>
      <c r="WPE283" s="184"/>
      <c r="WPL283" s="186"/>
      <c r="WPM283" s="183"/>
      <c r="WPN283" s="184"/>
      <c r="WPO283" s="184"/>
      <c r="WPP283" s="184"/>
      <c r="WPQ283" s="184"/>
      <c r="WPR283" s="184"/>
      <c r="WPS283" s="184"/>
      <c r="WPT283" s="184"/>
      <c r="WQA283" s="186"/>
      <c r="WQB283" s="183"/>
      <c r="WQC283" s="184"/>
      <c r="WQD283" s="184"/>
      <c r="WQE283" s="184"/>
      <c r="WQF283" s="184"/>
      <c r="WQG283" s="184"/>
      <c r="WQH283" s="184"/>
      <c r="WQI283" s="184"/>
      <c r="WQP283" s="186"/>
      <c r="WQQ283" s="183"/>
      <c r="WQR283" s="184"/>
      <c r="WQS283" s="184"/>
      <c r="WQT283" s="184"/>
      <c r="WQU283" s="184"/>
      <c r="WQV283" s="184"/>
      <c r="WQW283" s="184"/>
      <c r="WQX283" s="184"/>
      <c r="WRE283" s="186"/>
      <c r="WRF283" s="183"/>
      <c r="WRG283" s="184"/>
      <c r="WRH283" s="184"/>
      <c r="WRI283" s="184"/>
      <c r="WRJ283" s="184"/>
      <c r="WRK283" s="184"/>
      <c r="WRL283" s="184"/>
      <c r="WRM283" s="184"/>
      <c r="WRT283" s="186"/>
      <c r="WRU283" s="183"/>
      <c r="WRV283" s="184"/>
      <c r="WRW283" s="184"/>
      <c r="WRX283" s="184"/>
      <c r="WRY283" s="184"/>
      <c r="WRZ283" s="184"/>
      <c r="WSA283" s="184"/>
      <c r="WSB283" s="184"/>
      <c r="WSI283" s="186"/>
      <c r="WSJ283" s="183"/>
      <c r="WSK283" s="184"/>
      <c r="WSL283" s="184"/>
      <c r="WSM283" s="184"/>
      <c r="WSN283" s="184"/>
      <c r="WSO283" s="184"/>
      <c r="WSP283" s="184"/>
      <c r="WSQ283" s="184"/>
      <c r="WSX283" s="186"/>
      <c r="WSY283" s="183"/>
      <c r="WSZ283" s="184"/>
      <c r="WTA283" s="184"/>
      <c r="WTB283" s="184"/>
      <c r="WTC283" s="184"/>
      <c r="WTD283" s="184"/>
      <c r="WTE283" s="184"/>
      <c r="WTF283" s="184"/>
      <c r="WTM283" s="186"/>
      <c r="WTN283" s="183"/>
      <c r="WTO283" s="184"/>
      <c r="WTP283" s="184"/>
      <c r="WTQ283" s="184"/>
      <c r="WTR283" s="184"/>
      <c r="WTS283" s="184"/>
      <c r="WTT283" s="184"/>
      <c r="WTU283" s="184"/>
      <c r="WUB283" s="186"/>
      <c r="WUC283" s="183"/>
      <c r="WUD283" s="184"/>
      <c r="WUE283" s="184"/>
      <c r="WUF283" s="184"/>
      <c r="WUG283" s="184"/>
      <c r="WUH283" s="184"/>
      <c r="WUI283" s="184"/>
      <c r="WUJ283" s="184"/>
      <c r="WUQ283" s="186"/>
      <c r="WUR283" s="183"/>
      <c r="WUS283" s="184"/>
      <c r="WUT283" s="184"/>
      <c r="WUU283" s="184"/>
      <c r="WUV283" s="184"/>
      <c r="WUW283" s="184"/>
      <c r="WUX283" s="184"/>
      <c r="WUY283" s="184"/>
      <c r="WVF283" s="186"/>
      <c r="WVG283" s="183"/>
      <c r="WVH283" s="184"/>
      <c r="WVI283" s="184"/>
      <c r="WVJ283" s="184"/>
      <c r="WVK283" s="184"/>
      <c r="WVL283" s="184"/>
      <c r="WVM283" s="184"/>
      <c r="WVN283" s="184"/>
      <c r="WVU283" s="186"/>
      <c r="WVV283" s="183"/>
      <c r="WVW283" s="184"/>
      <c r="WVX283" s="184"/>
      <c r="WVY283" s="184"/>
      <c r="WVZ283" s="184"/>
      <c r="WWA283" s="184"/>
      <c r="WWB283" s="184"/>
      <c r="WWC283" s="184"/>
      <c r="WWJ283" s="186"/>
      <c r="WWK283" s="183"/>
      <c r="WWL283" s="184"/>
      <c r="WWM283" s="184"/>
      <c r="WWN283" s="184"/>
      <c r="WWO283" s="184"/>
      <c r="WWP283" s="184"/>
      <c r="WWQ283" s="184"/>
      <c r="WWR283" s="184"/>
      <c r="WWY283" s="186"/>
      <c r="WWZ283" s="183"/>
      <c r="WXA283" s="184"/>
      <c r="WXB283" s="184"/>
      <c r="WXC283" s="184"/>
      <c r="WXD283" s="184"/>
      <c r="WXE283" s="184"/>
      <c r="WXF283" s="184"/>
      <c r="WXG283" s="184"/>
      <c r="WXN283" s="186"/>
      <c r="WXO283" s="183"/>
      <c r="WXP283" s="184"/>
      <c r="WXQ283" s="184"/>
      <c r="WXR283" s="184"/>
      <c r="WXS283" s="184"/>
      <c r="WXT283" s="184"/>
      <c r="WXU283" s="184"/>
      <c r="WXV283" s="184"/>
      <c r="WYC283" s="186"/>
      <c r="WYD283" s="183"/>
      <c r="WYE283" s="184"/>
      <c r="WYF283" s="184"/>
      <c r="WYG283" s="184"/>
      <c r="WYH283" s="184"/>
      <c r="WYI283" s="184"/>
      <c r="WYJ283" s="184"/>
      <c r="WYK283" s="184"/>
      <c r="WYR283" s="186"/>
      <c r="WYS283" s="183"/>
      <c r="WYT283" s="184"/>
      <c r="WYU283" s="184"/>
      <c r="WYV283" s="184"/>
      <c r="WYW283" s="184"/>
      <c r="WYX283" s="184"/>
      <c r="WYY283" s="184"/>
      <c r="WYZ283" s="184"/>
      <c r="WZG283" s="186"/>
      <c r="WZH283" s="183"/>
      <c r="WZI283" s="184"/>
      <c r="WZJ283" s="184"/>
      <c r="WZK283" s="184"/>
      <c r="WZL283" s="184"/>
      <c r="WZM283" s="184"/>
      <c r="WZN283" s="184"/>
      <c r="WZO283" s="184"/>
      <c r="WZV283" s="186"/>
      <c r="WZW283" s="183"/>
      <c r="WZX283" s="184"/>
      <c r="WZY283" s="184"/>
      <c r="WZZ283" s="184"/>
      <c r="XAA283" s="184"/>
      <c r="XAB283" s="184"/>
      <c r="XAC283" s="184"/>
      <c r="XAD283" s="184"/>
      <c r="XAK283" s="186"/>
      <c r="XAL283" s="183"/>
      <c r="XAM283" s="184"/>
      <c r="XAN283" s="184"/>
      <c r="XAO283" s="184"/>
      <c r="XAP283" s="184"/>
      <c r="XAQ283" s="184"/>
      <c r="XAR283" s="184"/>
      <c r="XAS283" s="184"/>
      <c r="XAZ283" s="186"/>
      <c r="XBA283" s="183"/>
      <c r="XBB283" s="184"/>
      <c r="XBC283" s="184"/>
      <c r="XBD283" s="184"/>
      <c r="XBE283" s="184"/>
      <c r="XBF283" s="184"/>
      <c r="XBG283" s="184"/>
      <c r="XBH283" s="184"/>
      <c r="XBO283" s="186"/>
      <c r="XBP283" s="183"/>
      <c r="XBQ283" s="184"/>
      <c r="XBR283" s="184"/>
      <c r="XBS283" s="184"/>
      <c r="XBT283" s="184"/>
      <c r="XBU283" s="184"/>
      <c r="XBV283" s="184"/>
      <c r="XBW283" s="184"/>
      <c r="XCD283" s="186"/>
      <c r="XCE283" s="183"/>
      <c r="XCF283" s="184"/>
      <c r="XCG283" s="184"/>
      <c r="XCH283" s="184"/>
      <c r="XCI283" s="184"/>
      <c r="XCJ283" s="184"/>
      <c r="XCK283" s="184"/>
      <c r="XCL283" s="184"/>
      <c r="XCS283" s="186"/>
      <c r="XCT283" s="183"/>
      <c r="XCU283" s="184"/>
      <c r="XCV283" s="184"/>
      <c r="XCW283" s="184"/>
      <c r="XCX283" s="184"/>
      <c r="XCY283" s="184"/>
      <c r="XCZ283" s="184"/>
      <c r="XDA283" s="184"/>
      <c r="XDH283" s="186"/>
      <c r="XDI283" s="183"/>
      <c r="XDJ283" s="184"/>
      <c r="XDK283" s="184"/>
      <c r="XDL283" s="184"/>
      <c r="XDM283" s="184"/>
      <c r="XDN283" s="184"/>
      <c r="XDO283" s="184"/>
      <c r="XDP283" s="184"/>
      <c r="XDW283" s="186"/>
      <c r="XDX283" s="183"/>
      <c r="XDY283" s="184"/>
      <c r="XDZ283" s="184"/>
      <c r="XEA283" s="184"/>
      <c r="XEB283" s="184"/>
      <c r="XEC283" s="184"/>
      <c r="XED283" s="184"/>
      <c r="XEE283" s="184"/>
      <c r="XEL283" s="186"/>
      <c r="XEM283" s="183"/>
      <c r="XEN283" s="184"/>
      <c r="XEO283" s="184"/>
      <c r="XEP283" s="184"/>
      <c r="XEQ283" s="184"/>
      <c r="XER283" s="184"/>
      <c r="XES283" s="184"/>
      <c r="XET283" s="184"/>
      <c r="XFA283" s="186"/>
      <c r="XFB283" s="183"/>
      <c r="XFC283" s="184"/>
      <c r="XFD283" s="184"/>
    </row>
    <row r="284" spans="1:3069 3076:6144 6151:7164 7171:10239 10246:11259 11266:14334 14341:15354 15361:16384" ht="14.25" customHeight="1">
      <c r="A284" s="1" t="s">
        <v>89</v>
      </c>
      <c r="B284" s="8">
        <v>3.7</v>
      </c>
      <c r="C284" s="8">
        <v>4.5</v>
      </c>
      <c r="D284" s="8">
        <v>4.5999999999999996</v>
      </c>
      <c r="E284" s="8">
        <v>4.0999999999999996</v>
      </c>
      <c r="F284" s="8">
        <v>2.7</v>
      </c>
      <c r="G284" s="8">
        <v>3.5</v>
      </c>
    </row>
    <row r="285" spans="1:3069 3076:6144 6151:7164 7171:10239 10246:11259 11266:14334 14341:15354 15361:16384" ht="14.25" customHeight="1">
      <c r="A285" s="130" t="s">
        <v>371</v>
      </c>
      <c r="B285" s="42">
        <f t="shared" ref="B285" si="53">B284/B280</f>
        <v>1.2333333333333333E-2</v>
      </c>
      <c r="C285" s="42">
        <f t="shared" ref="C285" si="54">C284/C280</f>
        <v>1.3392857142857142E-2</v>
      </c>
      <c r="D285" s="42">
        <f>D284/D280</f>
        <v>1.3199426111908177E-2</v>
      </c>
      <c r="E285" s="42">
        <f t="shared" ref="E285" si="55">E284/E280</f>
        <v>1.2772585669781931E-2</v>
      </c>
      <c r="F285" s="42">
        <f t="shared" ref="F285" si="56">F284/F280</f>
        <v>8.9020771513353119E-3</v>
      </c>
      <c r="G285" s="42">
        <f t="shared" ref="G285" si="57">G284/G280</f>
        <v>1.1705685618729096E-2</v>
      </c>
      <c r="H285" s="42">
        <f>AVERAGE(C285:G285)</f>
        <v>1.1994526338922333E-2</v>
      </c>
      <c r="I285" s="42"/>
    </row>
    <row r="286" spans="1:3069 3076:6144 6151:7164 7171:10239 10246:11259 11266:14334 14341:15354 15361:16384" ht="14.25" customHeight="1">
      <c r="A286" s="1" t="s">
        <v>90</v>
      </c>
      <c r="B286" s="8">
        <v>0</v>
      </c>
      <c r="C286" s="8">
        <v>0</v>
      </c>
      <c r="D286" s="8">
        <v>3.8</v>
      </c>
      <c r="E286" s="8">
        <v>4.2</v>
      </c>
      <c r="F286" s="8">
        <v>3.3</v>
      </c>
      <c r="G286" s="8">
        <v>3</v>
      </c>
    </row>
    <row r="287" spans="1:3069 3076:6144 6151:7164 7171:10239 10246:11259 11266:14334 14341:15354 15361:16384" ht="14.25" customHeight="1">
      <c r="A287" s="130" t="s">
        <v>371</v>
      </c>
      <c r="B287" s="42"/>
      <c r="C287" s="42"/>
      <c r="D287" s="42">
        <f>D286/D280</f>
        <v>1.0903873744619798E-2</v>
      </c>
      <c r="E287" s="42">
        <f t="shared" ref="E287" si="58">E286/E280</f>
        <v>1.3084112149532711E-2</v>
      </c>
      <c r="F287" s="42">
        <f t="shared" ref="F287" si="59">F286/F280</f>
        <v>1.0880316518298714E-2</v>
      </c>
      <c r="G287" s="42">
        <f t="shared" ref="G287" si="60">G286/G280</f>
        <v>1.0033444816053512E-2</v>
      </c>
      <c r="H287" s="42">
        <f>AVERAGE(C287:G287)</f>
        <v>1.1225436807126184E-2</v>
      </c>
      <c r="I287" s="42"/>
    </row>
    <row r="288" spans="1:3069 3076:6144 6151:7164 7171:10239 10246:11259 11266:14334 14341:15354 15361:16384" ht="14.25" customHeight="1">
      <c r="A288" s="1" t="s">
        <v>91</v>
      </c>
      <c r="B288" s="8">
        <f>B363</f>
        <v>59.360094886663148</v>
      </c>
      <c r="C288" s="8">
        <f t="shared" ref="C288:G288" si="61">C363</f>
        <v>62.207667731629392</v>
      </c>
      <c r="D288" s="8">
        <f t="shared" si="61"/>
        <v>47.321917808219176</v>
      </c>
      <c r="E288" s="8">
        <f t="shared" si="61"/>
        <v>63.696447602131443</v>
      </c>
      <c r="F288" s="8">
        <f t="shared" si="61"/>
        <v>58.049309912170642</v>
      </c>
      <c r="G288" s="8">
        <f t="shared" si="61"/>
        <v>54.169563459983834</v>
      </c>
    </row>
    <row r="289" spans="1:9" ht="14.25" customHeight="1">
      <c r="A289" s="130" t="s">
        <v>371</v>
      </c>
      <c r="B289" s="42">
        <f>B288/B280</f>
        <v>0.19786698295554384</v>
      </c>
      <c r="C289" s="42">
        <f t="shared" ref="C289" si="62">C288/C280</f>
        <v>0.185141868248897</v>
      </c>
      <c r="D289" s="42">
        <f t="shared" ref="D289" si="63">D288/D280</f>
        <v>0.13578742556160453</v>
      </c>
      <c r="E289" s="42">
        <f t="shared" ref="E289" si="64">E288/E280</f>
        <v>0.19843130094121944</v>
      </c>
      <c r="F289" s="42">
        <f t="shared" ref="F289" si="65">F288/F280</f>
        <v>0.19139238348885804</v>
      </c>
      <c r="G289" s="42">
        <f t="shared" ref="G289" si="66">G288/G280</f>
        <v>0.18116910856181884</v>
      </c>
      <c r="H289" s="42">
        <f>AVERAGE(C289:G289)</f>
        <v>0.17838441736047955</v>
      </c>
      <c r="I289" s="42"/>
    </row>
    <row r="290" spans="1:9" ht="14.25" customHeight="1">
      <c r="A290" s="1" t="s">
        <v>142</v>
      </c>
      <c r="B290" s="8">
        <f>B382</f>
        <v>5.060094886663153</v>
      </c>
      <c r="C290" s="8">
        <f t="shared" ref="C290:G290" si="67">C382</f>
        <v>4.807667731629393</v>
      </c>
      <c r="D290" s="8">
        <f t="shared" si="67"/>
        <v>4.2219178082191782</v>
      </c>
      <c r="E290" s="8">
        <f t="shared" si="67"/>
        <v>4.3964476021314383</v>
      </c>
      <c r="F290" s="8">
        <f t="shared" si="67"/>
        <v>3.5493099121706395</v>
      </c>
      <c r="G290" s="8">
        <f t="shared" si="67"/>
        <v>4.1695634599838316</v>
      </c>
    </row>
    <row r="291" spans="1:9" ht="14.25" customHeight="1">
      <c r="A291" s="1" t="s">
        <v>143</v>
      </c>
      <c r="B291" s="8">
        <f>B388</f>
        <v>9.4399051133368488</v>
      </c>
      <c r="C291" s="8">
        <f t="shared" ref="C291:G291" si="68">C388</f>
        <v>10.592332268370606</v>
      </c>
      <c r="D291" s="8">
        <f t="shared" si="68"/>
        <v>9.5780821917808225</v>
      </c>
      <c r="E291" s="8">
        <f t="shared" si="68"/>
        <v>9.2035523978685614</v>
      </c>
      <c r="F291" s="8">
        <f t="shared" si="68"/>
        <v>6.6506900878293598</v>
      </c>
      <c r="G291" s="8">
        <f t="shared" si="68"/>
        <v>7.3304365400161666</v>
      </c>
    </row>
    <row r="292" spans="1:9" ht="14.25" customHeight="1">
      <c r="A292" s="1" t="s">
        <v>145</v>
      </c>
      <c r="B292" s="159">
        <f t="shared" ref="B292:G292" si="69">B282-B284-B286-B288-B290-B291</f>
        <v>31.600000000000009</v>
      </c>
      <c r="C292" s="159">
        <f t="shared" si="69"/>
        <v>35.399999999999977</v>
      </c>
      <c r="D292" s="159">
        <f t="shared" si="69"/>
        <v>52.500000000000043</v>
      </c>
      <c r="E292" s="159">
        <f t="shared" si="69"/>
        <v>23.499999999999993</v>
      </c>
      <c r="F292" s="159">
        <f t="shared" si="69"/>
        <v>39.099999999999994</v>
      </c>
      <c r="G292" s="159">
        <f t="shared" si="69"/>
        <v>40.599999999999994</v>
      </c>
    </row>
    <row r="293" spans="1:9" ht="14.25" customHeight="1">
      <c r="A293" s="1"/>
      <c r="B293" s="1"/>
      <c r="C293" s="1"/>
      <c r="D293" s="1"/>
      <c r="E293" s="2"/>
      <c r="F293" s="2"/>
      <c r="G293" s="27"/>
    </row>
    <row r="294" spans="1:9">
      <c r="A294" s="1"/>
      <c r="B294" s="1"/>
      <c r="C294" s="1"/>
      <c r="D294" s="1"/>
      <c r="E294" s="2"/>
      <c r="F294" s="2"/>
      <c r="G294" s="27"/>
    </row>
    <row r="295" spans="1:9">
      <c r="A295" s="161" t="s">
        <v>372</v>
      </c>
      <c r="B295" s="162">
        <v>2020</v>
      </c>
      <c r="C295" s="162">
        <v>2021</v>
      </c>
      <c r="D295" s="162">
        <v>2022</v>
      </c>
      <c r="E295" s="162">
        <v>2023</v>
      </c>
      <c r="F295" s="163">
        <v>2024</v>
      </c>
      <c r="G295" s="163">
        <v>2025</v>
      </c>
    </row>
    <row r="296" spans="1:9">
      <c r="A296" s="1" t="s">
        <v>139</v>
      </c>
      <c r="B296" s="8">
        <v>0</v>
      </c>
      <c r="C296" s="8">
        <v>0</v>
      </c>
      <c r="D296" s="8">
        <v>0</v>
      </c>
      <c r="E296" s="8">
        <v>0</v>
      </c>
      <c r="F296" s="8">
        <v>0</v>
      </c>
      <c r="G296" s="8">
        <v>0</v>
      </c>
    </row>
    <row r="297" spans="1:9">
      <c r="A297" s="1" t="s">
        <v>140</v>
      </c>
      <c r="B297" s="8">
        <v>59.8</v>
      </c>
      <c r="C297" s="8">
        <v>47.1</v>
      </c>
      <c r="D297" s="8">
        <v>34.299999999999997</v>
      </c>
      <c r="E297" s="8">
        <v>60.4</v>
      </c>
      <c r="F297" s="8">
        <v>67.900000000000006</v>
      </c>
      <c r="G297" s="8">
        <v>68.5</v>
      </c>
    </row>
    <row r="298" spans="1:9">
      <c r="A298" s="1" t="s">
        <v>141</v>
      </c>
      <c r="B298" s="159">
        <v>-59.8</v>
      </c>
      <c r="C298" s="159">
        <v>-47.1</v>
      </c>
      <c r="D298" s="159">
        <v>-34.299999999999997</v>
      </c>
      <c r="E298" s="159">
        <v>-60.4</v>
      </c>
      <c r="F298" s="159">
        <v>-67.900000000000006</v>
      </c>
      <c r="G298" s="159">
        <v>-68.5</v>
      </c>
    </row>
    <row r="299" spans="1:9">
      <c r="A299" s="1" t="s">
        <v>89</v>
      </c>
      <c r="B299" s="8">
        <v>0</v>
      </c>
      <c r="C299" s="8">
        <v>0</v>
      </c>
      <c r="D299" s="8">
        <v>0</v>
      </c>
      <c r="E299" s="8">
        <v>0</v>
      </c>
      <c r="F299" s="8">
        <v>0</v>
      </c>
      <c r="G299" s="8">
        <v>0</v>
      </c>
    </row>
    <row r="300" spans="1:9">
      <c r="A300" s="1" t="s">
        <v>90</v>
      </c>
      <c r="B300" s="8">
        <v>0</v>
      </c>
      <c r="C300" s="8">
        <v>0</v>
      </c>
      <c r="D300" s="8">
        <v>0</v>
      </c>
      <c r="E300" s="8">
        <v>0</v>
      </c>
      <c r="F300" s="8">
        <v>0</v>
      </c>
      <c r="G300" s="8">
        <v>0</v>
      </c>
    </row>
    <row r="301" spans="1:9">
      <c r="A301" s="1" t="s">
        <v>91</v>
      </c>
      <c r="B301" s="48">
        <v>-59.8</v>
      </c>
      <c r="C301" s="8">
        <v>-47.1</v>
      </c>
      <c r="D301" s="8">
        <v>-34.299999999999997</v>
      </c>
      <c r="E301" s="8">
        <v>-60.4</v>
      </c>
      <c r="F301" s="8">
        <v>-67.900000000000006</v>
      </c>
      <c r="G301" s="8">
        <v>-68.5</v>
      </c>
    </row>
    <row r="302" spans="1:9">
      <c r="A302" s="1" t="s">
        <v>142</v>
      </c>
      <c r="B302" s="8">
        <v>0</v>
      </c>
      <c r="C302" s="8">
        <v>0</v>
      </c>
      <c r="D302" s="8">
        <v>0</v>
      </c>
      <c r="E302" s="8">
        <v>0</v>
      </c>
      <c r="F302" s="8">
        <v>0</v>
      </c>
      <c r="G302" s="8">
        <v>0</v>
      </c>
    </row>
    <row r="303" spans="1:9">
      <c r="A303" s="1" t="s">
        <v>143</v>
      </c>
      <c r="B303" s="8">
        <v>0</v>
      </c>
      <c r="C303" s="8">
        <v>0</v>
      </c>
      <c r="D303" s="8">
        <v>0</v>
      </c>
      <c r="E303" s="8">
        <v>0</v>
      </c>
      <c r="F303" s="8">
        <v>0</v>
      </c>
      <c r="G303" s="8">
        <v>0</v>
      </c>
    </row>
    <row r="304" spans="1:9">
      <c r="A304" s="1" t="s">
        <v>145</v>
      </c>
      <c r="B304" s="159">
        <v>0</v>
      </c>
      <c r="C304" s="159">
        <v>0</v>
      </c>
      <c r="D304" s="159">
        <v>0</v>
      </c>
      <c r="E304" s="159">
        <v>0</v>
      </c>
      <c r="F304" s="159">
        <v>0</v>
      </c>
      <c r="G304" s="159">
        <v>0</v>
      </c>
    </row>
    <row r="305" spans="1:10">
      <c r="A305" s="1"/>
      <c r="B305" s="1"/>
      <c r="C305" s="1"/>
      <c r="D305" s="1"/>
      <c r="E305" s="2"/>
      <c r="F305" s="2"/>
      <c r="G305" s="27"/>
    </row>
    <row r="306" spans="1:10">
      <c r="A306" s="47" t="s">
        <v>373</v>
      </c>
      <c r="B306" s="44">
        <v>2020</v>
      </c>
      <c r="C306" s="44">
        <v>2021</v>
      </c>
      <c r="D306" s="44">
        <v>2022</v>
      </c>
      <c r="E306" s="44">
        <v>2023</v>
      </c>
      <c r="F306" s="45">
        <v>2024</v>
      </c>
      <c r="G306" s="36">
        <v>2025</v>
      </c>
    </row>
    <row r="307" spans="1:10">
      <c r="A307" s="6" t="s">
        <v>139</v>
      </c>
      <c r="B307" s="48">
        <f t="shared" ref="B307:G309" si="70">B247+B264+B280+B296</f>
        <v>4895.8</v>
      </c>
      <c r="C307" s="48">
        <f t="shared" si="70"/>
        <v>5190.1000000000004</v>
      </c>
      <c r="D307" s="48">
        <f t="shared" si="70"/>
        <v>5375.6</v>
      </c>
      <c r="E307" s="48">
        <f t="shared" si="70"/>
        <v>5867.9</v>
      </c>
      <c r="F307" s="48">
        <f t="shared" si="70"/>
        <v>6107.1</v>
      </c>
      <c r="G307" s="48">
        <f t="shared" si="70"/>
        <v>6203.2000000000007</v>
      </c>
    </row>
    <row r="308" spans="1:10">
      <c r="A308" s="1" t="s">
        <v>140</v>
      </c>
      <c r="B308" s="48">
        <f t="shared" si="70"/>
        <v>2616.3771217712178</v>
      </c>
      <c r="C308" s="48">
        <f t="shared" si="70"/>
        <v>2858.2</v>
      </c>
      <c r="D308" s="48">
        <f t="shared" si="70"/>
        <v>3058.6000000000004</v>
      </c>
      <c r="E308" s="48">
        <f t="shared" si="70"/>
        <v>3206.6000000000004</v>
      </c>
      <c r="F308" s="48">
        <f t="shared" si="70"/>
        <v>3233.8</v>
      </c>
      <c r="G308" s="48">
        <f t="shared" si="70"/>
        <v>3338.7</v>
      </c>
    </row>
    <row r="309" spans="1:10">
      <c r="A309" s="6" t="s">
        <v>141</v>
      </c>
      <c r="B309" s="180">
        <f t="shared" si="70"/>
        <v>2279.4228782287819</v>
      </c>
      <c r="C309" s="180">
        <f t="shared" si="70"/>
        <v>2331.9</v>
      </c>
      <c r="D309" s="180">
        <f t="shared" si="70"/>
        <v>2316.9999999999995</v>
      </c>
      <c r="E309" s="180">
        <f t="shared" si="70"/>
        <v>2661.2999999999997</v>
      </c>
      <c r="F309" s="180">
        <f t="shared" si="70"/>
        <v>2873.3</v>
      </c>
      <c r="G309" s="180">
        <f t="shared" si="70"/>
        <v>2864.5</v>
      </c>
    </row>
    <row r="310" spans="1:10">
      <c r="A310" s="6" t="s">
        <v>89</v>
      </c>
      <c r="B310" s="48">
        <f t="shared" ref="B310:G310" si="71">B251+B268+B284+B299</f>
        <v>591.20000000000005</v>
      </c>
      <c r="C310" s="48">
        <f t="shared" si="71"/>
        <v>577.70000000000005</v>
      </c>
      <c r="D310" s="48">
        <f t="shared" si="71"/>
        <v>535.20000000000005</v>
      </c>
      <c r="E310" s="48">
        <f t="shared" si="71"/>
        <v>641.30000000000007</v>
      </c>
      <c r="F310" s="48">
        <f t="shared" si="71"/>
        <v>698.1</v>
      </c>
      <c r="G310" s="48">
        <f t="shared" si="71"/>
        <v>708.90000000000009</v>
      </c>
    </row>
    <row r="311" spans="1:10">
      <c r="A311" s="1" t="s">
        <v>90</v>
      </c>
      <c r="B311" s="48">
        <f t="shared" ref="B311:G311" si="72">B253+B270+B286+B300</f>
        <v>0</v>
      </c>
      <c r="C311" s="48">
        <f t="shared" si="72"/>
        <v>0</v>
      </c>
      <c r="D311" s="48">
        <f t="shared" si="72"/>
        <v>110</v>
      </c>
      <c r="E311" s="48">
        <f t="shared" si="72"/>
        <v>122.39999999999999</v>
      </c>
      <c r="F311" s="48">
        <f t="shared" si="72"/>
        <v>139.70000000000002</v>
      </c>
      <c r="G311" s="48">
        <f t="shared" si="72"/>
        <v>145.6</v>
      </c>
    </row>
    <row r="312" spans="1:10">
      <c r="A312" s="1" t="s">
        <v>91</v>
      </c>
      <c r="B312" s="48">
        <f t="shared" ref="B312:G312" si="73">B255+B272+B288+B301</f>
        <v>471.62287822878233</v>
      </c>
      <c r="C312" s="48">
        <f t="shared" si="73"/>
        <v>455.99999999999994</v>
      </c>
      <c r="D312" s="48">
        <f t="shared" si="73"/>
        <v>444</v>
      </c>
      <c r="E312" s="48">
        <f t="shared" si="73"/>
        <v>615</v>
      </c>
      <c r="F312" s="48">
        <f t="shared" si="73"/>
        <v>632.20000000000016</v>
      </c>
      <c r="G312" s="48">
        <f t="shared" si="73"/>
        <v>685</v>
      </c>
    </row>
    <row r="313" spans="1:10">
      <c r="A313" s="1" t="s">
        <v>142</v>
      </c>
      <c r="B313" s="48">
        <f t="shared" ref="B313:G314" si="74">B257+B274+B290+B302</f>
        <v>65.222878228782307</v>
      </c>
      <c r="C313" s="48">
        <f t="shared" si="74"/>
        <v>68.400000000000006</v>
      </c>
      <c r="D313" s="48">
        <f t="shared" si="74"/>
        <v>67</v>
      </c>
      <c r="E313" s="48">
        <f t="shared" si="74"/>
        <v>72.800000000000011</v>
      </c>
      <c r="F313" s="48">
        <f t="shared" si="74"/>
        <v>83.200000000000017</v>
      </c>
      <c r="G313" s="48">
        <f t="shared" si="74"/>
        <v>89.7</v>
      </c>
    </row>
    <row r="314" spans="1:10">
      <c r="A314" s="1" t="s">
        <v>143</v>
      </c>
      <c r="B314" s="48">
        <f t="shared" si="74"/>
        <v>121.67712177121773</v>
      </c>
      <c r="C314" s="48">
        <f t="shared" si="74"/>
        <v>150.69999999999996</v>
      </c>
      <c r="D314" s="48">
        <f t="shared" si="74"/>
        <v>152</v>
      </c>
      <c r="E314" s="48">
        <f t="shared" si="74"/>
        <v>152.4</v>
      </c>
      <c r="F314" s="48">
        <f t="shared" si="74"/>
        <v>155.9</v>
      </c>
      <c r="G314" s="48">
        <f t="shared" si="74"/>
        <v>157.69999999999999</v>
      </c>
    </row>
    <row r="315" spans="1:10">
      <c r="A315" s="1" t="s">
        <v>144</v>
      </c>
      <c r="B315" s="48">
        <f t="shared" ref="B315:G315" si="75">B259+B276</f>
        <v>0</v>
      </c>
      <c r="C315" s="48">
        <f t="shared" si="75"/>
        <v>0</v>
      </c>
      <c r="D315" s="48">
        <f t="shared" si="75"/>
        <v>411</v>
      </c>
      <c r="E315" s="48">
        <f t="shared" si="75"/>
        <v>0</v>
      </c>
      <c r="F315" s="48">
        <f t="shared" si="75"/>
        <v>357.09999999999997</v>
      </c>
      <c r="G315" s="48">
        <f t="shared" si="75"/>
        <v>0</v>
      </c>
    </row>
    <row r="316" spans="1:10">
      <c r="A316" s="1" t="s">
        <v>145</v>
      </c>
      <c r="B316" s="180">
        <f t="shared" ref="B316:G316" si="76">B309-B310-B311-B312-B313-B314-B315</f>
        <v>1029.6999999999994</v>
      </c>
      <c r="C316" s="180">
        <f t="shared" si="76"/>
        <v>1079.0999999999999</v>
      </c>
      <c r="D316" s="180">
        <f t="shared" si="76"/>
        <v>597.7999999999995</v>
      </c>
      <c r="E316" s="180">
        <f t="shared" si="76"/>
        <v>1057.3999999999994</v>
      </c>
      <c r="F316" s="180">
        <f t="shared" si="76"/>
        <v>807.10000000000014</v>
      </c>
      <c r="G316" s="180">
        <f t="shared" si="76"/>
        <v>1077.5999999999999</v>
      </c>
    </row>
    <row r="317" spans="1:10">
      <c r="A317" s="1"/>
      <c r="B317" s="48"/>
      <c r="C317" s="48"/>
      <c r="D317" s="48"/>
      <c r="E317" s="48"/>
      <c r="F317" s="48"/>
      <c r="G317" s="48"/>
    </row>
    <row r="318" spans="1:10">
      <c r="A318" s="1"/>
      <c r="B318" s="1"/>
      <c r="C318" s="1"/>
      <c r="D318" s="1"/>
      <c r="E318" s="2"/>
      <c r="F318" s="2"/>
      <c r="G318" s="27"/>
    </row>
    <row r="319" spans="1:10">
      <c r="A319" s="5" t="s">
        <v>136</v>
      </c>
      <c r="B319" s="45">
        <v>2020</v>
      </c>
      <c r="C319" s="45">
        <v>2021</v>
      </c>
      <c r="D319" s="45">
        <v>2022</v>
      </c>
      <c r="E319" s="45">
        <v>2023</v>
      </c>
      <c r="F319" s="45">
        <v>2024</v>
      </c>
      <c r="G319" s="36">
        <v>2025</v>
      </c>
    </row>
    <row r="320" spans="1:10">
      <c r="A320" s="6" t="s">
        <v>374</v>
      </c>
      <c r="B320" s="49">
        <v>28</v>
      </c>
      <c r="C320" s="49">
        <v>28</v>
      </c>
      <c r="D320" s="49">
        <v>28</v>
      </c>
      <c r="E320" s="49">
        <v>29</v>
      </c>
      <c r="F320" s="49">
        <v>34</v>
      </c>
      <c r="G320" s="13">
        <v>35</v>
      </c>
      <c r="J320" s="42"/>
    </row>
    <row r="321" spans="1:10">
      <c r="A321" s="6" t="s">
        <v>375</v>
      </c>
      <c r="B321" s="49">
        <v>62</v>
      </c>
      <c r="C321" s="49">
        <v>64</v>
      </c>
      <c r="D321" s="49">
        <v>69</v>
      </c>
      <c r="E321" s="49">
        <v>70</v>
      </c>
      <c r="F321" s="49">
        <v>67</v>
      </c>
      <c r="G321" s="13">
        <v>62</v>
      </c>
      <c r="J321" s="42"/>
    </row>
    <row r="322" spans="1:10">
      <c r="A322" s="6" t="s">
        <v>376</v>
      </c>
      <c r="B322" s="49">
        <v>72</v>
      </c>
      <c r="C322" s="49">
        <v>78</v>
      </c>
      <c r="D322" s="49">
        <v>78</v>
      </c>
      <c r="E322" s="49">
        <v>72</v>
      </c>
      <c r="F322" s="49">
        <v>73</v>
      </c>
      <c r="G322" s="13">
        <v>77</v>
      </c>
      <c r="J322" s="42"/>
    </row>
    <row r="323" spans="1:10">
      <c r="A323" s="7" t="s">
        <v>377</v>
      </c>
      <c r="B323" s="14">
        <v>18</v>
      </c>
      <c r="C323" s="14">
        <v>14</v>
      </c>
      <c r="D323" s="14">
        <v>19</v>
      </c>
      <c r="E323" s="14">
        <v>27</v>
      </c>
      <c r="F323" s="14">
        <v>28</v>
      </c>
      <c r="G323" s="15">
        <v>20</v>
      </c>
      <c r="J323" s="42"/>
    </row>
    <row r="327" spans="1:10">
      <c r="A327" s="5" t="s">
        <v>378</v>
      </c>
      <c r="B327" s="44">
        <v>2020</v>
      </c>
      <c r="C327" s="44">
        <v>2021</v>
      </c>
      <c r="D327" s="44">
        <v>2022</v>
      </c>
      <c r="E327" s="44">
        <v>2023</v>
      </c>
      <c r="F327" s="45">
        <v>2024</v>
      </c>
      <c r="G327" s="36">
        <v>2025</v>
      </c>
    </row>
    <row r="328" spans="1:10" s="40" customFormat="1">
      <c r="A328" s="63" t="s">
        <v>379</v>
      </c>
      <c r="B328" s="64">
        <f>SUM(B330:B333)</f>
        <v>2681.6000000000004</v>
      </c>
      <c r="C328" s="64">
        <f t="shared" ref="C328:G328" si="77">SUM(C330:C333)</f>
        <v>2926.6</v>
      </c>
      <c r="D328" s="64">
        <f t="shared" si="77"/>
        <v>3125.6000000000004</v>
      </c>
      <c r="E328" s="64">
        <f t="shared" si="77"/>
        <v>3279.4</v>
      </c>
      <c r="F328" s="64">
        <f t="shared" si="77"/>
        <v>3317</v>
      </c>
      <c r="G328" s="64">
        <f t="shared" si="77"/>
        <v>3428.4</v>
      </c>
    </row>
    <row r="329" spans="1:10">
      <c r="A329" s="50" t="s">
        <v>380</v>
      </c>
      <c r="B329" s="1"/>
      <c r="C329" s="1"/>
      <c r="D329" s="1"/>
      <c r="E329" s="3"/>
      <c r="F329" s="1"/>
      <c r="G329" s="51"/>
    </row>
    <row r="330" spans="1:10">
      <c r="A330" s="52" t="s">
        <v>280</v>
      </c>
      <c r="B330" s="48">
        <v>1966.5</v>
      </c>
      <c r="C330" s="177">
        <v>2146.1</v>
      </c>
      <c r="D330" s="177">
        <v>2336.9</v>
      </c>
      <c r="E330" s="48">
        <v>2434</v>
      </c>
      <c r="F330" s="48">
        <v>2450.1</v>
      </c>
      <c r="G330" s="9">
        <v>2544</v>
      </c>
    </row>
    <row r="331" spans="1:10">
      <c r="A331" s="53" t="s">
        <v>281</v>
      </c>
      <c r="B331" s="48">
        <v>459.40000000000003</v>
      </c>
      <c r="C331" s="48">
        <v>510.1</v>
      </c>
      <c r="D331" s="48">
        <v>523.70000000000005</v>
      </c>
      <c r="E331" s="48">
        <v>568.70000000000005</v>
      </c>
      <c r="F331" s="48">
        <v>605.5</v>
      </c>
      <c r="G331" s="9">
        <v>625.5</v>
      </c>
    </row>
    <row r="332" spans="1:10">
      <c r="A332" s="53" t="s">
        <v>381</v>
      </c>
      <c r="B332" s="48">
        <v>195.9</v>
      </c>
      <c r="C332" s="48">
        <v>223.3</v>
      </c>
      <c r="D332" s="48">
        <v>230.7</v>
      </c>
      <c r="E332" s="48">
        <v>216.3</v>
      </c>
      <c r="F332" s="48">
        <v>193.5</v>
      </c>
      <c r="G332" s="9">
        <v>190.4</v>
      </c>
    </row>
    <row r="333" spans="1:10">
      <c r="A333" s="69" t="s">
        <v>382</v>
      </c>
      <c r="B333" s="67">
        <v>59.8</v>
      </c>
      <c r="C333" s="67">
        <v>47.1</v>
      </c>
      <c r="D333" s="67">
        <v>34.299999999999997</v>
      </c>
      <c r="E333" s="67">
        <v>60.4</v>
      </c>
      <c r="F333" s="67">
        <v>67.900000000000006</v>
      </c>
      <c r="G333" s="11">
        <v>68.5</v>
      </c>
    </row>
    <row r="334" spans="1:10">
      <c r="A334" s="54"/>
      <c r="B334" s="48"/>
      <c r="C334" s="48"/>
      <c r="D334" s="48"/>
      <c r="E334" s="48"/>
      <c r="F334" s="48"/>
      <c r="G334" s="55"/>
    </row>
    <row r="335" spans="1:10">
      <c r="A335" s="106" t="s">
        <v>140</v>
      </c>
      <c r="B335" s="48">
        <f t="shared" ref="B335:F335" si="78">B328-B391</f>
        <v>2615.4000000000005</v>
      </c>
      <c r="C335" s="48">
        <f t="shared" si="78"/>
        <v>2858.2</v>
      </c>
      <c r="D335" s="48">
        <f t="shared" si="78"/>
        <v>3058.6000000000004</v>
      </c>
      <c r="E335" s="48">
        <f t="shared" si="78"/>
        <v>3206.6</v>
      </c>
      <c r="F335" s="48">
        <f t="shared" si="78"/>
        <v>3233.8</v>
      </c>
      <c r="G335" s="48">
        <f t="shared" ref="G335" si="79">G328-G391</f>
        <v>3338.7000000000003</v>
      </c>
    </row>
    <row r="336" spans="1:10">
      <c r="A336" s="56" t="s">
        <v>280</v>
      </c>
      <c r="B336" s="48">
        <f t="shared" ref="B336:F336" si="80">B330-B380</f>
        <v>1916.6667896678966</v>
      </c>
      <c r="C336" s="48">
        <f t="shared" si="80"/>
        <v>2092.2166590597899</v>
      </c>
      <c r="D336" s="48">
        <f t="shared" si="80"/>
        <v>2283.3305936073061</v>
      </c>
      <c r="E336" s="48">
        <f t="shared" si="80"/>
        <v>2374.5509769094137</v>
      </c>
      <c r="F336" s="48">
        <f t="shared" si="80"/>
        <v>2380.5752823086573</v>
      </c>
      <c r="G336" s="48">
        <f t="shared" ref="G336" si="81">G330-G380</f>
        <v>2467.8238884397738</v>
      </c>
    </row>
    <row r="337" spans="1:7">
      <c r="A337" s="56" t="s">
        <v>281</v>
      </c>
      <c r="B337" s="48">
        <f t="shared" ref="B337:G337" si="82">B331-B381</f>
        <v>449.07042698998424</v>
      </c>
      <c r="C337" s="48">
        <f t="shared" si="82"/>
        <v>500.39100867183936</v>
      </c>
      <c r="D337" s="48">
        <f t="shared" si="82"/>
        <v>514.49132420091325</v>
      </c>
      <c r="E337" s="48">
        <f t="shared" si="82"/>
        <v>559.74547069271762</v>
      </c>
      <c r="F337" s="48">
        <f t="shared" si="82"/>
        <v>595.37402760351313</v>
      </c>
      <c r="G337" s="48">
        <f t="shared" si="82"/>
        <v>616.14567502021021</v>
      </c>
    </row>
    <row r="338" spans="1:7">
      <c r="A338" s="56" t="s">
        <v>381</v>
      </c>
      <c r="B338" s="48">
        <f t="shared" ref="B338:G338" si="83">B332-B382</f>
        <v>190.83990511333684</v>
      </c>
      <c r="C338" s="48">
        <f t="shared" si="83"/>
        <v>218.49233226837063</v>
      </c>
      <c r="D338" s="48">
        <f t="shared" si="83"/>
        <v>226.4780821917808</v>
      </c>
      <c r="E338" s="48">
        <f t="shared" si="83"/>
        <v>211.90355239786857</v>
      </c>
      <c r="F338" s="48">
        <f t="shared" si="83"/>
        <v>189.95069008782937</v>
      </c>
      <c r="G338" s="48">
        <f t="shared" si="83"/>
        <v>186.23043654001617</v>
      </c>
    </row>
    <row r="339" spans="1:7">
      <c r="A339" s="56" t="s">
        <v>382</v>
      </c>
      <c r="B339" s="48">
        <f>B333</f>
        <v>59.8</v>
      </c>
      <c r="C339" s="48">
        <f t="shared" ref="C339:G339" si="84">C333</f>
        <v>47.1</v>
      </c>
      <c r="D339" s="48">
        <f t="shared" si="84"/>
        <v>34.299999999999997</v>
      </c>
      <c r="E339" s="48">
        <f t="shared" si="84"/>
        <v>60.4</v>
      </c>
      <c r="F339" s="48">
        <f t="shared" si="84"/>
        <v>67.900000000000006</v>
      </c>
      <c r="G339" s="48">
        <f t="shared" si="84"/>
        <v>68.5</v>
      </c>
    </row>
    <row r="340" spans="1:7">
      <c r="A340" s="57" t="s">
        <v>131</v>
      </c>
      <c r="B340" s="1"/>
      <c r="C340" s="1"/>
      <c r="D340" s="1"/>
      <c r="E340" s="3"/>
      <c r="F340" s="1"/>
      <c r="G340" s="51"/>
    </row>
    <row r="341" spans="1:7" s="40" customFormat="1">
      <c r="A341" s="63" t="s">
        <v>89</v>
      </c>
      <c r="B341" s="64">
        <v>591.20000000000005</v>
      </c>
      <c r="C341" s="64">
        <v>577.70000000000005</v>
      </c>
      <c r="D341" s="64">
        <v>535.20000000000005</v>
      </c>
      <c r="E341" s="64">
        <v>641.29999999999995</v>
      </c>
      <c r="F341" s="64">
        <v>698.1</v>
      </c>
      <c r="G341" s="65">
        <v>708.9</v>
      </c>
    </row>
    <row r="342" spans="1:7">
      <c r="A342" s="50" t="s">
        <v>383</v>
      </c>
      <c r="B342" s="1"/>
      <c r="C342" s="1"/>
      <c r="D342" s="1"/>
      <c r="E342" s="1"/>
      <c r="F342" s="1"/>
      <c r="G342" s="51"/>
    </row>
    <row r="343" spans="1:7">
      <c r="A343" s="56" t="s">
        <v>280</v>
      </c>
      <c r="B343" s="48">
        <v>460.6</v>
      </c>
      <c r="C343" s="48">
        <v>442.1</v>
      </c>
      <c r="D343" s="48">
        <v>412.9</v>
      </c>
      <c r="E343" s="48">
        <v>509.5</v>
      </c>
      <c r="F343" s="48">
        <v>538.5</v>
      </c>
      <c r="G343" s="51">
        <v>532.70000000000005</v>
      </c>
    </row>
    <row r="344" spans="1:7">
      <c r="A344" s="56" t="s">
        <v>281</v>
      </c>
      <c r="B344" s="48">
        <v>126.9</v>
      </c>
      <c r="C344" s="48">
        <v>131.1</v>
      </c>
      <c r="D344" s="48">
        <v>117.7</v>
      </c>
      <c r="E344" s="48">
        <v>127.7</v>
      </c>
      <c r="F344" s="48">
        <v>156.9</v>
      </c>
      <c r="G344" s="51">
        <v>172.7</v>
      </c>
    </row>
    <row r="345" spans="1:7">
      <c r="A345" s="56" t="s">
        <v>381</v>
      </c>
      <c r="B345" s="48">
        <v>3.7</v>
      </c>
      <c r="C345" s="48">
        <v>4.5</v>
      </c>
      <c r="D345" s="48">
        <v>4.5999999999999996</v>
      </c>
      <c r="E345" s="48">
        <v>4.0999999999999996</v>
      </c>
      <c r="F345" s="48">
        <v>2.7</v>
      </c>
      <c r="G345" s="51">
        <v>3.5</v>
      </c>
    </row>
    <row r="346" spans="1:7">
      <c r="A346" s="66" t="s">
        <v>382</v>
      </c>
      <c r="B346" s="67">
        <v>0</v>
      </c>
      <c r="C346" s="67">
        <v>0</v>
      </c>
      <c r="D346" s="67">
        <v>0</v>
      </c>
      <c r="E346" s="67">
        <v>0</v>
      </c>
      <c r="F346" s="67">
        <v>0</v>
      </c>
      <c r="G346" s="62">
        <v>0</v>
      </c>
    </row>
    <row r="347" spans="1:7" s="40" customFormat="1">
      <c r="A347" s="63" t="s">
        <v>90</v>
      </c>
      <c r="B347" s="64">
        <f>B311</f>
        <v>0</v>
      </c>
      <c r="C347" s="64">
        <f>C311</f>
        <v>0</v>
      </c>
      <c r="D347" s="64">
        <f>D311</f>
        <v>110</v>
      </c>
      <c r="E347" s="64">
        <f>E311</f>
        <v>122.39999999999999</v>
      </c>
      <c r="F347" s="64">
        <f>F311</f>
        <v>139.70000000000002</v>
      </c>
      <c r="G347" s="65">
        <v>145.6</v>
      </c>
    </row>
    <row r="348" spans="1:7">
      <c r="A348" s="50" t="s">
        <v>383</v>
      </c>
      <c r="B348" s="1"/>
      <c r="C348" s="1"/>
      <c r="D348" s="1"/>
      <c r="E348" s="1"/>
      <c r="F348" s="1"/>
      <c r="G348" s="51"/>
    </row>
    <row r="349" spans="1:7">
      <c r="A349" s="56" t="s">
        <v>280</v>
      </c>
      <c r="B349" s="48">
        <v>0</v>
      </c>
      <c r="C349" s="48">
        <v>0</v>
      </c>
      <c r="D349" s="48">
        <v>96.2</v>
      </c>
      <c r="E349" s="48">
        <v>107.1</v>
      </c>
      <c r="F349" s="48">
        <v>123.7</v>
      </c>
      <c r="G349" s="51">
        <v>129.1</v>
      </c>
    </row>
    <row r="350" spans="1:7">
      <c r="A350" s="56" t="s">
        <v>281</v>
      </c>
      <c r="B350" s="48">
        <v>0</v>
      </c>
      <c r="C350" s="48">
        <v>0</v>
      </c>
      <c r="D350" s="48">
        <v>10</v>
      </c>
      <c r="E350" s="48">
        <v>11.1</v>
      </c>
      <c r="F350" s="48">
        <v>12.7</v>
      </c>
      <c r="G350" s="51">
        <v>13.5</v>
      </c>
    </row>
    <row r="351" spans="1:7">
      <c r="A351" s="56" t="s">
        <v>381</v>
      </c>
      <c r="B351" s="48">
        <v>0</v>
      </c>
      <c r="C351" s="48">
        <v>0</v>
      </c>
      <c r="D351" s="48">
        <v>3.8</v>
      </c>
      <c r="E351" s="48">
        <v>4.2</v>
      </c>
      <c r="F351" s="48">
        <v>3.3</v>
      </c>
      <c r="G351" s="51">
        <v>3</v>
      </c>
    </row>
    <row r="352" spans="1:7">
      <c r="A352" s="66" t="s">
        <v>382</v>
      </c>
      <c r="B352" s="67">
        <v>0</v>
      </c>
      <c r="C352" s="67">
        <v>0</v>
      </c>
      <c r="D352" s="67">
        <v>0</v>
      </c>
      <c r="E352" s="67">
        <v>0</v>
      </c>
      <c r="F352" s="67">
        <v>0</v>
      </c>
      <c r="G352" s="62">
        <v>0</v>
      </c>
    </row>
    <row r="353" spans="1:10" s="40" customFormat="1">
      <c r="A353" s="63" t="s">
        <v>384</v>
      </c>
      <c r="B353" s="64">
        <f>B312</f>
        <v>471.62287822878233</v>
      </c>
      <c r="C353" s="64">
        <f>C312</f>
        <v>455.99999999999994</v>
      </c>
      <c r="D353" s="64">
        <f>D312</f>
        <v>444</v>
      </c>
      <c r="E353" s="64">
        <f>E312</f>
        <v>615</v>
      </c>
      <c r="F353" s="64">
        <f>F312</f>
        <v>632.20000000000016</v>
      </c>
      <c r="G353" s="68">
        <v>842.7</v>
      </c>
    </row>
    <row r="354" spans="1:10">
      <c r="A354" s="50" t="s">
        <v>380</v>
      </c>
      <c r="B354" s="1"/>
      <c r="C354" s="1"/>
      <c r="D354" s="1"/>
      <c r="E354" s="1"/>
      <c r="F354" s="1"/>
      <c r="G354" s="51"/>
    </row>
    <row r="355" spans="1:10">
      <c r="A355" s="52" t="s">
        <v>280</v>
      </c>
      <c r="B355" s="48">
        <v>455.6</v>
      </c>
      <c r="C355" s="48">
        <v>445.3</v>
      </c>
      <c r="D355" s="48">
        <v>436.6</v>
      </c>
      <c r="E355" s="48">
        <v>590.9</v>
      </c>
      <c r="F355" s="48">
        <v>607.70000000000005</v>
      </c>
      <c r="G355" s="9">
        <v>648.20000000000005</v>
      </c>
    </row>
    <row r="356" spans="1:10">
      <c r="A356" s="53" t="s">
        <v>281</v>
      </c>
      <c r="B356" s="48">
        <v>128.69999999999999</v>
      </c>
      <c r="C356" s="48">
        <v>135.69999999999999</v>
      </c>
      <c r="D356" s="48">
        <v>136.80000000000001</v>
      </c>
      <c r="E356" s="48">
        <v>164</v>
      </c>
      <c r="F356" s="48">
        <v>183.6</v>
      </c>
      <c r="G356" s="9">
        <v>201.5</v>
      </c>
    </row>
    <row r="357" spans="1:10">
      <c r="A357" s="53" t="s">
        <v>381</v>
      </c>
      <c r="B357" s="48">
        <v>68.8</v>
      </c>
      <c r="C357" s="48">
        <v>72.8</v>
      </c>
      <c r="D357" s="48">
        <v>56.9</v>
      </c>
      <c r="E357" s="48">
        <v>72.900000000000006</v>
      </c>
      <c r="F357" s="48">
        <v>64.7</v>
      </c>
      <c r="G357" s="9">
        <v>61.5</v>
      </c>
    </row>
    <row r="358" spans="1:10">
      <c r="A358" s="69" t="s">
        <v>382</v>
      </c>
      <c r="B358" s="67">
        <v>-59.8</v>
      </c>
      <c r="C358" s="67">
        <v>-47.1</v>
      </c>
      <c r="D358" s="67">
        <v>-34.299999999999997</v>
      </c>
      <c r="E358" s="67">
        <v>-60.4</v>
      </c>
      <c r="F358" s="67">
        <v>-67.900000000000006</v>
      </c>
      <c r="G358" s="70">
        <v>-68.5</v>
      </c>
    </row>
    <row r="359" spans="1:10">
      <c r="A359" s="58"/>
      <c r="B359" s="48"/>
      <c r="C359" s="48"/>
      <c r="D359" s="48"/>
      <c r="E359" s="48"/>
      <c r="F359" s="48"/>
      <c r="G359" s="59"/>
    </row>
    <row r="360" spans="1:10">
      <c r="A360" s="50" t="s">
        <v>91</v>
      </c>
      <c r="B360" s="48">
        <f>B353-B392</f>
        <v>348.12287822878233</v>
      </c>
      <c r="C360" s="48">
        <f t="shared" ref="C360:G360" si="85">C353-C392</f>
        <v>305.29999999999995</v>
      </c>
      <c r="D360" s="48">
        <f t="shared" si="85"/>
        <v>292</v>
      </c>
      <c r="E360" s="48">
        <f t="shared" si="85"/>
        <v>462.6</v>
      </c>
      <c r="F360" s="48">
        <f t="shared" si="85"/>
        <v>476.30000000000018</v>
      </c>
      <c r="G360" s="48">
        <f t="shared" si="85"/>
        <v>685</v>
      </c>
    </row>
    <row r="361" spans="1:10">
      <c r="A361" s="56" t="s">
        <v>280</v>
      </c>
      <c r="B361" s="48">
        <f>B355-B386</f>
        <v>362.63321033210332</v>
      </c>
      <c r="C361" s="48">
        <f t="shared" ref="C361:G361" si="86">C355-C386</f>
        <v>326.58334094020995</v>
      </c>
      <c r="D361" s="48">
        <f t="shared" si="86"/>
        <v>315.06940639269408</v>
      </c>
      <c r="E361" s="48">
        <f t="shared" si="86"/>
        <v>466.44902309058608</v>
      </c>
      <c r="F361" s="48">
        <f t="shared" si="86"/>
        <v>477.42471769134261</v>
      </c>
      <c r="G361" s="48">
        <f t="shared" si="86"/>
        <v>514.27611156022635</v>
      </c>
    </row>
    <row r="362" spans="1:10">
      <c r="A362" s="56" t="s">
        <v>281</v>
      </c>
      <c r="B362" s="48">
        <f t="shared" ref="B362:G362" si="87">B356-B387</f>
        <v>109.4295730100158</v>
      </c>
      <c r="C362" s="48">
        <f t="shared" si="87"/>
        <v>114.30899132816064</v>
      </c>
      <c r="D362" s="48">
        <f t="shared" si="87"/>
        <v>115.90867579908677</v>
      </c>
      <c r="E362" s="48">
        <f t="shared" si="87"/>
        <v>145.25452930728241</v>
      </c>
      <c r="F362" s="48">
        <f t="shared" si="87"/>
        <v>164.62597239648682</v>
      </c>
      <c r="G362" s="48">
        <f t="shared" si="87"/>
        <v>185.05432497978981</v>
      </c>
    </row>
    <row r="363" spans="1:10">
      <c r="A363" s="56" t="s">
        <v>381</v>
      </c>
      <c r="B363" s="48">
        <f t="shared" ref="B363:G363" si="88">B357-B388</f>
        <v>59.360094886663148</v>
      </c>
      <c r="C363" s="48">
        <f t="shared" si="88"/>
        <v>62.207667731629392</v>
      </c>
      <c r="D363" s="48">
        <f t="shared" si="88"/>
        <v>47.321917808219176</v>
      </c>
      <c r="E363" s="48">
        <f t="shared" si="88"/>
        <v>63.696447602131443</v>
      </c>
      <c r="F363" s="48">
        <f t="shared" si="88"/>
        <v>58.049309912170642</v>
      </c>
      <c r="G363" s="48">
        <f t="shared" si="88"/>
        <v>54.169563459983834</v>
      </c>
    </row>
    <row r="364" spans="1:10">
      <c r="A364" s="56" t="s">
        <v>382</v>
      </c>
      <c r="B364" s="48">
        <f>B358</f>
        <v>-59.8</v>
      </c>
      <c r="C364" s="48">
        <f t="shared" ref="C364:G364" si="89">C358</f>
        <v>-47.1</v>
      </c>
      <c r="D364" s="48">
        <f t="shared" si="89"/>
        <v>-34.299999999999997</v>
      </c>
      <c r="E364" s="48">
        <f t="shared" si="89"/>
        <v>-60.4</v>
      </c>
      <c r="F364" s="48">
        <f t="shared" si="89"/>
        <v>-67.900000000000006</v>
      </c>
      <c r="G364" s="48">
        <f t="shared" si="89"/>
        <v>-68.5</v>
      </c>
    </row>
    <row r="365" spans="1:10">
      <c r="A365" s="60" t="s">
        <v>131</v>
      </c>
      <c r="B365" s="33"/>
      <c r="C365" s="33"/>
      <c r="D365" s="33"/>
      <c r="E365" s="61"/>
      <c r="F365" s="33"/>
      <c r="G365" s="62"/>
    </row>
    <row r="366" spans="1:10">
      <c r="A366" s="1"/>
      <c r="B366" s="1"/>
      <c r="C366" s="1"/>
      <c r="D366" s="1"/>
      <c r="E366" s="3"/>
      <c r="F366" s="1"/>
      <c r="G366" s="1"/>
    </row>
    <row r="367" spans="1:10">
      <c r="A367" s="5" t="s">
        <v>385</v>
      </c>
      <c r="B367" s="44">
        <v>2020</v>
      </c>
      <c r="C367" s="44">
        <v>2021</v>
      </c>
      <c r="D367" s="44">
        <v>2022</v>
      </c>
      <c r="E367" s="44">
        <v>2023</v>
      </c>
      <c r="F367" s="45">
        <v>2024</v>
      </c>
      <c r="G367" s="36">
        <v>2025</v>
      </c>
      <c r="H367" s="372" t="s">
        <v>369</v>
      </c>
      <c r="J367" s="3"/>
    </row>
    <row r="368" spans="1:10">
      <c r="A368" s="6" t="s">
        <v>280</v>
      </c>
      <c r="B368" s="1">
        <v>142.80000000000001</v>
      </c>
      <c r="C368" s="1">
        <v>172.6</v>
      </c>
      <c r="D368" s="1">
        <f>172.1+3</f>
        <v>175.1</v>
      </c>
      <c r="E368" s="8">
        <v>183.9</v>
      </c>
      <c r="F368" s="8">
        <v>199.8</v>
      </c>
      <c r="G368" s="9">
        <v>210.1</v>
      </c>
    </row>
    <row r="369" spans="1:9">
      <c r="A369" s="71" t="s">
        <v>281</v>
      </c>
      <c r="B369">
        <v>29.6</v>
      </c>
      <c r="C369">
        <v>31.1</v>
      </c>
      <c r="D369">
        <v>30.1</v>
      </c>
      <c r="E369" s="8">
        <v>27.7</v>
      </c>
      <c r="F369" s="8">
        <v>29.1</v>
      </c>
      <c r="G369" s="9">
        <v>25.8</v>
      </c>
    </row>
    <row r="370" spans="1:9">
      <c r="A370" s="6" t="s">
        <v>49</v>
      </c>
      <c r="B370" s="1">
        <v>14.5</v>
      </c>
      <c r="C370" s="1">
        <v>15.4</v>
      </c>
      <c r="D370" s="1">
        <v>13.8</v>
      </c>
      <c r="E370" s="8">
        <v>13.6</v>
      </c>
      <c r="F370" s="8">
        <v>10.199999999999999</v>
      </c>
      <c r="G370" s="9">
        <v>11.5</v>
      </c>
    </row>
    <row r="371" spans="1:9">
      <c r="A371" s="6" t="s">
        <v>373</v>
      </c>
      <c r="B371" s="1">
        <v>189.7</v>
      </c>
      <c r="C371" s="1">
        <v>219.1</v>
      </c>
      <c r="D371" s="1">
        <v>219</v>
      </c>
      <c r="E371" s="8">
        <v>225.2</v>
      </c>
      <c r="F371" s="8">
        <v>239.1</v>
      </c>
      <c r="G371" s="9">
        <v>247.4</v>
      </c>
    </row>
    <row r="372" spans="1:9">
      <c r="A372" s="72"/>
      <c r="B372" s="33"/>
      <c r="C372" s="33"/>
      <c r="D372" s="24"/>
      <c r="E372" s="61"/>
      <c r="F372" s="33"/>
      <c r="G372" s="62"/>
    </row>
    <row r="373" spans="1:9">
      <c r="A373" s="6"/>
      <c r="B373" s="1"/>
      <c r="C373" s="1"/>
      <c r="D373" s="1"/>
      <c r="E373" s="3"/>
      <c r="F373" s="1"/>
      <c r="G373" s="1"/>
    </row>
    <row r="374" spans="1:9" ht="25">
      <c r="A374" s="151" t="s">
        <v>386</v>
      </c>
      <c r="B374" s="1"/>
      <c r="C374" s="1"/>
      <c r="D374" s="1"/>
      <c r="E374" s="3"/>
      <c r="F374" s="1"/>
      <c r="G374" s="1"/>
    </row>
    <row r="375" spans="1:9">
      <c r="A375" s="152" t="s">
        <v>280</v>
      </c>
      <c r="B375" s="149">
        <f t="shared" ref="B375:F377" si="90">B368/B$371</f>
        <v>0.75276752767527688</v>
      </c>
      <c r="C375" s="149">
        <f t="shared" si="90"/>
        <v>0.78776814240073023</v>
      </c>
      <c r="D375" s="149">
        <f t="shared" si="90"/>
        <v>0.79954337899543382</v>
      </c>
      <c r="E375" s="149">
        <f t="shared" si="90"/>
        <v>0.81660746003552409</v>
      </c>
      <c r="F375" s="149">
        <f t="shared" si="90"/>
        <v>0.83563362609786707</v>
      </c>
      <c r="G375" s="149">
        <f>G368/G$371</f>
        <v>0.849232012934519</v>
      </c>
      <c r="H375" s="184">
        <f>AVERAGE(C375:G375)</f>
        <v>0.81775692409281486</v>
      </c>
      <c r="I375" s="184"/>
    </row>
    <row r="376" spans="1:9">
      <c r="A376" s="152" t="s">
        <v>281</v>
      </c>
      <c r="B376" s="149">
        <f t="shared" si="90"/>
        <v>0.15603584607274645</v>
      </c>
      <c r="C376" s="149">
        <f t="shared" si="90"/>
        <v>0.14194431766316751</v>
      </c>
      <c r="D376" s="149">
        <f t="shared" si="90"/>
        <v>0.13744292237442923</v>
      </c>
      <c r="E376" s="149">
        <f t="shared" si="90"/>
        <v>0.12300177619893428</v>
      </c>
      <c r="F376" s="149">
        <f t="shared" si="90"/>
        <v>0.12170639899623589</v>
      </c>
      <c r="G376" s="149">
        <f t="shared" ref="G376:G377" si="91">G369/G$371</f>
        <v>0.10428455941794665</v>
      </c>
      <c r="H376" s="184">
        <f>AVERAGE(C376:G376)</f>
        <v>0.12567599493014273</v>
      </c>
      <c r="I376" s="184"/>
    </row>
    <row r="377" spans="1:9">
      <c r="A377" s="152" t="s">
        <v>381</v>
      </c>
      <c r="B377" s="149">
        <f t="shared" si="90"/>
        <v>7.6436478650500794E-2</v>
      </c>
      <c r="C377" s="149">
        <f t="shared" si="90"/>
        <v>7.0287539936102233E-2</v>
      </c>
      <c r="D377" s="149">
        <f t="shared" si="90"/>
        <v>6.3013698630136991E-2</v>
      </c>
      <c r="E377" s="149">
        <f t="shared" si="90"/>
        <v>6.0390763765541741E-2</v>
      </c>
      <c r="F377" s="149">
        <f t="shared" si="90"/>
        <v>4.2659974905897111E-2</v>
      </c>
      <c r="G377" s="149">
        <f t="shared" si="91"/>
        <v>4.6483427647534353E-2</v>
      </c>
      <c r="H377" s="184">
        <f>AVERAGE(C377:G377)</f>
        <v>5.656708097704248E-2</v>
      </c>
      <c r="I377" s="184"/>
    </row>
    <row r="378" spans="1:9">
      <c r="A378" s="6"/>
      <c r="B378" s="1"/>
      <c r="C378" s="1"/>
      <c r="D378" s="1"/>
      <c r="E378" s="3"/>
      <c r="F378" s="1"/>
      <c r="G378" s="1"/>
    </row>
    <row r="379" spans="1:9">
      <c r="A379" s="151" t="s">
        <v>142</v>
      </c>
      <c r="B379" s="1"/>
      <c r="C379" s="1"/>
      <c r="D379" s="1"/>
      <c r="E379" s="3"/>
      <c r="F379" s="1"/>
      <c r="G379" s="1"/>
    </row>
    <row r="380" spans="1:9">
      <c r="A380" s="152" t="s">
        <v>280</v>
      </c>
      <c r="B380" s="48">
        <f t="shared" ref="B380:G382" si="92">B$391*B375</f>
        <v>49.833210332103334</v>
      </c>
      <c r="C380" s="48">
        <f t="shared" si="92"/>
        <v>53.883340940209955</v>
      </c>
      <c r="D380" s="48">
        <f t="shared" si="92"/>
        <v>53.569406392694063</v>
      </c>
      <c r="E380" s="48">
        <f t="shared" si="92"/>
        <v>59.449023090586152</v>
      </c>
      <c r="F380" s="48">
        <f t="shared" si="92"/>
        <v>69.524717691342545</v>
      </c>
      <c r="G380" s="48">
        <f t="shared" si="92"/>
        <v>76.17611156022636</v>
      </c>
    </row>
    <row r="381" spans="1:9">
      <c r="A381" s="152" t="s">
        <v>281</v>
      </c>
      <c r="B381" s="48">
        <f t="shared" si="92"/>
        <v>10.329573010015816</v>
      </c>
      <c r="C381" s="48">
        <f t="shared" si="92"/>
        <v>9.7089913281606588</v>
      </c>
      <c r="D381" s="48">
        <f t="shared" si="92"/>
        <v>9.2086757990867589</v>
      </c>
      <c r="E381" s="48">
        <f t="shared" si="92"/>
        <v>8.9545293072824155</v>
      </c>
      <c r="F381" s="48">
        <f t="shared" si="92"/>
        <v>10.125972396486826</v>
      </c>
      <c r="G381" s="48">
        <f t="shared" si="92"/>
        <v>9.3543249797898138</v>
      </c>
    </row>
    <row r="382" spans="1:9">
      <c r="A382" s="152" t="s">
        <v>381</v>
      </c>
      <c r="B382" s="48">
        <f t="shared" si="92"/>
        <v>5.060094886663153</v>
      </c>
      <c r="C382" s="48">
        <f t="shared" si="92"/>
        <v>4.807667731629393</v>
      </c>
      <c r="D382" s="48">
        <f t="shared" si="92"/>
        <v>4.2219178082191782</v>
      </c>
      <c r="E382" s="48">
        <f t="shared" si="92"/>
        <v>4.3964476021314383</v>
      </c>
      <c r="F382" s="48">
        <f t="shared" si="92"/>
        <v>3.5493099121706395</v>
      </c>
      <c r="G382" s="48">
        <f t="shared" si="92"/>
        <v>4.1695634599838316</v>
      </c>
    </row>
    <row r="383" spans="1:9">
      <c r="A383" s="153" t="s">
        <v>131</v>
      </c>
      <c r="B383" s="1"/>
      <c r="C383" s="1"/>
      <c r="D383" s="1"/>
      <c r="E383" s="3"/>
      <c r="F383" s="1"/>
      <c r="G383" s="1"/>
    </row>
    <row r="384" spans="1:9">
      <c r="A384" s="152" t="s">
        <v>2</v>
      </c>
      <c r="B384" s="1"/>
      <c r="C384" s="1"/>
      <c r="D384" s="1"/>
      <c r="E384" s="3"/>
      <c r="F384" s="1"/>
      <c r="G384" s="1"/>
    </row>
    <row r="385" spans="1:15">
      <c r="A385" s="151" t="s">
        <v>143</v>
      </c>
      <c r="B385" s="1"/>
      <c r="C385" s="1"/>
      <c r="D385" s="1"/>
      <c r="E385" s="3"/>
      <c r="F385" s="1"/>
      <c r="G385" s="1"/>
    </row>
    <row r="386" spans="1:15">
      <c r="A386" s="152" t="s">
        <v>280</v>
      </c>
      <c r="B386" s="48">
        <f t="shared" ref="B386:G388" si="93">B$392*B375</f>
        <v>92.966789667896691</v>
      </c>
      <c r="C386" s="48">
        <f t="shared" si="93"/>
        <v>118.71665905979003</v>
      </c>
      <c r="D386" s="48">
        <f t="shared" si="93"/>
        <v>121.53059360730595</v>
      </c>
      <c r="E386" s="48">
        <f t="shared" si="93"/>
        <v>124.45097690941388</v>
      </c>
      <c r="F386" s="48">
        <f t="shared" si="93"/>
        <v>130.27528230865747</v>
      </c>
      <c r="G386" s="48">
        <f t="shared" si="93"/>
        <v>133.92388843977363</v>
      </c>
    </row>
    <row r="387" spans="1:15">
      <c r="A387" s="152" t="s">
        <v>281</v>
      </c>
      <c r="B387" s="48">
        <f t="shared" si="93"/>
        <v>19.270426989984188</v>
      </c>
      <c r="C387" s="48">
        <f t="shared" si="93"/>
        <v>21.391008671839341</v>
      </c>
      <c r="D387" s="48">
        <f t="shared" si="93"/>
        <v>20.891324200913242</v>
      </c>
      <c r="E387" s="48">
        <f t="shared" si="93"/>
        <v>18.745470692717586</v>
      </c>
      <c r="F387" s="48">
        <f t="shared" si="93"/>
        <v>18.974027603513175</v>
      </c>
      <c r="G387" s="48">
        <f t="shared" si="93"/>
        <v>16.445675020210185</v>
      </c>
    </row>
    <row r="388" spans="1:15">
      <c r="A388" s="152" t="s">
        <v>381</v>
      </c>
      <c r="B388" s="48">
        <f t="shared" si="93"/>
        <v>9.4399051133368488</v>
      </c>
      <c r="C388" s="48">
        <f t="shared" si="93"/>
        <v>10.592332268370606</v>
      </c>
      <c r="D388" s="48">
        <f t="shared" si="93"/>
        <v>9.5780821917808225</v>
      </c>
      <c r="E388" s="48">
        <f t="shared" si="93"/>
        <v>9.2035523978685614</v>
      </c>
      <c r="F388" s="48">
        <f t="shared" si="93"/>
        <v>6.6506900878293598</v>
      </c>
      <c r="G388" s="48">
        <f t="shared" si="93"/>
        <v>7.3304365400161666</v>
      </c>
    </row>
    <row r="389" spans="1:15">
      <c r="A389" s="153" t="s">
        <v>131</v>
      </c>
      <c r="B389" s="1"/>
      <c r="C389" s="1"/>
      <c r="D389" s="1"/>
      <c r="E389" s="3"/>
      <c r="F389" s="1"/>
      <c r="G389" s="1"/>
    </row>
    <row r="390" spans="1:15">
      <c r="A390" s="151" t="s">
        <v>387</v>
      </c>
      <c r="B390" s="1"/>
      <c r="C390" s="1"/>
      <c r="D390" s="1"/>
      <c r="E390" s="3"/>
      <c r="F390" s="1"/>
      <c r="G390" s="1"/>
    </row>
    <row r="391" spans="1:15">
      <c r="A391" s="6" t="s">
        <v>199</v>
      </c>
      <c r="B391" s="8">
        <v>66.2</v>
      </c>
      <c r="C391" s="8">
        <v>68.400000000000006</v>
      </c>
      <c r="D391" s="8">
        <v>67</v>
      </c>
      <c r="E391" s="8">
        <v>72.8</v>
      </c>
      <c r="F391" s="8">
        <v>83.2</v>
      </c>
      <c r="G391" s="9">
        <v>89.7</v>
      </c>
    </row>
    <row r="392" spans="1:15">
      <c r="A392" s="6" t="s">
        <v>200</v>
      </c>
      <c r="B392" s="8">
        <v>123.5</v>
      </c>
      <c r="C392" s="8">
        <v>150.69999999999999</v>
      </c>
      <c r="D392" s="8">
        <v>152</v>
      </c>
      <c r="E392" s="8">
        <v>152.4</v>
      </c>
      <c r="F392" s="8">
        <v>155.9</v>
      </c>
      <c r="G392" s="9">
        <v>157.69999999999999</v>
      </c>
    </row>
    <row r="393" spans="1:15">
      <c r="A393" s="6" t="s">
        <v>388</v>
      </c>
      <c r="B393" s="149">
        <f t="shared" ref="B393:G393" si="94">B391/B371</f>
        <v>0.34897206114918294</v>
      </c>
      <c r="C393" s="149">
        <f t="shared" si="94"/>
        <v>0.312186216339571</v>
      </c>
      <c r="D393" s="149">
        <f t="shared" si="94"/>
        <v>0.30593607305936071</v>
      </c>
      <c r="E393" s="149">
        <f t="shared" si="94"/>
        <v>0.32326820603907636</v>
      </c>
      <c r="F393" s="149">
        <f t="shared" si="94"/>
        <v>0.34797156001672941</v>
      </c>
      <c r="G393" s="149">
        <f t="shared" si="94"/>
        <v>0.36257073565076797</v>
      </c>
    </row>
    <row r="394" spans="1:15">
      <c r="A394" s="6" t="s">
        <v>389</v>
      </c>
      <c r="B394" s="149">
        <f t="shared" ref="B394:G394" si="95">B392/B371</f>
        <v>0.65102793885081711</v>
      </c>
      <c r="C394" s="149">
        <f t="shared" si="95"/>
        <v>0.687813783660429</v>
      </c>
      <c r="D394" s="149">
        <f t="shared" si="95"/>
        <v>0.69406392694063923</v>
      </c>
      <c r="E394" s="149">
        <f t="shared" si="95"/>
        <v>0.67673179396092364</v>
      </c>
      <c r="F394" s="149">
        <f t="shared" si="95"/>
        <v>0.65202843998327065</v>
      </c>
      <c r="G394" s="149">
        <f t="shared" si="95"/>
        <v>0.63742926434923197</v>
      </c>
    </row>
    <row r="395" spans="1:15">
      <c r="A395" s="6"/>
      <c r="B395" s="1"/>
      <c r="C395" s="1"/>
      <c r="D395" s="1"/>
      <c r="E395" s="3"/>
      <c r="F395" s="1"/>
      <c r="G395" s="1"/>
    </row>
    <row r="396" spans="1:15">
      <c r="A396" s="5"/>
      <c r="B396" s="44">
        <v>2020</v>
      </c>
      <c r="C396" s="44">
        <v>2021</v>
      </c>
      <c r="D396" s="44">
        <v>2022</v>
      </c>
      <c r="E396" s="44">
        <v>2023</v>
      </c>
      <c r="F396" s="45">
        <v>2024</v>
      </c>
      <c r="G396" s="36">
        <v>2025</v>
      </c>
      <c r="H396" s="372" t="s">
        <v>369</v>
      </c>
      <c r="J396" s="38">
        <v>2021</v>
      </c>
      <c r="K396" s="38">
        <v>2022</v>
      </c>
      <c r="L396" s="38">
        <v>2023</v>
      </c>
      <c r="M396" s="38">
        <v>2024</v>
      </c>
      <c r="N396" s="37">
        <v>2025</v>
      </c>
      <c r="O396" s="372" t="s">
        <v>369</v>
      </c>
    </row>
    <row r="397" spans="1:15">
      <c r="A397" s="6" t="s">
        <v>192</v>
      </c>
      <c r="B397" s="27">
        <v>6.7</v>
      </c>
      <c r="C397" s="27">
        <v>9.4</v>
      </c>
      <c r="D397" s="27">
        <v>12.3</v>
      </c>
      <c r="E397" s="27">
        <v>8.6999999999999993</v>
      </c>
      <c r="F397" s="27">
        <v>9.1</v>
      </c>
      <c r="G397" s="9">
        <v>7.9</v>
      </c>
      <c r="J397" s="42">
        <f>C397/B397-1</f>
        <v>0.40298507462686572</v>
      </c>
      <c r="K397" s="42">
        <f>D397/C397-1</f>
        <v>0.3085106382978724</v>
      </c>
      <c r="L397" s="42">
        <f>E397/D397-1</f>
        <v>-0.29268292682926844</v>
      </c>
      <c r="M397" s="42">
        <f>F397/E397-1</f>
        <v>4.5977011494252817E-2</v>
      </c>
      <c r="N397" s="42">
        <f>G397/F397-1</f>
        <v>-0.13186813186813184</v>
      </c>
      <c r="O397" s="42">
        <f>AVERAGE(J397:N397)</f>
        <v>6.6584333144318136E-2</v>
      </c>
    </row>
    <row r="398" spans="1:15">
      <c r="A398" s="6" t="s">
        <v>193</v>
      </c>
      <c r="B398" s="27">
        <v>0.5</v>
      </c>
      <c r="C398" s="27">
        <v>0</v>
      </c>
      <c r="D398" s="27">
        <v>2.8</v>
      </c>
      <c r="E398" s="27">
        <v>13</v>
      </c>
      <c r="F398" s="27">
        <v>26.3</v>
      </c>
      <c r="G398" s="9">
        <v>23.5</v>
      </c>
    </row>
    <row r="399" spans="1:15">
      <c r="A399" s="6" t="s">
        <v>390</v>
      </c>
      <c r="B399" s="27">
        <f t="shared" ref="B399:G399" si="96">B398/B432</f>
        <v>2.7307482250136538E-3</v>
      </c>
      <c r="C399" s="27">
        <f t="shared" si="96"/>
        <v>0</v>
      </c>
      <c r="D399" s="27">
        <f t="shared" si="96"/>
        <v>1.0358860525342212E-2</v>
      </c>
      <c r="E399" s="27">
        <f t="shared" si="96"/>
        <v>3.7735849056603772E-2</v>
      </c>
      <c r="F399" s="27">
        <f t="shared" si="96"/>
        <v>2.7279327870552848E-2</v>
      </c>
      <c r="G399" s="27">
        <f t="shared" si="96"/>
        <v>5.7457212713936431E-2</v>
      </c>
      <c r="H399" s="42">
        <f>AVERAGE(C399:G399)</f>
        <v>2.6566250033287053E-2</v>
      </c>
    </row>
    <row r="400" spans="1:15">
      <c r="A400" s="6" t="s">
        <v>96</v>
      </c>
      <c r="B400" s="27">
        <v>-61</v>
      </c>
      <c r="C400" s="27">
        <v>-54.5</v>
      </c>
      <c r="D400" s="27">
        <v>-1</v>
      </c>
      <c r="E400" s="27">
        <v>-0.8</v>
      </c>
      <c r="F400" s="27">
        <v>8.8000000000000007</v>
      </c>
      <c r="G400" s="9">
        <v>-56.9</v>
      </c>
      <c r="H400" s="87">
        <f>AVERAGE(C400:G400)</f>
        <v>-20.880000000000003</v>
      </c>
    </row>
    <row r="401" spans="1:15">
      <c r="A401" s="6"/>
      <c r="B401" s="1"/>
      <c r="C401" s="1"/>
      <c r="D401" s="1"/>
      <c r="E401" s="3"/>
      <c r="F401" s="1"/>
      <c r="G401" s="1"/>
    </row>
    <row r="402" spans="1:15">
      <c r="A402" s="6"/>
      <c r="B402" s="1"/>
      <c r="C402" s="1"/>
      <c r="D402" s="1"/>
      <c r="E402" s="3"/>
      <c r="F402" s="1"/>
      <c r="G402" s="1"/>
    </row>
    <row r="403" spans="1:15">
      <c r="A403" s="6"/>
      <c r="B403" s="1"/>
      <c r="C403" s="1"/>
      <c r="D403" s="1"/>
      <c r="E403" s="3"/>
      <c r="F403" s="1"/>
      <c r="G403" s="1"/>
    </row>
    <row r="404" spans="1:15">
      <c r="A404" s="5" t="s">
        <v>391</v>
      </c>
      <c r="B404" s="44">
        <v>2020</v>
      </c>
      <c r="C404" s="44">
        <v>2021</v>
      </c>
      <c r="D404" s="44">
        <v>2022</v>
      </c>
      <c r="E404" s="44">
        <v>2023</v>
      </c>
      <c r="F404" s="45">
        <v>2024</v>
      </c>
      <c r="G404" s="36">
        <v>2025</v>
      </c>
    </row>
    <row r="405" spans="1:15">
      <c r="A405" s="6" t="s">
        <v>392</v>
      </c>
      <c r="B405" s="8">
        <v>4895.8</v>
      </c>
      <c r="C405" s="8">
        <v>5190.1000000000004</v>
      </c>
      <c r="D405" s="8">
        <v>5375.6</v>
      </c>
      <c r="E405" s="8">
        <v>5867.9</v>
      </c>
      <c r="F405" s="8">
        <v>6107.1</v>
      </c>
      <c r="G405" s="9">
        <v>6203.2</v>
      </c>
    </row>
    <row r="406" spans="1:15">
      <c r="A406" s="6" t="s">
        <v>393</v>
      </c>
      <c r="B406" s="8">
        <v>2681.6</v>
      </c>
      <c r="C406" s="8">
        <v>2926.6</v>
      </c>
      <c r="D406" s="8">
        <v>3125.6</v>
      </c>
      <c r="E406" s="8">
        <v>3279.4</v>
      </c>
      <c r="F406" s="8">
        <v>3317</v>
      </c>
      <c r="G406" s="9">
        <v>3428.4</v>
      </c>
    </row>
    <row r="407" spans="1:15">
      <c r="A407" s="6" t="s">
        <v>141</v>
      </c>
      <c r="B407" s="8">
        <v>2214.1999999999998</v>
      </c>
      <c r="C407" s="8">
        <v>2263.5</v>
      </c>
      <c r="D407" s="8">
        <v>2250</v>
      </c>
      <c r="E407" s="8">
        <v>2588.5</v>
      </c>
      <c r="F407" s="8">
        <v>2790.1</v>
      </c>
      <c r="G407" s="9">
        <v>2774.8</v>
      </c>
    </row>
    <row r="408" spans="1:15">
      <c r="A408" s="6" t="s">
        <v>89</v>
      </c>
      <c r="B408" s="8">
        <v>591.20000000000005</v>
      </c>
      <c r="C408" s="8">
        <v>577.70000000000005</v>
      </c>
      <c r="D408" s="8">
        <v>535.20000000000005</v>
      </c>
      <c r="E408" s="8">
        <v>641.29999999999995</v>
      </c>
      <c r="F408" s="8">
        <v>698.1</v>
      </c>
      <c r="G408" s="9">
        <v>708.9</v>
      </c>
    </row>
    <row r="409" spans="1:15">
      <c r="A409" s="6" t="s">
        <v>394</v>
      </c>
      <c r="B409" s="8">
        <v>593.29999999999995</v>
      </c>
      <c r="C409" s="8">
        <v>606.70000000000005</v>
      </c>
      <c r="D409" s="8">
        <v>1117</v>
      </c>
      <c r="E409" s="8">
        <v>889.8</v>
      </c>
      <c r="F409" s="8">
        <v>927.8</v>
      </c>
      <c r="G409" s="9">
        <v>988.3</v>
      </c>
    </row>
    <row r="410" spans="1:15">
      <c r="A410" s="6" t="s">
        <v>144</v>
      </c>
      <c r="B410" s="8"/>
      <c r="C410" s="8"/>
      <c r="D410" s="8">
        <v>0</v>
      </c>
      <c r="E410" s="8">
        <v>0</v>
      </c>
      <c r="F410" s="8">
        <v>357.1</v>
      </c>
      <c r="G410" s="9">
        <v>0</v>
      </c>
    </row>
    <row r="411" spans="1:15">
      <c r="A411" s="6" t="s">
        <v>145</v>
      </c>
      <c r="B411" s="8">
        <v>1029.7</v>
      </c>
      <c r="C411" s="8">
        <v>1079.0999999999999</v>
      </c>
      <c r="D411" s="8">
        <v>597.79999999999995</v>
      </c>
      <c r="E411" s="8">
        <v>1057.4000000000001</v>
      </c>
      <c r="F411" s="8">
        <v>807.1</v>
      </c>
      <c r="G411" s="9">
        <v>1077.5999999999999</v>
      </c>
    </row>
    <row r="412" spans="1:15">
      <c r="A412" s="6" t="s">
        <v>192</v>
      </c>
      <c r="B412" s="8">
        <v>6.7</v>
      </c>
      <c r="C412" s="8">
        <v>9.4</v>
      </c>
      <c r="D412" s="8">
        <v>12.3</v>
      </c>
      <c r="E412" s="8">
        <v>8.6999999999999993</v>
      </c>
      <c r="F412" s="8">
        <v>9.1</v>
      </c>
      <c r="G412" s="9">
        <v>7.9</v>
      </c>
      <c r="J412" s="42"/>
      <c r="K412" s="42"/>
      <c r="L412" s="42"/>
      <c r="M412" s="42"/>
      <c r="N412" s="42"/>
      <c r="O412" s="42"/>
    </row>
    <row r="413" spans="1:15">
      <c r="A413" s="6" t="s">
        <v>193</v>
      </c>
      <c r="B413" s="8">
        <v>0.5</v>
      </c>
      <c r="C413" s="8">
        <v>0</v>
      </c>
      <c r="D413" s="8">
        <v>2.8</v>
      </c>
      <c r="E413" s="8">
        <v>13</v>
      </c>
      <c r="F413" s="8">
        <v>26.3</v>
      </c>
      <c r="G413" s="9">
        <v>23.5</v>
      </c>
      <c r="J413" s="42"/>
      <c r="K413" s="42"/>
      <c r="L413" s="42"/>
      <c r="M413" s="42"/>
      <c r="N413" s="42"/>
      <c r="O413" s="42"/>
    </row>
    <row r="414" spans="1:15">
      <c r="A414" s="6" t="s">
        <v>194</v>
      </c>
      <c r="B414" s="8">
        <v>-2.1</v>
      </c>
      <c r="C414" s="8">
        <v>-2.2999999999999998</v>
      </c>
      <c r="D414" s="8">
        <v>-89.6</v>
      </c>
      <c r="E414" s="8">
        <v>-110.9</v>
      </c>
      <c r="F414" s="8">
        <v>-95</v>
      </c>
      <c r="G414" s="9">
        <v>-95.2</v>
      </c>
      <c r="J414" s="181"/>
      <c r="K414" s="181"/>
      <c r="L414" s="181"/>
      <c r="M414" s="181"/>
      <c r="N414" s="373"/>
      <c r="O414" s="42"/>
    </row>
    <row r="415" spans="1:15">
      <c r="A415" s="6" t="s">
        <v>96</v>
      </c>
      <c r="B415" s="8">
        <v>-61</v>
      </c>
      <c r="C415" s="8">
        <v>-54.5</v>
      </c>
      <c r="D415" s="8">
        <v>-1</v>
      </c>
      <c r="E415" s="8">
        <v>-0.8</v>
      </c>
      <c r="F415" s="8">
        <v>8.8000000000000007</v>
      </c>
      <c r="G415" s="9">
        <v>-56.9</v>
      </c>
      <c r="J415" s="42"/>
      <c r="K415" s="42"/>
      <c r="L415" s="42"/>
      <c r="M415" s="42"/>
      <c r="N415" s="42"/>
      <c r="O415" s="42"/>
    </row>
    <row r="416" spans="1:15">
      <c r="A416" s="6" t="s">
        <v>97</v>
      </c>
      <c r="B416" s="8">
        <v>973.8</v>
      </c>
      <c r="C416" s="8">
        <v>1031.7</v>
      </c>
      <c r="D416" s="8">
        <v>523.29999999999995</v>
      </c>
      <c r="E416" s="8">
        <v>967.4</v>
      </c>
      <c r="F416" s="8">
        <v>756.3</v>
      </c>
      <c r="G416" s="9">
        <v>956.9</v>
      </c>
      <c r="J416" s="42"/>
      <c r="K416" s="42"/>
      <c r="L416" s="42"/>
      <c r="M416" s="42"/>
      <c r="N416" s="42"/>
      <c r="O416" s="42"/>
    </row>
    <row r="417" spans="1:15">
      <c r="A417" s="6" t="s">
        <v>195</v>
      </c>
      <c r="B417" s="8">
        <v>187.9</v>
      </c>
      <c r="C417" s="8">
        <v>204.2</v>
      </c>
      <c r="D417" s="8">
        <v>109.4</v>
      </c>
      <c r="E417" s="8">
        <v>211.8</v>
      </c>
      <c r="F417" s="8">
        <v>171</v>
      </c>
      <c r="G417" s="9">
        <v>220.1</v>
      </c>
      <c r="J417" s="42"/>
      <c r="K417" s="42"/>
      <c r="L417" s="42"/>
      <c r="M417" s="42"/>
      <c r="N417" s="42"/>
      <c r="O417" s="42"/>
    </row>
    <row r="418" spans="1:15">
      <c r="A418" s="6" t="s">
        <v>196</v>
      </c>
      <c r="B418" s="8">
        <v>785.9</v>
      </c>
      <c r="C418" s="8">
        <v>827.5</v>
      </c>
      <c r="D418" s="8">
        <v>413.9</v>
      </c>
      <c r="E418" s="8">
        <v>755.6</v>
      </c>
      <c r="F418" s="8">
        <v>585.29999999999995</v>
      </c>
      <c r="G418" s="9">
        <v>736.8</v>
      </c>
      <c r="J418" s="42"/>
      <c r="K418" s="42"/>
      <c r="L418" s="42"/>
      <c r="M418" s="42"/>
      <c r="N418" s="42"/>
      <c r="O418" s="42"/>
    </row>
    <row r="419" spans="1:15">
      <c r="A419" s="16"/>
      <c r="B419" s="18"/>
      <c r="C419" s="18"/>
      <c r="D419" s="18"/>
      <c r="E419" s="18"/>
      <c r="F419" s="18"/>
      <c r="G419" s="19"/>
      <c r="J419" s="42"/>
      <c r="K419" s="42"/>
      <c r="L419" s="42"/>
      <c r="M419" s="42"/>
      <c r="N419" s="42"/>
      <c r="O419" s="42"/>
    </row>
    <row r="420" spans="1:15">
      <c r="A420" s="6" t="s">
        <v>395</v>
      </c>
      <c r="B420" s="8">
        <v>246.8</v>
      </c>
      <c r="C420" s="8">
        <v>244.9</v>
      </c>
      <c r="D420" s="8">
        <v>242.9</v>
      </c>
      <c r="E420" s="8">
        <v>244.9</v>
      </c>
      <c r="F420" s="8">
        <v>244.4</v>
      </c>
      <c r="G420" s="9">
        <v>242.7</v>
      </c>
    </row>
    <row r="421" spans="1:15">
      <c r="A421" s="6" t="s">
        <v>396</v>
      </c>
      <c r="B421" s="8">
        <v>252.2</v>
      </c>
      <c r="C421" s="8">
        <v>249.6</v>
      </c>
      <c r="D421" s="8">
        <v>246.3</v>
      </c>
      <c r="E421" s="8">
        <v>247.6</v>
      </c>
      <c r="F421" s="8">
        <v>246.9</v>
      </c>
      <c r="G421" s="9">
        <v>244.3</v>
      </c>
    </row>
    <row r="422" spans="1:15">
      <c r="A422" s="6" t="s">
        <v>397</v>
      </c>
      <c r="B422" s="8">
        <v>3.18</v>
      </c>
      <c r="C422" s="8">
        <v>3.38</v>
      </c>
      <c r="D422" s="8">
        <v>1.7</v>
      </c>
      <c r="E422" s="8">
        <v>3.09</v>
      </c>
      <c r="F422" s="8">
        <v>2.39</v>
      </c>
      <c r="G422" s="9">
        <v>3.04</v>
      </c>
    </row>
    <row r="423" spans="1:15">
      <c r="A423" s="6" t="s">
        <v>398</v>
      </c>
      <c r="B423" s="8">
        <v>3.12</v>
      </c>
      <c r="C423" s="8">
        <v>3.32</v>
      </c>
      <c r="D423" s="8">
        <v>1.68</v>
      </c>
      <c r="E423" s="8">
        <v>3.05</v>
      </c>
      <c r="F423" s="8">
        <v>2.37</v>
      </c>
      <c r="G423" s="9">
        <v>3.02</v>
      </c>
    </row>
    <row r="424" spans="1:15">
      <c r="A424" s="7" t="s">
        <v>399</v>
      </c>
      <c r="B424" s="10">
        <v>0.96</v>
      </c>
      <c r="C424" s="10">
        <v>1.01</v>
      </c>
      <c r="D424" s="10">
        <v>1.05</v>
      </c>
      <c r="E424" s="10">
        <v>1.0900000000000001</v>
      </c>
      <c r="F424" s="10">
        <v>1.1299999999999999</v>
      </c>
      <c r="G424" s="11">
        <v>1.18</v>
      </c>
    </row>
    <row r="425" spans="1:15">
      <c r="A425" s="3"/>
      <c r="B425" s="3"/>
      <c r="C425" s="3"/>
      <c r="D425" s="3"/>
      <c r="E425" s="28"/>
      <c r="F425" s="28"/>
      <c r="G425" s="28"/>
    </row>
    <row r="426" spans="1:15">
      <c r="A426" s="3"/>
      <c r="B426" s="3"/>
      <c r="C426" s="3"/>
      <c r="D426" s="3"/>
      <c r="E426" s="28"/>
      <c r="F426" s="28"/>
      <c r="G426" s="28"/>
    </row>
    <row r="427" spans="1:15">
      <c r="A427" s="3"/>
      <c r="B427" s="3"/>
      <c r="C427" s="3"/>
      <c r="D427" s="3"/>
      <c r="E427" s="28"/>
      <c r="F427" s="28"/>
      <c r="G427" s="28"/>
    </row>
    <row r="428" spans="1:15">
      <c r="A428" s="3"/>
      <c r="B428" s="3"/>
      <c r="C428" s="3"/>
      <c r="D428" s="3"/>
      <c r="E428" s="28"/>
      <c r="F428" s="28"/>
      <c r="G428" s="28"/>
    </row>
    <row r="429" spans="1:15">
      <c r="A429" s="5" t="s">
        <v>400</v>
      </c>
      <c r="B429" s="38">
        <v>2020</v>
      </c>
      <c r="C429" s="38">
        <v>2021</v>
      </c>
      <c r="D429" s="38">
        <v>2022</v>
      </c>
      <c r="E429" s="38">
        <v>2023</v>
      </c>
      <c r="F429" s="38">
        <v>2024</v>
      </c>
      <c r="G429" s="37">
        <v>2025</v>
      </c>
    </row>
    <row r="430" spans="1:15">
      <c r="A430" s="6" t="s">
        <v>240</v>
      </c>
      <c r="B430" s="19"/>
      <c r="C430" s="19"/>
      <c r="D430" s="19"/>
      <c r="E430" s="19"/>
      <c r="F430" s="19"/>
      <c r="G430" s="19"/>
      <c r="J430" s="38">
        <v>2021</v>
      </c>
      <c r="K430" s="38">
        <v>2022</v>
      </c>
      <c r="L430" s="38">
        <v>2023</v>
      </c>
      <c r="M430" s="38">
        <v>2024</v>
      </c>
      <c r="N430" s="37">
        <v>2025</v>
      </c>
    </row>
    <row r="431" spans="1:15">
      <c r="A431" s="6" t="s">
        <v>241</v>
      </c>
      <c r="B431" s="19"/>
      <c r="C431" s="19"/>
      <c r="D431" s="19"/>
      <c r="E431" s="19"/>
      <c r="F431" s="19"/>
      <c r="G431" s="19"/>
    </row>
    <row r="432" spans="1:15">
      <c r="A432" s="6" t="s">
        <v>242</v>
      </c>
      <c r="B432" s="9">
        <v>183.1</v>
      </c>
      <c r="C432" s="9">
        <v>240.6</v>
      </c>
      <c r="D432" s="9">
        <v>270.3</v>
      </c>
      <c r="E432" s="9">
        <v>344.5</v>
      </c>
      <c r="F432" s="9">
        <v>964.1</v>
      </c>
      <c r="G432" s="9">
        <v>409</v>
      </c>
    </row>
    <row r="433" spans="1:15">
      <c r="A433" s="6" t="s">
        <v>243</v>
      </c>
      <c r="B433" s="9">
        <v>398.8</v>
      </c>
      <c r="C433" s="9">
        <v>405.5</v>
      </c>
      <c r="D433" s="9">
        <v>422</v>
      </c>
      <c r="E433" s="9">
        <v>526.9</v>
      </c>
      <c r="F433" s="9">
        <v>600.79999999999995</v>
      </c>
      <c r="G433" s="9">
        <v>593.4</v>
      </c>
      <c r="H433" s="42"/>
      <c r="I433" s="42"/>
      <c r="J433" s="42">
        <f t="shared" ref="J433:N436" si="97">B432/C$307</f>
        <v>3.5278703685863465E-2</v>
      </c>
      <c r="K433" s="42">
        <f t="shared" si="97"/>
        <v>4.4757794478755858E-2</v>
      </c>
      <c r="L433" s="42">
        <f t="shared" si="97"/>
        <v>4.6064179689497102E-2</v>
      </c>
      <c r="M433" s="42">
        <f t="shared" si="97"/>
        <v>5.640975258305906E-2</v>
      </c>
      <c r="N433" s="42">
        <f t="shared" si="97"/>
        <v>0.15541978333763218</v>
      </c>
      <c r="O433" s="42">
        <f>AVERAGE(J433:N433)</f>
        <v>6.7586042754961537E-2</v>
      </c>
    </row>
    <row r="434" spans="1:15">
      <c r="A434" s="6" t="s">
        <v>102</v>
      </c>
      <c r="B434" s="9">
        <v>495.4</v>
      </c>
      <c r="C434" s="9">
        <v>535.4</v>
      </c>
      <c r="D434" s="9">
        <v>646.6</v>
      </c>
      <c r="E434" s="9">
        <v>613.29999999999995</v>
      </c>
      <c r="F434" s="9">
        <v>613.29999999999995</v>
      </c>
      <c r="G434" s="9">
        <v>534.79999999999995</v>
      </c>
      <c r="H434" s="42"/>
      <c r="I434" s="42"/>
      <c r="J434" s="42">
        <f t="shared" si="97"/>
        <v>7.6838596558833155E-2</v>
      </c>
      <c r="K434" s="42">
        <f t="shared" si="97"/>
        <v>7.5433439988094347E-2</v>
      </c>
      <c r="L434" s="42">
        <f t="shared" si="97"/>
        <v>7.1916699330254436E-2</v>
      </c>
      <c r="M434" s="42">
        <f t="shared" si="97"/>
        <v>8.6276628841839814E-2</v>
      </c>
      <c r="N434" s="42">
        <f t="shared" si="97"/>
        <v>9.6853237038947618E-2</v>
      </c>
      <c r="O434" s="42">
        <f t="shared" ref="O434:O436" si="98">AVERAGE(J434:N434)</f>
        <v>8.1463720351593868E-2</v>
      </c>
    </row>
    <row r="435" spans="1:15">
      <c r="A435" s="6" t="s">
        <v>214</v>
      </c>
      <c r="B435" s="9">
        <v>35.1</v>
      </c>
      <c r="C435" s="9">
        <v>51.9</v>
      </c>
      <c r="D435" s="9">
        <v>57</v>
      </c>
      <c r="E435" s="9">
        <v>45</v>
      </c>
      <c r="F435" s="9">
        <v>62.4</v>
      </c>
      <c r="G435" s="9">
        <v>59.8</v>
      </c>
      <c r="H435" s="42"/>
      <c r="I435" s="42"/>
      <c r="J435" s="42">
        <f t="shared" si="97"/>
        <v>9.5450954702221522E-2</v>
      </c>
      <c r="K435" s="42">
        <f t="shared" si="97"/>
        <v>9.9598184388719382E-2</v>
      </c>
      <c r="L435" s="42">
        <f t="shared" si="97"/>
        <v>0.11019274357095385</v>
      </c>
      <c r="M435" s="42">
        <f t="shared" si="97"/>
        <v>0.10042409654336754</v>
      </c>
      <c r="N435" s="42">
        <f t="shared" si="97"/>
        <v>9.8868326025277259E-2</v>
      </c>
      <c r="O435" s="42">
        <f t="shared" si="98"/>
        <v>0.10090686104610791</v>
      </c>
    </row>
    <row r="436" spans="1:15">
      <c r="A436" s="6" t="s">
        <v>244</v>
      </c>
      <c r="B436" s="9">
        <v>1112.4000000000001</v>
      </c>
      <c r="C436" s="9">
        <v>1233.4000000000001</v>
      </c>
      <c r="D436" s="9">
        <v>1395.9</v>
      </c>
      <c r="E436" s="9">
        <v>1529.7</v>
      </c>
      <c r="F436" s="9">
        <v>2240.6</v>
      </c>
      <c r="G436" s="9">
        <v>1597</v>
      </c>
      <c r="H436" s="42"/>
      <c r="I436" s="42"/>
      <c r="J436" s="42">
        <f t="shared" si="97"/>
        <v>6.7628754744609929E-3</v>
      </c>
      <c r="K436" s="42">
        <f t="shared" si="97"/>
        <v>9.6547362154922236E-3</v>
      </c>
      <c r="L436" s="42">
        <f t="shared" si="97"/>
        <v>9.7138669711481114E-3</v>
      </c>
      <c r="M436" s="42">
        <f t="shared" si="97"/>
        <v>7.3684727612123588E-3</v>
      </c>
      <c r="N436" s="42">
        <f t="shared" si="97"/>
        <v>1.0059324219757543E-2</v>
      </c>
      <c r="O436" s="42">
        <f t="shared" si="98"/>
        <v>8.7118551284142472E-3</v>
      </c>
    </row>
    <row r="437" spans="1:15">
      <c r="A437" s="16"/>
      <c r="B437" s="19"/>
      <c r="C437" s="19"/>
      <c r="D437" s="19"/>
      <c r="E437" s="19"/>
      <c r="F437" s="19"/>
      <c r="G437" s="19"/>
    </row>
    <row r="438" spans="1:15">
      <c r="A438" s="6" t="s">
        <v>245</v>
      </c>
      <c r="B438" s="9">
        <v>612.79999999999995</v>
      </c>
      <c r="C438" s="9">
        <v>652.70000000000005</v>
      </c>
      <c r="D438" s="9">
        <v>761.1</v>
      </c>
      <c r="E438" s="9">
        <v>927.7</v>
      </c>
      <c r="F438" s="9">
        <v>931.7</v>
      </c>
      <c r="G438" s="9">
        <v>822.8</v>
      </c>
    </row>
    <row r="439" spans="1:15">
      <c r="A439" s="6" t="s">
        <v>246</v>
      </c>
      <c r="B439" s="9">
        <v>9.1</v>
      </c>
      <c r="C439" s="9">
        <v>9.1</v>
      </c>
      <c r="D439" s="9">
        <v>12.7</v>
      </c>
      <c r="E439" s="9">
        <v>12</v>
      </c>
      <c r="F439" s="9">
        <v>11.1</v>
      </c>
      <c r="G439" s="9">
        <v>10.3</v>
      </c>
    </row>
    <row r="440" spans="1:15">
      <c r="A440" s="6" t="s">
        <v>247</v>
      </c>
      <c r="B440" s="9">
        <v>3110.2</v>
      </c>
      <c r="C440" s="9">
        <v>3494.3</v>
      </c>
      <c r="D440" s="9">
        <v>3431.6</v>
      </c>
      <c r="E440" s="9">
        <v>3302.3</v>
      </c>
      <c r="F440" s="9">
        <v>2888.5</v>
      </c>
      <c r="G440" s="9">
        <v>3511.5</v>
      </c>
    </row>
    <row r="441" spans="1:15">
      <c r="A441" s="6" t="s">
        <v>248</v>
      </c>
      <c r="B441" s="9">
        <v>2229.6</v>
      </c>
      <c r="C441" s="9">
        <v>2274.5</v>
      </c>
      <c r="D441" s="9">
        <v>2426.8000000000002</v>
      </c>
      <c r="E441" s="9">
        <v>2431.5</v>
      </c>
      <c r="F441" s="9">
        <v>2433.1999999999998</v>
      </c>
      <c r="G441" s="9">
        <v>2627.5</v>
      </c>
    </row>
    <row r="442" spans="1:15">
      <c r="A442" s="6" t="s">
        <v>249</v>
      </c>
      <c r="B442" s="9">
        <v>340.4</v>
      </c>
      <c r="C442" s="9">
        <v>332.5</v>
      </c>
      <c r="D442" s="9">
        <v>317.5</v>
      </c>
      <c r="E442" s="9">
        <v>366</v>
      </c>
      <c r="F442" s="9">
        <v>378</v>
      </c>
      <c r="G442" s="9">
        <v>343.3</v>
      </c>
    </row>
    <row r="443" spans="1:15">
      <c r="A443" s="6" t="s">
        <v>250</v>
      </c>
      <c r="B443" s="21">
        <v>7414.5</v>
      </c>
      <c r="C443" s="21">
        <v>7996.5</v>
      </c>
      <c r="D443" s="21">
        <v>8345.6</v>
      </c>
      <c r="E443" s="21">
        <v>8569.2000000000007</v>
      </c>
      <c r="F443" s="21">
        <v>8883.1</v>
      </c>
      <c r="G443" s="21">
        <v>8912.4</v>
      </c>
    </row>
    <row r="444" spans="1:15">
      <c r="A444" s="16"/>
      <c r="B444" s="19"/>
      <c r="C444" s="19"/>
      <c r="D444" s="19"/>
      <c r="E444" s="19"/>
      <c r="F444" s="19"/>
      <c r="G444" s="19"/>
    </row>
    <row r="445" spans="1:15">
      <c r="A445" s="6" t="s">
        <v>251</v>
      </c>
      <c r="B445" s="19"/>
      <c r="C445" s="19"/>
      <c r="D445" s="19"/>
      <c r="E445" s="19"/>
      <c r="F445" s="19"/>
      <c r="G445" s="19"/>
    </row>
    <row r="446" spans="1:15">
      <c r="A446" s="6" t="s">
        <v>189</v>
      </c>
      <c r="B446" s="19"/>
      <c r="C446" s="19"/>
      <c r="D446" s="19"/>
      <c r="E446" s="19"/>
      <c r="F446" s="19"/>
      <c r="G446" s="19"/>
      <c r="J446" s="38">
        <v>2021</v>
      </c>
      <c r="K446" s="38">
        <v>2022</v>
      </c>
      <c r="L446" s="38">
        <v>2023</v>
      </c>
      <c r="M446" s="38">
        <v>2024</v>
      </c>
      <c r="N446" s="37">
        <v>2025</v>
      </c>
    </row>
    <row r="447" spans="1:15">
      <c r="A447" s="6" t="s">
        <v>107</v>
      </c>
      <c r="B447" s="19">
        <v>351.4</v>
      </c>
      <c r="C447" s="19">
        <v>252.8</v>
      </c>
      <c r="D447" s="19">
        <v>74</v>
      </c>
      <c r="E447" s="19">
        <v>3.9</v>
      </c>
      <c r="F447" s="19">
        <v>0</v>
      </c>
      <c r="G447" s="19">
        <v>0</v>
      </c>
    </row>
    <row r="448" spans="1:15">
      <c r="A448" s="6" t="s">
        <v>252</v>
      </c>
      <c r="B448" s="19">
        <v>0</v>
      </c>
      <c r="C448" s="19">
        <v>699.4</v>
      </c>
      <c r="D448" s="19">
        <v>0</v>
      </c>
      <c r="E448" s="19">
        <v>199.9</v>
      </c>
      <c r="F448" s="19">
        <v>0</v>
      </c>
      <c r="G448" s="19">
        <v>0</v>
      </c>
      <c r="J448" s="42">
        <f t="shared" ref="J448:N453" si="99">C447/C$307</f>
        <v>4.8708117377314501E-2</v>
      </c>
      <c r="K448" s="42">
        <f t="shared" si="99"/>
        <v>1.3765905201279856E-2</v>
      </c>
      <c r="L448" s="42">
        <f t="shared" si="99"/>
        <v>6.6463300328908133E-4</v>
      </c>
      <c r="M448" s="42">
        <f t="shared" si="99"/>
        <v>0</v>
      </c>
      <c r="N448" s="42">
        <f t="shared" si="99"/>
        <v>0</v>
      </c>
      <c r="O448" s="42">
        <f t="shared" ref="O448:O453" si="100">AVERAGE(J448:N448)</f>
        <v>1.2627731116376686E-2</v>
      </c>
    </row>
    <row r="449" spans="1:15">
      <c r="A449" s="6" t="s">
        <v>104</v>
      </c>
      <c r="B449" s="9"/>
      <c r="C449" s="9"/>
      <c r="D449" s="9">
        <v>666.7</v>
      </c>
      <c r="E449" s="9">
        <v>630.6</v>
      </c>
      <c r="F449" s="9">
        <v>705.1</v>
      </c>
      <c r="G449" s="9">
        <v>732.4</v>
      </c>
      <c r="J449" s="42">
        <f t="shared" si="99"/>
        <v>0.13475655575037088</v>
      </c>
      <c r="K449" s="42">
        <f t="shared" si="99"/>
        <v>0</v>
      </c>
      <c r="L449" s="42">
        <f t="shared" si="99"/>
        <v>3.4066701886535218E-2</v>
      </c>
      <c r="M449" s="42">
        <f t="shared" si="99"/>
        <v>0</v>
      </c>
      <c r="N449" s="42">
        <f t="shared" si="99"/>
        <v>0</v>
      </c>
      <c r="O449" s="42">
        <f t="shared" si="100"/>
        <v>3.3764651527381215E-2</v>
      </c>
    </row>
    <row r="450" spans="1:15">
      <c r="A450" s="6" t="s">
        <v>253</v>
      </c>
      <c r="B450" s="9">
        <v>1024.5</v>
      </c>
      <c r="C450" s="9">
        <v>1119.7</v>
      </c>
      <c r="D450" s="9">
        <v>436.1</v>
      </c>
      <c r="E450" s="9">
        <v>580.4</v>
      </c>
      <c r="F450" s="9">
        <v>605.5</v>
      </c>
      <c r="G450" s="9">
        <v>583</v>
      </c>
      <c r="J450" s="42">
        <f t="shared" si="99"/>
        <v>0</v>
      </c>
      <c r="K450" s="42">
        <f t="shared" si="99"/>
        <v>0.12402336483369299</v>
      </c>
      <c r="L450" s="42">
        <f t="shared" si="99"/>
        <v>0.10746604407028069</v>
      </c>
      <c r="M450" s="42">
        <f t="shared" si="99"/>
        <v>0.11545578097624076</v>
      </c>
      <c r="N450" s="42">
        <f t="shared" si="99"/>
        <v>0.11806809388702603</v>
      </c>
      <c r="O450" s="42">
        <f t="shared" si="100"/>
        <v>9.3002656753448099E-2</v>
      </c>
    </row>
    <row r="451" spans="1:15">
      <c r="A451" s="6" t="s">
        <v>254</v>
      </c>
      <c r="B451" s="9"/>
      <c r="C451" s="9"/>
      <c r="D451" s="9"/>
      <c r="E451" s="9"/>
      <c r="F451" s="9">
        <v>0</v>
      </c>
      <c r="G451" s="9">
        <v>178.9</v>
      </c>
      <c r="J451" s="42">
        <f t="shared" si="99"/>
        <v>0.21573765438045509</v>
      </c>
      <c r="K451" s="42">
        <f t="shared" si="99"/>
        <v>8.1125827814569534E-2</v>
      </c>
      <c r="L451" s="42">
        <f t="shared" si="99"/>
        <v>9.8911024386918664E-2</v>
      </c>
      <c r="M451" s="42">
        <f t="shared" si="99"/>
        <v>9.9146894598090743E-2</v>
      </c>
      <c r="N451" s="42">
        <f t="shared" si="99"/>
        <v>9.3983750322414225E-2</v>
      </c>
      <c r="O451" s="42">
        <f t="shared" si="100"/>
        <v>0.11778103030048966</v>
      </c>
    </row>
    <row r="452" spans="1:15">
      <c r="A452" s="6" t="s">
        <v>216</v>
      </c>
      <c r="B452" s="9">
        <v>12.7</v>
      </c>
      <c r="C452" s="9">
        <v>3.3</v>
      </c>
      <c r="D452" s="9">
        <v>7</v>
      </c>
      <c r="E452" s="9">
        <v>7.2</v>
      </c>
      <c r="F452" s="9">
        <v>5.3</v>
      </c>
      <c r="G452" s="9">
        <v>3.4</v>
      </c>
      <c r="J452" s="42">
        <f t="shared" si="99"/>
        <v>0</v>
      </c>
      <c r="K452" s="42">
        <f t="shared" si="99"/>
        <v>0</v>
      </c>
      <c r="L452" s="42">
        <f t="shared" si="99"/>
        <v>0</v>
      </c>
      <c r="M452" s="42">
        <f t="shared" si="99"/>
        <v>0</v>
      </c>
      <c r="N452" s="42">
        <f t="shared" si="99"/>
        <v>2.8839953572349752E-2</v>
      </c>
      <c r="O452" s="42">
        <f t="shared" si="100"/>
        <v>5.7679907144699508E-3</v>
      </c>
    </row>
    <row r="453" spans="1:15">
      <c r="A453" s="6" t="s">
        <v>255</v>
      </c>
      <c r="B453" s="9">
        <v>1388.6</v>
      </c>
      <c r="C453" s="9">
        <v>2075.1999999999998</v>
      </c>
      <c r="D453" s="9">
        <v>1183.8</v>
      </c>
      <c r="E453" s="9">
        <v>1422</v>
      </c>
      <c r="F453" s="9">
        <v>1315.9</v>
      </c>
      <c r="G453" s="9">
        <v>1497.7</v>
      </c>
      <c r="J453" s="42">
        <f t="shared" si="99"/>
        <v>6.3582589930829842E-4</v>
      </c>
      <c r="K453" s="42">
        <f t="shared" si="99"/>
        <v>1.3021802217426891E-3</v>
      </c>
      <c r="L453" s="42">
        <f t="shared" si="99"/>
        <v>1.2270147753029193E-3</v>
      </c>
      <c r="M453" s="42">
        <f t="shared" si="99"/>
        <v>8.6784234743167779E-4</v>
      </c>
      <c r="N453" s="42">
        <f t="shared" si="99"/>
        <v>5.4810420428166103E-4</v>
      </c>
      <c r="O453" s="42">
        <f t="shared" si="100"/>
        <v>9.1619348961344911E-4</v>
      </c>
    </row>
    <row r="454" spans="1:15">
      <c r="A454" s="16"/>
      <c r="B454" s="19"/>
      <c r="C454" s="19"/>
      <c r="D454" s="19"/>
      <c r="E454" s="19"/>
      <c r="F454" s="19"/>
      <c r="G454" s="19"/>
    </row>
    <row r="455" spans="1:15">
      <c r="A455" s="6" t="s">
        <v>257</v>
      </c>
      <c r="B455" s="9">
        <v>1812.5</v>
      </c>
      <c r="C455" s="9">
        <v>1610.7</v>
      </c>
      <c r="D455" s="9">
        <v>2599.5</v>
      </c>
      <c r="E455" s="9">
        <v>2202.1999999999998</v>
      </c>
      <c r="F455" s="9">
        <v>2204.6</v>
      </c>
      <c r="G455" s="9">
        <v>2205.1</v>
      </c>
      <c r="J455" s="169"/>
      <c r="K455" s="169"/>
    </row>
    <row r="456" spans="1:15">
      <c r="A456" s="6" t="s">
        <v>258</v>
      </c>
      <c r="B456" s="9">
        <v>707.3</v>
      </c>
      <c r="C456" s="9">
        <v>745.1</v>
      </c>
      <c r="D456" s="9">
        <v>757</v>
      </c>
      <c r="E456" s="9">
        <v>743.1</v>
      </c>
      <c r="F456" s="9">
        <v>669.2</v>
      </c>
      <c r="G456" s="9">
        <v>886.9</v>
      </c>
      <c r="J456" s="169"/>
      <c r="K456" s="169"/>
    </row>
    <row r="457" spans="1:15">
      <c r="A457" s="6" t="s">
        <v>259</v>
      </c>
      <c r="B457" s="9">
        <v>485.7</v>
      </c>
      <c r="C457" s="9">
        <v>332.3</v>
      </c>
      <c r="D457" s="9">
        <v>315.39999999999998</v>
      </c>
      <c r="E457" s="9">
        <v>346.5</v>
      </c>
      <c r="F457" s="9">
        <v>332.6</v>
      </c>
      <c r="G457" s="9">
        <v>320.5</v>
      </c>
      <c r="J457" s="169"/>
      <c r="K457" s="87"/>
    </row>
    <row r="458" spans="1:15">
      <c r="A458" s="6" t="s">
        <v>260</v>
      </c>
      <c r="B458" s="22">
        <v>4394.1000000000004</v>
      </c>
      <c r="C458" s="22">
        <v>4763.3</v>
      </c>
      <c r="D458" s="22">
        <v>4855.7</v>
      </c>
      <c r="E458" s="22">
        <v>4713.8</v>
      </c>
      <c r="F458" s="22">
        <v>4522.3</v>
      </c>
      <c r="G458" s="22">
        <v>4910.2</v>
      </c>
    </row>
    <row r="459" spans="1:15">
      <c r="A459" s="16"/>
      <c r="B459" s="19"/>
      <c r="C459" s="19"/>
      <c r="D459" s="19"/>
      <c r="E459" s="19"/>
      <c r="F459" s="19"/>
      <c r="G459" s="19"/>
    </row>
    <row r="460" spans="1:15">
      <c r="A460" s="6" t="s">
        <v>261</v>
      </c>
      <c r="B460" s="19"/>
      <c r="C460" s="19"/>
      <c r="D460" s="19"/>
      <c r="E460" s="19"/>
      <c r="F460" s="19"/>
      <c r="G460" s="19"/>
    </row>
    <row r="461" spans="1:15">
      <c r="A461" s="6" t="s">
        <v>262</v>
      </c>
      <c r="B461" s="19"/>
      <c r="C461" s="19"/>
      <c r="D461" s="19"/>
      <c r="E461" s="19"/>
      <c r="F461" s="19"/>
      <c r="G461" s="19"/>
    </row>
    <row r="462" spans="1:15">
      <c r="A462" s="6" t="s">
        <v>263</v>
      </c>
      <c r="B462" s="19"/>
      <c r="C462" s="19"/>
      <c r="D462" s="19"/>
      <c r="E462" s="19"/>
      <c r="F462" s="19"/>
      <c r="G462" s="19"/>
    </row>
    <row r="463" spans="1:15">
      <c r="A463" s="6" t="s">
        <v>264</v>
      </c>
      <c r="B463" s="9">
        <v>0</v>
      </c>
      <c r="C463" s="9">
        <v>0</v>
      </c>
      <c r="D463" s="9">
        <v>0</v>
      </c>
      <c r="E463" s="9">
        <v>0</v>
      </c>
      <c r="F463" s="9">
        <v>0</v>
      </c>
      <c r="G463" s="9">
        <v>0</v>
      </c>
    </row>
    <row r="464" spans="1:15">
      <c r="A464" s="6" t="s">
        <v>265</v>
      </c>
      <c r="B464" s="19"/>
      <c r="C464" s="19"/>
      <c r="D464" s="19"/>
      <c r="E464" s="19"/>
      <c r="F464" s="19"/>
      <c r="G464" s="19"/>
    </row>
    <row r="465" spans="1:7">
      <c r="A465" s="6" t="s">
        <v>266</v>
      </c>
      <c r="B465" s="19">
        <v>0</v>
      </c>
      <c r="C465" s="19">
        <v>0</v>
      </c>
      <c r="D465" s="19">
        <v>0</v>
      </c>
      <c r="E465" s="19">
        <v>0</v>
      </c>
      <c r="F465" s="19">
        <v>0</v>
      </c>
      <c r="G465" s="19">
        <v>0</v>
      </c>
    </row>
    <row r="466" spans="1:7">
      <c r="A466" s="6" t="s">
        <v>267</v>
      </c>
      <c r="B466" s="9">
        <v>292.8</v>
      </c>
      <c r="C466" s="9">
        <v>292.8</v>
      </c>
      <c r="D466" s="9">
        <v>293.7</v>
      </c>
      <c r="E466" s="9">
        <v>293.7</v>
      </c>
      <c r="F466" s="9">
        <v>293.7</v>
      </c>
      <c r="G466" s="9">
        <v>293.7</v>
      </c>
    </row>
    <row r="467" spans="1:7">
      <c r="A467" s="6" t="s">
        <v>268</v>
      </c>
      <c r="B467" s="9">
        <v>274.39999999999998</v>
      </c>
      <c r="C467" s="9">
        <v>310.3</v>
      </c>
      <c r="D467" s="9">
        <v>366.2</v>
      </c>
      <c r="E467" s="9">
        <v>454.8</v>
      </c>
      <c r="F467" s="9">
        <v>563.1</v>
      </c>
      <c r="G467" s="9">
        <v>625.1</v>
      </c>
    </row>
    <row r="468" spans="1:7">
      <c r="A468" s="6" t="s">
        <v>269</v>
      </c>
      <c r="B468" s="9">
        <v>4786</v>
      </c>
      <c r="C468" s="9">
        <v>5366</v>
      </c>
      <c r="D468" s="9">
        <v>5524.6</v>
      </c>
      <c r="E468" s="9">
        <v>6012.3</v>
      </c>
      <c r="F468" s="9">
        <v>6319.7</v>
      </c>
      <c r="G468" s="9">
        <v>6768.2</v>
      </c>
    </row>
    <row r="469" spans="1:7">
      <c r="A469" s="6" t="s">
        <v>270</v>
      </c>
      <c r="B469" s="9">
        <v>-77.599999999999994</v>
      </c>
      <c r="C469" s="9">
        <v>-68.2</v>
      </c>
      <c r="D469" s="9">
        <v>-29.3</v>
      </c>
      <c r="E469" s="9">
        <v>-27.2</v>
      </c>
      <c r="F469" s="9">
        <v>-30.9</v>
      </c>
      <c r="G469" s="9">
        <v>-19.899999999999999</v>
      </c>
    </row>
    <row r="470" spans="1:7">
      <c r="A470" s="6" t="s">
        <v>271</v>
      </c>
      <c r="B470" s="19"/>
      <c r="C470" s="19"/>
      <c r="D470" s="19"/>
      <c r="E470" s="19"/>
      <c r="F470" s="19"/>
      <c r="G470" s="19"/>
    </row>
    <row r="471" spans="1:7">
      <c r="A471" s="6" t="s">
        <v>272</v>
      </c>
      <c r="B471" s="9">
        <v>-2255.1999999999998</v>
      </c>
      <c r="C471" s="9">
        <v>-2667.7</v>
      </c>
      <c r="D471" s="9">
        <v>-2665.3</v>
      </c>
      <c r="E471" s="9">
        <v>-2878.2</v>
      </c>
      <c r="F471" s="9">
        <v>-2784.8</v>
      </c>
      <c r="G471" s="9">
        <v>-3664.9</v>
      </c>
    </row>
    <row r="472" spans="1:7">
      <c r="A472" s="6" t="s">
        <v>273</v>
      </c>
      <c r="B472" s="9">
        <v>3020.4</v>
      </c>
      <c r="C472" s="9">
        <v>3233.2</v>
      </c>
      <c r="D472" s="9">
        <v>3489.9</v>
      </c>
      <c r="E472" s="9">
        <v>3855.4</v>
      </c>
      <c r="F472" s="9">
        <v>4360.8</v>
      </c>
      <c r="G472" s="9">
        <v>4002.2</v>
      </c>
    </row>
    <row r="473" spans="1:7">
      <c r="A473" s="6" t="s">
        <v>274</v>
      </c>
      <c r="B473" s="21">
        <v>7414.5</v>
      </c>
      <c r="C473" s="21">
        <v>7996.5</v>
      </c>
      <c r="D473" s="21">
        <v>8345.6</v>
      </c>
      <c r="E473" s="21">
        <v>8569.2000000000007</v>
      </c>
      <c r="F473" s="21">
        <v>8883.1</v>
      </c>
      <c r="G473" s="21">
        <v>8912.4</v>
      </c>
    </row>
    <row r="474" spans="1:7">
      <c r="A474" s="17"/>
      <c r="B474" s="20"/>
      <c r="C474" s="20"/>
      <c r="D474" s="20"/>
      <c r="E474" s="20"/>
      <c r="F474" s="20"/>
      <c r="G474" s="20"/>
    </row>
    <row r="475" spans="1:7">
      <c r="A475" s="3"/>
      <c r="B475" s="3"/>
      <c r="C475" s="28"/>
      <c r="D475" s="28"/>
      <c r="E475" s="28"/>
      <c r="F475" s="28"/>
      <c r="G475" s="28"/>
    </row>
    <row r="476" spans="1:7">
      <c r="A476" s="1"/>
      <c r="B476" s="1"/>
      <c r="C476" s="1"/>
      <c r="D476" s="1"/>
      <c r="E476" s="1"/>
      <c r="F476" s="1"/>
      <c r="G476" s="39"/>
    </row>
    <row r="477" spans="1:7">
      <c r="A477" s="25" t="s">
        <v>401</v>
      </c>
      <c r="B477" s="41">
        <v>2020</v>
      </c>
      <c r="C477" s="38">
        <v>2021</v>
      </c>
      <c r="D477" s="38">
        <v>2022</v>
      </c>
      <c r="E477" s="38">
        <v>2023</v>
      </c>
      <c r="F477" s="38">
        <v>2024</v>
      </c>
      <c r="G477" s="37">
        <v>2025</v>
      </c>
    </row>
    <row r="478" spans="1:7">
      <c r="A478" s="6" t="s">
        <v>402</v>
      </c>
      <c r="B478" s="1"/>
      <c r="C478" s="18"/>
      <c r="D478" s="18"/>
      <c r="E478" s="18"/>
      <c r="F478" s="18"/>
      <c r="G478" s="19"/>
    </row>
    <row r="479" spans="1:7">
      <c r="A479" s="6" t="s">
        <v>196</v>
      </c>
      <c r="B479" s="8">
        <v>785.9</v>
      </c>
      <c r="C479" s="8">
        <v>827.5</v>
      </c>
      <c r="D479" s="8">
        <v>413.9</v>
      </c>
      <c r="E479" s="8">
        <v>755.6</v>
      </c>
      <c r="F479" s="8">
        <v>585.29999999999995</v>
      </c>
      <c r="G479" s="9">
        <v>736.8</v>
      </c>
    </row>
    <row r="480" spans="1:7">
      <c r="A480" s="6" t="s">
        <v>197</v>
      </c>
      <c r="B480" s="18"/>
      <c r="C480" s="18"/>
      <c r="D480" s="18"/>
      <c r="E480" s="18"/>
      <c r="F480" s="18"/>
      <c r="G480" s="19"/>
    </row>
    <row r="481" spans="1:7">
      <c r="A481" s="6" t="s">
        <v>198</v>
      </c>
      <c r="B481" s="18"/>
      <c r="C481" s="18"/>
      <c r="D481" s="18"/>
      <c r="E481" s="18"/>
      <c r="F481" s="18"/>
      <c r="G481" s="19"/>
    </row>
    <row r="482" spans="1:7">
      <c r="A482" s="6" t="s">
        <v>199</v>
      </c>
      <c r="B482" s="8">
        <v>66.2</v>
      </c>
      <c r="C482" s="8">
        <v>68.400000000000006</v>
      </c>
      <c r="D482" s="8">
        <v>67</v>
      </c>
      <c r="E482" s="8">
        <v>72.8</v>
      </c>
      <c r="F482" s="8">
        <v>83.2</v>
      </c>
      <c r="G482" s="9">
        <v>89.7</v>
      </c>
    </row>
    <row r="483" spans="1:7">
      <c r="A483" s="6" t="s">
        <v>200</v>
      </c>
      <c r="B483" s="8">
        <v>123.5</v>
      </c>
      <c r="C483" s="8">
        <v>150.69999999999999</v>
      </c>
      <c r="D483" s="8">
        <v>152</v>
      </c>
      <c r="E483" s="8">
        <v>152.4</v>
      </c>
      <c r="F483" s="8">
        <v>155.9</v>
      </c>
      <c r="G483" s="9">
        <v>157.69999999999999</v>
      </c>
    </row>
    <row r="484" spans="1:7">
      <c r="A484" s="6" t="s">
        <v>403</v>
      </c>
      <c r="B484" s="18"/>
      <c r="C484" s="18"/>
      <c r="D484" s="18"/>
      <c r="E484" s="18"/>
      <c r="F484" s="18"/>
      <c r="G484" s="19"/>
    </row>
    <row r="485" spans="1:7">
      <c r="A485" s="6" t="s">
        <v>404</v>
      </c>
      <c r="B485" s="8">
        <v>-93.7</v>
      </c>
      <c r="C485" s="8">
        <v>-98</v>
      </c>
      <c r="D485" s="8">
        <v>0</v>
      </c>
      <c r="E485" s="8">
        <v>0</v>
      </c>
      <c r="F485" s="8">
        <v>0</v>
      </c>
      <c r="G485" s="9">
        <v>19</v>
      </c>
    </row>
    <row r="486" spans="1:7">
      <c r="A486" s="6" t="s">
        <v>202</v>
      </c>
      <c r="B486" s="8">
        <v>25.7</v>
      </c>
      <c r="C486" s="8">
        <v>20.3</v>
      </c>
      <c r="D486" s="8">
        <v>-117.7</v>
      </c>
      <c r="E486" s="8">
        <v>-13.8</v>
      </c>
      <c r="F486" s="8">
        <v>-82</v>
      </c>
      <c r="G486" s="9">
        <v>36</v>
      </c>
    </row>
    <row r="487" spans="1:7">
      <c r="A487" s="6" t="s">
        <v>203</v>
      </c>
      <c r="B487" s="8">
        <v>0</v>
      </c>
      <c r="C487" s="8">
        <v>0</v>
      </c>
      <c r="D487" s="8">
        <v>0</v>
      </c>
      <c r="E487" s="8">
        <v>0</v>
      </c>
      <c r="F487" s="8">
        <v>0</v>
      </c>
      <c r="G487" s="9">
        <v>45.6</v>
      </c>
    </row>
    <row r="488" spans="1:7">
      <c r="A488" s="6" t="s">
        <v>144</v>
      </c>
      <c r="B488" s="8">
        <v>0</v>
      </c>
      <c r="C488" s="8">
        <v>0</v>
      </c>
      <c r="D488" s="8">
        <v>0</v>
      </c>
      <c r="E488" s="8">
        <v>0</v>
      </c>
      <c r="F488" s="8">
        <v>357.1</v>
      </c>
      <c r="G488" s="9">
        <v>0</v>
      </c>
    </row>
    <row r="489" spans="1:7">
      <c r="A489" s="6" t="s">
        <v>204</v>
      </c>
      <c r="B489" s="8">
        <v>0</v>
      </c>
      <c r="C489" s="8">
        <v>0</v>
      </c>
      <c r="D489" s="8">
        <v>411</v>
      </c>
      <c r="E489" s="8">
        <v>0</v>
      </c>
      <c r="F489" s="8">
        <v>0</v>
      </c>
      <c r="G489" s="9">
        <v>58.5</v>
      </c>
    </row>
    <row r="490" spans="1:7">
      <c r="A490" s="6" t="s">
        <v>205</v>
      </c>
      <c r="B490" s="8">
        <v>-6.7</v>
      </c>
      <c r="C490" s="8">
        <v>-9.4</v>
      </c>
      <c r="D490" s="8">
        <v>-12.3</v>
      </c>
      <c r="E490" s="8">
        <v>-8.6999999999999993</v>
      </c>
      <c r="F490" s="8">
        <v>-9.1</v>
      </c>
      <c r="G490" s="9">
        <v>-7.9</v>
      </c>
    </row>
    <row r="491" spans="1:7">
      <c r="A491" s="6" t="s">
        <v>206</v>
      </c>
      <c r="B491" s="8">
        <v>7.4</v>
      </c>
      <c r="C491" s="8">
        <v>9.4</v>
      </c>
      <c r="D491" s="8">
        <v>8.6999999999999993</v>
      </c>
      <c r="E491" s="8">
        <v>9.5</v>
      </c>
      <c r="F491" s="8">
        <v>8.9</v>
      </c>
      <c r="G491" s="9">
        <v>8.8000000000000007</v>
      </c>
    </row>
    <row r="492" spans="1:7">
      <c r="A492" s="6" t="s">
        <v>207</v>
      </c>
      <c r="B492" s="8">
        <v>21.5</v>
      </c>
      <c r="C492" s="8">
        <v>23.7</v>
      </c>
      <c r="D492" s="8">
        <v>32.299999999999997</v>
      </c>
      <c r="E492" s="8">
        <v>63.6</v>
      </c>
      <c r="F492" s="8">
        <v>59.2</v>
      </c>
      <c r="G492" s="9">
        <v>58</v>
      </c>
    </row>
    <row r="493" spans="1:7">
      <c r="A493" s="6" t="s">
        <v>208</v>
      </c>
      <c r="B493" s="8">
        <v>1.9</v>
      </c>
      <c r="C493" s="8">
        <v>14.9</v>
      </c>
      <c r="D493" s="8">
        <v>2.4</v>
      </c>
      <c r="E493" s="8">
        <v>8.9</v>
      </c>
      <c r="F493" s="8">
        <v>12.1</v>
      </c>
      <c r="G493" s="9">
        <v>10.1</v>
      </c>
    </row>
    <row r="494" spans="1:7">
      <c r="A494" s="6" t="s">
        <v>209</v>
      </c>
      <c r="B494" s="8">
        <v>-3</v>
      </c>
      <c r="C494" s="8">
        <v>0</v>
      </c>
      <c r="D494" s="8">
        <v>0</v>
      </c>
      <c r="E494" s="8">
        <v>0</v>
      </c>
      <c r="F494" s="8">
        <v>0</v>
      </c>
      <c r="G494" s="9">
        <v>0</v>
      </c>
    </row>
    <row r="495" spans="1:7">
      <c r="A495" s="6" t="s">
        <v>210</v>
      </c>
      <c r="B495">
        <v>-2.2999999999999998</v>
      </c>
      <c r="C495" s="8">
        <v>3.6</v>
      </c>
      <c r="D495" s="8">
        <v>-3.2</v>
      </c>
      <c r="E495" s="8">
        <v>-0.4</v>
      </c>
      <c r="F495" s="8">
        <v>-6.2</v>
      </c>
      <c r="G495" s="9">
        <v>-6.7</v>
      </c>
    </row>
    <row r="496" spans="1:7">
      <c r="A496" s="6" t="s">
        <v>211</v>
      </c>
      <c r="B496" s="8">
        <v>926.4</v>
      </c>
      <c r="C496" s="8">
        <v>1011.0999999999999</v>
      </c>
      <c r="D496" s="8">
        <v>954.09999999999991</v>
      </c>
      <c r="E496" s="8">
        <v>1039.9000000000001</v>
      </c>
      <c r="F496" s="8">
        <v>1164.4000000000001</v>
      </c>
      <c r="G496" s="9">
        <v>1205.5999999999999</v>
      </c>
    </row>
    <row r="497" spans="1:7">
      <c r="A497" s="6" t="s">
        <v>212</v>
      </c>
      <c r="B497" s="1"/>
      <c r="C497" s="18"/>
      <c r="D497" s="18"/>
      <c r="E497" s="18"/>
      <c r="F497" s="18"/>
      <c r="G497" s="19"/>
    </row>
    <row r="498" spans="1:7">
      <c r="A498" s="6" t="s">
        <v>213</v>
      </c>
      <c r="B498" s="1">
        <v>-13.4</v>
      </c>
      <c r="C498" s="8">
        <v>2.4</v>
      </c>
      <c r="D498" s="8">
        <v>-5.3</v>
      </c>
      <c r="E498" s="8">
        <v>-97.4</v>
      </c>
      <c r="F498" s="8">
        <v>-81.5</v>
      </c>
      <c r="G498" s="9">
        <v>39.4</v>
      </c>
    </row>
    <row r="499" spans="1:7">
      <c r="A499" s="6" t="s">
        <v>102</v>
      </c>
      <c r="B499" s="1">
        <v>-61.9</v>
      </c>
      <c r="C499" s="8">
        <v>-29.1</v>
      </c>
      <c r="D499" s="8">
        <v>-92.8</v>
      </c>
      <c r="E499" s="8">
        <v>38.5</v>
      </c>
      <c r="F499" s="8">
        <v>2</v>
      </c>
      <c r="G499" s="9">
        <v>56.1</v>
      </c>
    </row>
    <row r="500" spans="1:7">
      <c r="A500" s="6" t="s">
        <v>214</v>
      </c>
      <c r="B500" s="1">
        <v>-10.199999999999999</v>
      </c>
      <c r="C500" s="8">
        <v>-6.1</v>
      </c>
      <c r="D500" s="8">
        <v>2.5</v>
      </c>
      <c r="E500" s="8">
        <v>10.4</v>
      </c>
      <c r="F500" s="8">
        <v>-0.5</v>
      </c>
      <c r="G500" s="9">
        <v>1.2</v>
      </c>
    </row>
    <row r="501" spans="1:7">
      <c r="A501" s="6" t="s">
        <v>104</v>
      </c>
      <c r="B501" s="1"/>
      <c r="C501" s="8"/>
      <c r="D501" s="8"/>
      <c r="E501" s="8">
        <v>-58.1</v>
      </c>
      <c r="F501" s="8">
        <v>98.6</v>
      </c>
      <c r="G501" s="9">
        <v>2.4</v>
      </c>
    </row>
    <row r="502" spans="1:7">
      <c r="A502" s="6" t="s">
        <v>215</v>
      </c>
      <c r="B502" s="8">
        <v>168</v>
      </c>
      <c r="C502" s="8">
        <v>47.5</v>
      </c>
      <c r="D502" s="1">
        <v>39.9</v>
      </c>
      <c r="E502" s="8">
        <v>113.3</v>
      </c>
      <c r="F502" s="8">
        <v>-1.1000000000000001</v>
      </c>
      <c r="G502" s="9">
        <v>-60.9</v>
      </c>
    </row>
    <row r="503" spans="1:7">
      <c r="A503" s="6" t="s">
        <v>216</v>
      </c>
      <c r="B503" s="8">
        <v>12.2</v>
      </c>
      <c r="C503" s="8">
        <v>-16</v>
      </c>
      <c r="D503" s="1">
        <v>14.4</v>
      </c>
      <c r="E503" s="8">
        <v>-1.8</v>
      </c>
      <c r="F503" s="8">
        <v>-7.1</v>
      </c>
      <c r="G503" s="9">
        <v>-5.0999999999999996</v>
      </c>
    </row>
    <row r="504" spans="1:7">
      <c r="A504" s="6" t="s">
        <v>217</v>
      </c>
      <c r="B504" s="8">
        <v>-35.4</v>
      </c>
      <c r="C504" s="8">
        <v>-16</v>
      </c>
      <c r="D504" s="1">
        <v>-27.6</v>
      </c>
      <c r="E504" s="8">
        <v>-14.2</v>
      </c>
      <c r="F504" s="8">
        <v>-18.600000000000001</v>
      </c>
      <c r="G504" s="9">
        <v>-23.3</v>
      </c>
    </row>
    <row r="505" spans="1:7">
      <c r="A505" s="6" t="s">
        <v>218</v>
      </c>
      <c r="B505" s="48">
        <v>59.300000000000004</v>
      </c>
      <c r="C505" s="48">
        <v>-17.300000000000004</v>
      </c>
      <c r="D505" s="48">
        <v>-68.900000000000006</v>
      </c>
      <c r="E505" s="8">
        <v>-9.3000000000000007</v>
      </c>
      <c r="F505" s="8">
        <v>-8.1999999999999993</v>
      </c>
      <c r="G505" s="9">
        <v>9.8000000000000007</v>
      </c>
    </row>
    <row r="506" spans="1:7">
      <c r="A506" s="6" t="s">
        <v>219</v>
      </c>
      <c r="B506" s="8">
        <v>990.3</v>
      </c>
      <c r="C506" s="8">
        <f>C496+C505</f>
        <v>993.8</v>
      </c>
      <c r="D506" s="8">
        <f>D496+D505</f>
        <v>885.19999999999993</v>
      </c>
      <c r="E506" s="8">
        <v>1030.5999999999999</v>
      </c>
      <c r="F506" s="8">
        <v>1156.2</v>
      </c>
      <c r="G506" s="9">
        <v>1215.4000000000001</v>
      </c>
    </row>
    <row r="507" spans="1:7">
      <c r="A507" s="6" t="s">
        <v>220</v>
      </c>
      <c r="B507" s="1"/>
      <c r="C507" s="18"/>
      <c r="D507" s="18"/>
      <c r="E507" s="18"/>
      <c r="F507" s="18"/>
      <c r="G507" s="19"/>
    </row>
    <row r="508" spans="1:7">
      <c r="A508" s="6" t="s">
        <v>221</v>
      </c>
      <c r="B508" s="1">
        <v>-98.9</v>
      </c>
      <c r="C508" s="8">
        <v>-118.8</v>
      </c>
      <c r="D508" s="8">
        <v>-178.8</v>
      </c>
      <c r="E508" s="8">
        <v>-223.5</v>
      </c>
      <c r="F508" s="8">
        <v>-179.8</v>
      </c>
      <c r="G508" s="9">
        <v>-122.4</v>
      </c>
    </row>
    <row r="509" spans="1:7">
      <c r="A509" s="6" t="s">
        <v>222</v>
      </c>
      <c r="B509" s="1">
        <v>7</v>
      </c>
      <c r="C509" s="8">
        <v>0</v>
      </c>
      <c r="D509" s="8">
        <v>0</v>
      </c>
      <c r="E509" s="8">
        <v>0</v>
      </c>
      <c r="F509" s="8">
        <v>0</v>
      </c>
      <c r="G509" s="9">
        <v>0</v>
      </c>
    </row>
    <row r="510" spans="1:7">
      <c r="A510" s="6" t="s">
        <v>57</v>
      </c>
      <c r="B510" s="1">
        <v>-512.70000000000005</v>
      </c>
      <c r="C510" s="8">
        <v>-556</v>
      </c>
      <c r="D510" s="8">
        <v>-546.79999999999995</v>
      </c>
      <c r="E510" s="8">
        <v>0</v>
      </c>
      <c r="F510" s="8">
        <v>-19.899999999999999</v>
      </c>
      <c r="G510" s="9">
        <v>-656</v>
      </c>
    </row>
    <row r="511" spans="1:7">
      <c r="A511" s="6" t="s">
        <v>223</v>
      </c>
      <c r="B511" s="8">
        <v>0</v>
      </c>
      <c r="C511" s="8">
        <v>0</v>
      </c>
      <c r="D511" s="8">
        <v>0</v>
      </c>
      <c r="E511" s="8">
        <v>0</v>
      </c>
      <c r="F511" s="8">
        <v>6.6</v>
      </c>
      <c r="G511" s="9">
        <v>0</v>
      </c>
    </row>
    <row r="512" spans="1:7">
      <c r="A512" s="6" t="s">
        <v>224</v>
      </c>
      <c r="B512" s="8">
        <v>0</v>
      </c>
      <c r="C512" s="8">
        <v>0</v>
      </c>
      <c r="D512" s="8">
        <v>0</v>
      </c>
      <c r="E512" s="8">
        <v>0</v>
      </c>
      <c r="F512" s="8">
        <v>0</v>
      </c>
      <c r="G512" s="9">
        <v>160.30000000000001</v>
      </c>
    </row>
    <row r="513" spans="1:7">
      <c r="A513" s="6" t="s">
        <v>210</v>
      </c>
      <c r="B513" s="1">
        <v>-3.5</v>
      </c>
      <c r="C513" s="1">
        <v>-7.2</v>
      </c>
      <c r="D513" s="1">
        <v>-3</v>
      </c>
      <c r="E513" s="8">
        <v>-10.8</v>
      </c>
      <c r="F513" s="8">
        <v>9.8000000000000007</v>
      </c>
      <c r="G513" s="9">
        <v>1.2</v>
      </c>
    </row>
    <row r="514" spans="1:7">
      <c r="A514" s="6" t="s">
        <v>225</v>
      </c>
      <c r="B514" s="1">
        <v>-608.1</v>
      </c>
      <c r="C514" s="1">
        <v>-682</v>
      </c>
      <c r="D514" s="1">
        <v>-728.6</v>
      </c>
      <c r="E514" s="8">
        <v>-234.3</v>
      </c>
      <c r="F514" s="8">
        <v>-183.3</v>
      </c>
      <c r="G514" s="9">
        <v>-616.9</v>
      </c>
    </row>
    <row r="515" spans="1:7">
      <c r="A515" s="6" t="s">
        <v>226</v>
      </c>
      <c r="B515" s="1"/>
      <c r="C515" s="18"/>
      <c r="D515" s="18"/>
      <c r="E515" s="18"/>
      <c r="F515" s="18"/>
      <c r="G515" s="19"/>
    </row>
    <row r="516" spans="1:7">
      <c r="A516" s="6" t="s">
        <v>227</v>
      </c>
      <c r="B516" s="18">
        <v>0</v>
      </c>
      <c r="C516" s="18">
        <v>799.2</v>
      </c>
      <c r="D516" s="18">
        <v>998.8</v>
      </c>
      <c r="E516" s="18">
        <v>0</v>
      </c>
      <c r="F516" s="18">
        <v>0</v>
      </c>
      <c r="G516" s="19">
        <v>0</v>
      </c>
    </row>
    <row r="517" spans="1:7">
      <c r="A517" s="6" t="s">
        <v>228</v>
      </c>
      <c r="B517" s="8">
        <v>0</v>
      </c>
      <c r="C517" s="8">
        <v>-300</v>
      </c>
      <c r="D517" s="8">
        <v>-700</v>
      </c>
      <c r="E517" s="8">
        <v>-200</v>
      </c>
      <c r="F517" s="8">
        <v>-204.6</v>
      </c>
      <c r="G517" s="9">
        <v>0</v>
      </c>
    </row>
    <row r="518" spans="1:7">
      <c r="A518" s="6" t="s">
        <v>229</v>
      </c>
      <c r="B518" s="8">
        <v>99</v>
      </c>
      <c r="C518" s="8">
        <v>-98.5</v>
      </c>
      <c r="D518" s="8">
        <v>-178.9</v>
      </c>
      <c r="E518" s="8">
        <v>-70.599999999999994</v>
      </c>
      <c r="F518" s="8">
        <v>-3.6</v>
      </c>
      <c r="G518" s="9">
        <v>0</v>
      </c>
    </row>
    <row r="519" spans="1:7">
      <c r="A519" s="6" t="s">
        <v>230</v>
      </c>
      <c r="B519" s="8">
        <v>93</v>
      </c>
      <c r="C519" s="8">
        <v>98.7</v>
      </c>
      <c r="D519" s="8">
        <v>26.2</v>
      </c>
      <c r="E519" s="8">
        <v>111.7</v>
      </c>
      <c r="F519" s="8">
        <v>142.9</v>
      </c>
      <c r="G519" s="9">
        <v>35.6</v>
      </c>
    </row>
    <row r="520" spans="1:7">
      <c r="A520" s="6" t="s">
        <v>231</v>
      </c>
      <c r="B520" s="8">
        <v>-237.3</v>
      </c>
      <c r="C520" s="8">
        <v>-247.5</v>
      </c>
      <c r="D520" s="8">
        <v>-255</v>
      </c>
      <c r="E520" s="8">
        <v>-266.5</v>
      </c>
      <c r="F520" s="8">
        <v>-277</v>
      </c>
      <c r="G520" s="9">
        <v>-287.2</v>
      </c>
    </row>
    <row r="521" spans="1:7">
      <c r="A521" s="6" t="s">
        <v>232</v>
      </c>
      <c r="B521" s="8">
        <v>-300</v>
      </c>
      <c r="C521" s="8">
        <v>-500</v>
      </c>
      <c r="D521" s="8">
        <v>0</v>
      </c>
      <c r="E521" s="8">
        <v>-300.10000000000002</v>
      </c>
      <c r="F521" s="8">
        <v>0</v>
      </c>
      <c r="G521" s="9">
        <v>-900</v>
      </c>
    </row>
    <row r="522" spans="1:7">
      <c r="A522" s="6" t="s">
        <v>233</v>
      </c>
      <c r="B522" s="8">
        <v>-14.5</v>
      </c>
      <c r="C522" s="8">
        <v>0</v>
      </c>
      <c r="D522" s="8">
        <v>0</v>
      </c>
      <c r="E522" s="8">
        <v>0</v>
      </c>
      <c r="F522" s="8">
        <v>0</v>
      </c>
      <c r="G522" s="9">
        <v>-5.9</v>
      </c>
    </row>
    <row r="523" spans="1:7">
      <c r="A523" s="6" t="s">
        <v>210</v>
      </c>
      <c r="B523" s="8">
        <v>-0.3</v>
      </c>
      <c r="C523" s="8">
        <v>-4</v>
      </c>
      <c r="D523" s="8">
        <v>-12</v>
      </c>
      <c r="E523" s="8">
        <v>-0.1</v>
      </c>
      <c r="F523" s="8">
        <v>-1.1000000000000001</v>
      </c>
      <c r="G523" s="9">
        <v>-4.9000000000000004</v>
      </c>
    </row>
    <row r="524" spans="1:7">
      <c r="A524" s="6" t="s">
        <v>234</v>
      </c>
      <c r="B524" s="8">
        <v>-360.1</v>
      </c>
      <c r="C524" s="8">
        <v>-252.1</v>
      </c>
      <c r="D524" s="8">
        <v>-120.9</v>
      </c>
      <c r="E524" s="8">
        <v>-725.6</v>
      </c>
      <c r="F524" s="8">
        <v>-343.4</v>
      </c>
      <c r="G524" s="9">
        <v>-1162.4000000000001</v>
      </c>
    </row>
    <row r="525" spans="1:7">
      <c r="A525" s="6" t="s">
        <v>235</v>
      </c>
      <c r="B525" s="18"/>
      <c r="C525" s="18"/>
      <c r="D525" s="18"/>
      <c r="E525" s="18"/>
      <c r="F525" s="18"/>
      <c r="G525" s="19"/>
    </row>
    <row r="526" spans="1:7">
      <c r="A526" s="6" t="s">
        <v>236</v>
      </c>
      <c r="B526" s="8">
        <v>5.3</v>
      </c>
      <c r="C526" s="8">
        <v>-2.2000000000000002</v>
      </c>
      <c r="D526" s="8">
        <v>-6</v>
      </c>
      <c r="E526" s="8">
        <v>3.5</v>
      </c>
      <c r="F526" s="8">
        <v>-9.9</v>
      </c>
      <c r="G526" s="9">
        <v>8.8000000000000007</v>
      </c>
    </row>
    <row r="527" spans="1:7">
      <c r="A527" s="6" t="s">
        <v>237</v>
      </c>
      <c r="B527" s="8">
        <v>27.4</v>
      </c>
      <c r="C527" s="8">
        <v>57.5</v>
      </c>
      <c r="D527" s="8">
        <v>29.7</v>
      </c>
      <c r="E527" s="8">
        <v>74.2</v>
      </c>
      <c r="F527" s="8">
        <v>619.6</v>
      </c>
      <c r="G527" s="9">
        <v>-555.1</v>
      </c>
    </row>
    <row r="528" spans="1:7">
      <c r="A528" s="6" t="s">
        <v>238</v>
      </c>
      <c r="B528" s="8">
        <v>155.69999999999999</v>
      </c>
      <c r="C528" s="8">
        <v>183.1</v>
      </c>
      <c r="D528" s="8">
        <v>240.6</v>
      </c>
      <c r="E528" s="8">
        <v>270.3</v>
      </c>
      <c r="F528" s="8">
        <v>344.5</v>
      </c>
      <c r="G528" s="9">
        <v>964.1</v>
      </c>
    </row>
    <row r="529" spans="1:7">
      <c r="A529" s="6" t="s">
        <v>239</v>
      </c>
      <c r="B529" s="8">
        <v>183.1</v>
      </c>
      <c r="C529" s="8">
        <v>240.6</v>
      </c>
      <c r="D529" s="8">
        <v>270.3</v>
      </c>
      <c r="E529" s="8">
        <v>344.5</v>
      </c>
      <c r="F529" s="8">
        <v>964.1</v>
      </c>
      <c r="G529" s="9">
        <v>409</v>
      </c>
    </row>
    <row r="530" spans="1:7">
      <c r="A530" s="23"/>
      <c r="B530" s="24"/>
      <c r="C530" s="29"/>
      <c r="D530" s="29"/>
      <c r="E530" s="29"/>
      <c r="F530" s="29"/>
      <c r="G530" s="31"/>
    </row>
    <row r="531" spans="1:7">
      <c r="A531" s="71"/>
      <c r="C531" s="32"/>
      <c r="D531" s="32"/>
      <c r="E531" s="32"/>
      <c r="F531" s="32"/>
      <c r="G531" s="34"/>
    </row>
    <row r="532" spans="1:7">
      <c r="A532" s="25" t="s">
        <v>405</v>
      </c>
      <c r="B532" s="37">
        <v>2020</v>
      </c>
      <c r="C532" s="37">
        <v>2021</v>
      </c>
      <c r="D532" s="37">
        <v>2022</v>
      </c>
      <c r="E532" s="37">
        <v>2023</v>
      </c>
      <c r="F532" s="37">
        <v>2024</v>
      </c>
      <c r="G532" s="37">
        <v>2025</v>
      </c>
    </row>
    <row r="533" spans="1:7">
      <c r="A533" s="6" t="s">
        <v>406</v>
      </c>
      <c r="B533" s="8"/>
      <c r="C533" s="8"/>
      <c r="D533" s="8"/>
      <c r="E533" s="8"/>
      <c r="F533" s="8"/>
      <c r="G533" s="9"/>
    </row>
    <row r="534" spans="1:7">
      <c r="A534" s="6" t="s">
        <v>407</v>
      </c>
      <c r="B534" s="8">
        <v>112.9</v>
      </c>
      <c r="C534" s="8">
        <v>116.2</v>
      </c>
      <c r="D534" s="8">
        <v>149.5</v>
      </c>
      <c r="E534" s="8">
        <v>137.5</v>
      </c>
      <c r="F534" s="8">
        <v>140.4</v>
      </c>
      <c r="G534" s="9">
        <v>143.69999999999999</v>
      </c>
    </row>
    <row r="535" spans="1:7">
      <c r="A535" s="6" t="s">
        <v>408</v>
      </c>
      <c r="B535" s="8">
        <v>33</v>
      </c>
      <c r="C535" s="8">
        <v>40</v>
      </c>
      <c r="D535" s="8">
        <v>46.8</v>
      </c>
      <c r="E535" s="8">
        <v>40.200000000000003</v>
      </c>
      <c r="F535" s="8">
        <v>45.4</v>
      </c>
      <c r="G535" s="9">
        <v>35</v>
      </c>
    </row>
    <row r="536" spans="1:7">
      <c r="A536" s="6" t="s">
        <v>409</v>
      </c>
      <c r="B536" s="8">
        <v>349.5</v>
      </c>
      <c r="C536" s="8">
        <v>379.2</v>
      </c>
      <c r="D536" s="8">
        <v>450.3</v>
      </c>
      <c r="E536" s="8">
        <v>435.6</v>
      </c>
      <c r="F536" s="8">
        <v>427.5</v>
      </c>
      <c r="G536" s="9">
        <v>356.1</v>
      </c>
    </row>
    <row r="537" spans="1:7">
      <c r="A537" s="6" t="s">
        <v>410</v>
      </c>
      <c r="B537" s="8">
        <v>495.4</v>
      </c>
      <c r="C537" s="8">
        <v>535.4</v>
      </c>
      <c r="D537" s="8">
        <v>646.6</v>
      </c>
      <c r="E537" s="8">
        <v>613.29999999999995</v>
      </c>
      <c r="F537" s="8">
        <v>613.29999999999995</v>
      </c>
      <c r="G537" s="9">
        <v>534.79999999999995</v>
      </c>
    </row>
    <row r="538" spans="1:7">
      <c r="A538" s="6" t="s">
        <v>406</v>
      </c>
      <c r="B538" s="32">
        <v>398.8</v>
      </c>
      <c r="C538" s="32">
        <v>405.5</v>
      </c>
      <c r="D538" s="32">
        <v>422</v>
      </c>
      <c r="E538" s="32">
        <v>526.9</v>
      </c>
      <c r="F538" s="32">
        <v>600.79999999999995</v>
      </c>
      <c r="G538" s="34">
        <v>593.4</v>
      </c>
    </row>
    <row r="539" spans="1:7">
      <c r="A539" s="6" t="s">
        <v>411</v>
      </c>
      <c r="B539" s="32">
        <v>35.1</v>
      </c>
      <c r="C539" s="32">
        <v>51.9</v>
      </c>
      <c r="D539" s="32">
        <v>57</v>
      </c>
      <c r="E539" s="32">
        <v>45</v>
      </c>
      <c r="F539" s="32">
        <v>62.4</v>
      </c>
      <c r="G539" s="34">
        <v>59.8</v>
      </c>
    </row>
    <row r="540" spans="1:7">
      <c r="A540" s="6" t="s">
        <v>104</v>
      </c>
      <c r="B540" s="8">
        <v>588.1</v>
      </c>
      <c r="C540" s="8">
        <v>663.8</v>
      </c>
      <c r="D540" s="8">
        <v>666.7</v>
      </c>
      <c r="E540" s="8">
        <v>630.6</v>
      </c>
      <c r="F540" s="8">
        <v>705.1</v>
      </c>
      <c r="G540" s="9">
        <v>732.4</v>
      </c>
    </row>
    <row r="541" spans="1:7">
      <c r="A541" s="6" t="s">
        <v>412</v>
      </c>
      <c r="B541" s="8">
        <v>177.8</v>
      </c>
      <c r="C541" s="8">
        <v>201.6</v>
      </c>
      <c r="D541" s="8">
        <v>234.4</v>
      </c>
      <c r="E541" s="8">
        <v>276.7</v>
      </c>
      <c r="F541" s="8">
        <v>259.60000000000002</v>
      </c>
      <c r="G541" s="9">
        <v>221.4</v>
      </c>
    </row>
    <row r="542" spans="1:7">
      <c r="A542" s="6" t="s">
        <v>413</v>
      </c>
      <c r="B542" s="8">
        <v>124.2</v>
      </c>
      <c r="C542" s="8">
        <v>87.7</v>
      </c>
      <c r="D542" s="8">
        <v>66.8</v>
      </c>
      <c r="E542" s="8">
        <v>152.30000000000001</v>
      </c>
      <c r="F542" s="8">
        <v>151.4</v>
      </c>
      <c r="G542" s="9">
        <v>145.69999999999999</v>
      </c>
    </row>
    <row r="543" spans="1:7">
      <c r="A543" s="6" t="s">
        <v>414</v>
      </c>
      <c r="B543" s="8">
        <v>134.4</v>
      </c>
      <c r="C543" s="8">
        <v>166.6</v>
      </c>
      <c r="D543" s="8">
        <v>134.9</v>
      </c>
      <c r="E543" s="8">
        <v>151.4</v>
      </c>
      <c r="F543" s="8">
        <v>194.5</v>
      </c>
      <c r="G543" s="9">
        <v>394.8</v>
      </c>
    </row>
    <row r="544" spans="1:7">
      <c r="A544" s="6" t="s">
        <v>410</v>
      </c>
      <c r="B544" s="8">
        <v>1024.5</v>
      </c>
      <c r="C544" s="8">
        <v>1119.7</v>
      </c>
      <c r="D544" s="8">
        <v>1102.8</v>
      </c>
      <c r="E544" s="8">
        <v>1211</v>
      </c>
      <c r="F544" s="8">
        <v>1310.5999999999999</v>
      </c>
      <c r="G544" s="9">
        <v>1494.3</v>
      </c>
    </row>
    <row r="545" spans="1:17">
      <c r="A545" s="7"/>
      <c r="B545" s="10"/>
      <c r="C545" s="10"/>
      <c r="D545" s="10"/>
      <c r="E545" s="10"/>
      <c r="F545" s="10"/>
      <c r="G545" s="11"/>
    </row>
    <row r="546" spans="1:17">
      <c r="A546" s="1"/>
      <c r="B546" s="1"/>
      <c r="C546" s="30"/>
      <c r="D546" s="30"/>
      <c r="E546" s="30"/>
      <c r="F546" s="30"/>
      <c r="G546" s="27"/>
    </row>
    <row r="547" spans="1:17">
      <c r="A547" s="1"/>
      <c r="B547" s="1"/>
      <c r="C547" s="27"/>
      <c r="D547" s="27"/>
      <c r="E547" s="27"/>
      <c r="F547" s="27"/>
      <c r="G547" s="27"/>
    </row>
    <row r="548" spans="1:17">
      <c r="A548" s="25" t="s">
        <v>415</v>
      </c>
      <c r="B548" s="41">
        <v>2020</v>
      </c>
      <c r="C548" s="38">
        <v>2021</v>
      </c>
      <c r="D548" s="38">
        <v>2022</v>
      </c>
      <c r="E548" s="38">
        <v>2023</v>
      </c>
      <c r="F548" s="38">
        <v>2024</v>
      </c>
      <c r="G548" s="37">
        <v>2025</v>
      </c>
      <c r="J548" s="92"/>
      <c r="K548" s="145">
        <v>2020</v>
      </c>
      <c r="L548" s="145">
        <v>2021</v>
      </c>
      <c r="M548" s="145">
        <v>2022</v>
      </c>
      <c r="N548" s="145">
        <v>2023</v>
      </c>
      <c r="O548" s="145">
        <v>2024</v>
      </c>
      <c r="P548" s="145">
        <v>2025</v>
      </c>
      <c r="Q548" s="123"/>
    </row>
    <row r="549" spans="1:17">
      <c r="A549" s="6" t="s">
        <v>34</v>
      </c>
      <c r="B549" s="9">
        <v>28.3</v>
      </c>
      <c r="C549" s="9">
        <v>28.3</v>
      </c>
      <c r="D549" s="9">
        <v>28.1</v>
      </c>
      <c r="E549" s="9">
        <v>28.3</v>
      </c>
      <c r="F549" s="9">
        <v>29.2</v>
      </c>
      <c r="G549" s="9">
        <v>16</v>
      </c>
      <c r="J549" s="92" t="s">
        <v>416</v>
      </c>
      <c r="K549" s="374">
        <f t="shared" ref="K549:P549" si="101">B307</f>
        <v>4895.8</v>
      </c>
      <c r="L549" s="374">
        <f t="shared" si="101"/>
        <v>5190.1000000000004</v>
      </c>
      <c r="M549" s="374">
        <f t="shared" si="101"/>
        <v>5375.6</v>
      </c>
      <c r="N549" s="374">
        <f t="shared" si="101"/>
        <v>5867.9</v>
      </c>
      <c r="O549" s="374">
        <f t="shared" si="101"/>
        <v>6107.1</v>
      </c>
      <c r="P549" s="374">
        <f t="shared" si="101"/>
        <v>6203.2000000000007</v>
      </c>
      <c r="Q549" s="123"/>
    </row>
    <row r="550" spans="1:17">
      <c r="A550" s="6" t="s">
        <v>36</v>
      </c>
      <c r="B550" s="9">
        <v>265.3</v>
      </c>
      <c r="C550" s="9">
        <v>290.8</v>
      </c>
      <c r="D550" s="9">
        <v>299.10000000000002</v>
      </c>
      <c r="E550" s="9">
        <v>317.8</v>
      </c>
      <c r="F550" s="9">
        <v>348.2</v>
      </c>
      <c r="G550" s="9">
        <v>367.5</v>
      </c>
      <c r="J550" s="123"/>
      <c r="K550" s="146">
        <f>B549/$K$549</f>
        <v>5.7804648882715795E-3</v>
      </c>
      <c r="L550" s="146">
        <f t="shared" ref="L550:L555" si="102">C549/$L$549</f>
        <v>5.4526887728560142E-3</v>
      </c>
      <c r="M550" s="146">
        <f t="shared" ref="M550:M555" si="103">D549/$M$549</f>
        <v>5.2273234615670804E-3</v>
      </c>
      <c r="N550" s="146">
        <f t="shared" ref="N550:N555" si="104">E549/$N$549</f>
        <v>4.8228497418156416E-3</v>
      </c>
      <c r="O550" s="146">
        <f t="shared" ref="O550:O555" si="105">F549/$O$549</f>
        <v>4.7813201028311303E-3</v>
      </c>
      <c r="P550" s="146">
        <f t="shared" ref="P550:P555" si="106">G549/$P$549</f>
        <v>2.579313902501934E-3</v>
      </c>
      <c r="Q550" s="146">
        <f t="shared" ref="Q550:Q555" si="107">AVERAGE(K550:P550)</f>
        <v>4.7739934783072304E-3</v>
      </c>
    </row>
    <row r="551" spans="1:17">
      <c r="A551" s="6" t="s">
        <v>37</v>
      </c>
      <c r="B551" s="9">
        <v>793.4</v>
      </c>
      <c r="C551" s="9">
        <v>828.9</v>
      </c>
      <c r="D551" s="9">
        <v>856.5</v>
      </c>
      <c r="E551" s="9">
        <v>895.1</v>
      </c>
      <c r="F551" s="9">
        <v>1000.4</v>
      </c>
      <c r="G551" s="9">
        <v>911.1</v>
      </c>
      <c r="J551" s="123"/>
      <c r="K551" s="146">
        <f t="shared" ref="K551:K555" si="108">B550/$K$549</f>
        <v>5.4189305118673148E-2</v>
      </c>
      <c r="L551" s="146">
        <f t="shared" si="102"/>
        <v>5.6029748945107032E-2</v>
      </c>
      <c r="M551" s="146">
        <f t="shared" si="103"/>
        <v>5.5640300617605477E-2</v>
      </c>
      <c r="N551" s="146">
        <f t="shared" si="104"/>
        <v>5.4159068832120523E-2</v>
      </c>
      <c r="O551" s="146">
        <f t="shared" si="105"/>
        <v>5.701560478786985E-2</v>
      </c>
      <c r="P551" s="146">
        <f t="shared" si="106"/>
        <v>5.9243616198091299E-2</v>
      </c>
      <c r="Q551" s="146">
        <f t="shared" si="107"/>
        <v>5.6046274083244557E-2</v>
      </c>
    </row>
    <row r="552" spans="1:17">
      <c r="A552" s="6" t="s">
        <v>38</v>
      </c>
      <c r="B552" s="9">
        <v>103</v>
      </c>
      <c r="C552" s="9">
        <v>107.8</v>
      </c>
      <c r="D552" s="9">
        <v>109.1</v>
      </c>
      <c r="E552" s="9">
        <v>122.6</v>
      </c>
      <c r="F552" s="9">
        <v>129.6</v>
      </c>
      <c r="G552" s="9">
        <v>138.9</v>
      </c>
      <c r="J552" s="123"/>
      <c r="K552" s="146">
        <f t="shared" si="108"/>
        <v>0.16205727358143715</v>
      </c>
      <c r="L552" s="146">
        <f t="shared" si="102"/>
        <v>0.15970790543534805</v>
      </c>
      <c r="M552" s="146">
        <f t="shared" si="103"/>
        <v>0.15933105141751616</v>
      </c>
      <c r="N552" s="146">
        <f t="shared" si="104"/>
        <v>0.15254179519078376</v>
      </c>
      <c r="O552" s="146">
        <f t="shared" si="105"/>
        <v>0.16380933667370765</v>
      </c>
      <c r="P552" s="146">
        <f t="shared" si="106"/>
        <v>0.14687580603559452</v>
      </c>
      <c r="Q552" s="146">
        <f t="shared" si="107"/>
        <v>0.1573871947223979</v>
      </c>
    </row>
    <row r="553" spans="1:17">
      <c r="A553" s="6" t="s">
        <v>39</v>
      </c>
      <c r="B553" s="9">
        <v>85.1</v>
      </c>
      <c r="C553" s="9">
        <v>92.7</v>
      </c>
      <c r="D553" s="9">
        <v>96.9</v>
      </c>
      <c r="E553" s="9">
        <v>105.2</v>
      </c>
      <c r="F553" s="9">
        <v>129.30000000000001</v>
      </c>
      <c r="G553" s="9">
        <v>131.6</v>
      </c>
      <c r="J553" s="123"/>
      <c r="K553" s="146">
        <f t="shared" si="108"/>
        <v>2.1038441112790553E-2</v>
      </c>
      <c r="L553" s="146">
        <f t="shared" si="102"/>
        <v>2.0770312710737749E-2</v>
      </c>
      <c r="M553" s="146">
        <f t="shared" si="103"/>
        <v>2.0295408884589625E-2</v>
      </c>
      <c r="N553" s="146">
        <f t="shared" si="104"/>
        <v>2.0893334923908043E-2</v>
      </c>
      <c r="O553" s="146">
        <f t="shared" si="105"/>
        <v>2.1221201552291593E-2</v>
      </c>
      <c r="P553" s="146">
        <f t="shared" si="106"/>
        <v>2.2391668816094917E-2</v>
      </c>
      <c r="Q553" s="146">
        <f t="shared" si="107"/>
        <v>2.1101728000068747E-2</v>
      </c>
    </row>
    <row r="554" spans="1:17">
      <c r="A554" s="6" t="s">
        <v>41</v>
      </c>
      <c r="B554" s="9">
        <v>86.8</v>
      </c>
      <c r="C554" s="9">
        <v>104.3</v>
      </c>
      <c r="D554" s="9">
        <v>211.5</v>
      </c>
      <c r="E554" s="9">
        <v>348.4</v>
      </c>
      <c r="F554" s="9">
        <v>215.1</v>
      </c>
      <c r="G554" s="9">
        <v>131.9</v>
      </c>
      <c r="J554" s="123"/>
      <c r="K554" s="146">
        <f t="shared" si="108"/>
        <v>1.7382246006781323E-2</v>
      </c>
      <c r="L554" s="146">
        <f t="shared" si="102"/>
        <v>1.786092753511493E-2</v>
      </c>
      <c r="M554" s="146">
        <f t="shared" si="103"/>
        <v>1.8025894783838082E-2</v>
      </c>
      <c r="N554" s="146">
        <f t="shared" si="104"/>
        <v>1.7928049216925989E-2</v>
      </c>
      <c r="O554" s="146">
        <f t="shared" si="105"/>
        <v>2.117207840055018E-2</v>
      </c>
      <c r="P554" s="146">
        <f t="shared" si="106"/>
        <v>2.1214856848078407E-2</v>
      </c>
      <c r="Q554" s="146">
        <f t="shared" si="107"/>
        <v>1.8930675465214816E-2</v>
      </c>
    </row>
    <row r="555" spans="1:17">
      <c r="A555" s="6" t="s">
        <v>151</v>
      </c>
      <c r="B555" s="22">
        <v>1361.9</v>
      </c>
      <c r="C555" s="22">
        <v>1452.8</v>
      </c>
      <c r="D555" s="22">
        <v>1601.2</v>
      </c>
      <c r="E555" s="22">
        <v>1817.4</v>
      </c>
      <c r="F555" s="22">
        <v>1851.8</v>
      </c>
      <c r="G555" s="22">
        <v>1697</v>
      </c>
      <c r="J555" s="123"/>
      <c r="K555" s="146">
        <f t="shared" si="108"/>
        <v>1.7729482413497283E-2</v>
      </c>
      <c r="L555" s="146">
        <f t="shared" si="102"/>
        <v>2.009595190844107E-2</v>
      </c>
      <c r="M555" s="146">
        <f t="shared" si="103"/>
        <v>3.9344445271225534E-2</v>
      </c>
      <c r="N555" s="146">
        <f t="shared" si="104"/>
        <v>5.9373881627157926E-2</v>
      </c>
      <c r="O555" s="146">
        <f t="shared" si="105"/>
        <v>3.5221299798595077E-2</v>
      </c>
      <c r="P555" s="146">
        <f t="shared" si="106"/>
        <v>2.1263218983750321E-2</v>
      </c>
      <c r="Q555" s="146">
        <f t="shared" si="107"/>
        <v>3.2171380000444533E-2</v>
      </c>
    </row>
    <row r="556" spans="1:17">
      <c r="A556" s="6" t="s">
        <v>152</v>
      </c>
      <c r="B556" s="22">
        <v>749.1</v>
      </c>
      <c r="C556" s="22">
        <v>800.1</v>
      </c>
      <c r="D556" s="22">
        <v>840.1</v>
      </c>
      <c r="E556" s="22">
        <v>889.7</v>
      </c>
      <c r="F556" s="22">
        <v>920.1</v>
      </c>
      <c r="G556" s="22">
        <v>874.2</v>
      </c>
      <c r="J556" s="123"/>
      <c r="K556" s="123"/>
      <c r="L556" s="123"/>
      <c r="M556" s="123"/>
      <c r="N556" s="123"/>
      <c r="O556" s="123"/>
      <c r="P556" s="123"/>
      <c r="Q556" s="123"/>
    </row>
    <row r="557" spans="1:17">
      <c r="A557" s="7" t="s">
        <v>417</v>
      </c>
      <c r="B557" s="73">
        <v>612.79999999999995</v>
      </c>
      <c r="C557" s="73">
        <v>652.70000000000005</v>
      </c>
      <c r="D557" s="73">
        <v>761.1</v>
      </c>
      <c r="E557" s="73">
        <v>927.7</v>
      </c>
      <c r="F557" s="73">
        <v>931.7</v>
      </c>
      <c r="G557" s="73">
        <v>822.8</v>
      </c>
    </row>
    <row r="558" spans="1:17">
      <c r="A558" s="3"/>
      <c r="B558" s="3"/>
      <c r="C558" s="3"/>
      <c r="D558" s="3"/>
      <c r="F558" s="28"/>
      <c r="G558" s="28"/>
    </row>
    <row r="560" spans="1:17">
      <c r="A560" s="1" t="s">
        <v>136</v>
      </c>
      <c r="B560" s="1"/>
      <c r="C560" s="1"/>
      <c r="D560" s="1"/>
      <c r="E560" s="3"/>
      <c r="F560" s="1"/>
      <c r="G560" s="4"/>
    </row>
    <row r="561" spans="1:17">
      <c r="A561" s="25" t="s">
        <v>418</v>
      </c>
      <c r="B561" s="35">
        <v>2020</v>
      </c>
      <c r="C561" s="35">
        <v>2021</v>
      </c>
      <c r="D561" s="35">
        <v>2022</v>
      </c>
      <c r="E561" s="26">
        <v>2023</v>
      </c>
      <c r="F561" s="38">
        <v>2024</v>
      </c>
      <c r="G561" s="37">
        <v>2025</v>
      </c>
    </row>
    <row r="562" spans="1:17">
      <c r="A562" s="7" t="s">
        <v>418</v>
      </c>
      <c r="B562" s="33">
        <v>66.2</v>
      </c>
      <c r="C562" s="33">
        <v>68.400000000000006</v>
      </c>
      <c r="D562" s="33">
        <v>67</v>
      </c>
      <c r="E562" s="10">
        <v>72.8</v>
      </c>
      <c r="F562" s="10">
        <v>83.2</v>
      </c>
      <c r="G562" s="11">
        <v>89.7</v>
      </c>
    </row>
    <row r="564" spans="1:17">
      <c r="A564" s="1" t="s">
        <v>136</v>
      </c>
      <c r="B564" s="1"/>
      <c r="C564" s="1"/>
      <c r="D564" s="1"/>
      <c r="E564" s="1" t="s">
        <v>136</v>
      </c>
      <c r="F564" s="1"/>
      <c r="G564" s="1" t="s">
        <v>136</v>
      </c>
    </row>
    <row r="565" spans="1:17">
      <c r="A565" s="25" t="s">
        <v>419</v>
      </c>
      <c r="B565" s="35">
        <v>2020</v>
      </c>
      <c r="C565" s="35">
        <v>2021</v>
      </c>
      <c r="D565" s="35">
        <v>2022</v>
      </c>
      <c r="E565" s="26">
        <v>2023</v>
      </c>
      <c r="F565" s="25">
        <v>2024</v>
      </c>
      <c r="G565" s="37">
        <v>2025</v>
      </c>
    </row>
    <row r="566" spans="1:17">
      <c r="A566" s="71"/>
      <c r="E566" s="1"/>
      <c r="F566" s="1"/>
      <c r="G566" s="51"/>
    </row>
    <row r="567" spans="1:17">
      <c r="A567" s="6" t="s">
        <v>420</v>
      </c>
      <c r="B567" s="1"/>
      <c r="C567" s="1"/>
      <c r="D567" s="1"/>
      <c r="E567" s="3"/>
      <c r="F567" s="3"/>
      <c r="G567" s="12"/>
      <c r="J567" s="92"/>
      <c r="K567" s="145">
        <v>2020</v>
      </c>
      <c r="L567" s="145">
        <v>2021</v>
      </c>
      <c r="M567" s="145">
        <v>2022</v>
      </c>
      <c r="N567" s="145">
        <v>2023</v>
      </c>
      <c r="O567" s="145">
        <v>2024</v>
      </c>
      <c r="P567" s="145">
        <v>2025</v>
      </c>
    </row>
    <row r="568" spans="1:17">
      <c r="A568" s="6" t="s">
        <v>58</v>
      </c>
      <c r="B568" s="8">
        <v>1389.6</v>
      </c>
      <c r="C568" s="8">
        <v>1403.7</v>
      </c>
      <c r="D568" s="8">
        <v>1785.8</v>
      </c>
      <c r="E568" s="8">
        <v>1385.5</v>
      </c>
      <c r="F568" s="8">
        <v>1383.4</v>
      </c>
      <c r="G568" s="9">
        <v>2113.4</v>
      </c>
      <c r="J568" s="92" t="s">
        <v>416</v>
      </c>
      <c r="K568" s="374">
        <f>B307</f>
        <v>4895.8</v>
      </c>
      <c r="L568" s="374">
        <f t="shared" ref="L568:P568" si="109">C307</f>
        <v>5190.1000000000004</v>
      </c>
      <c r="M568" s="374">
        <f t="shared" si="109"/>
        <v>5375.6</v>
      </c>
      <c r="N568" s="374">
        <f t="shared" si="109"/>
        <v>5867.9</v>
      </c>
      <c r="O568" s="374">
        <f t="shared" si="109"/>
        <v>6107.1</v>
      </c>
      <c r="P568" s="374">
        <f t="shared" si="109"/>
        <v>6203.2000000000007</v>
      </c>
    </row>
    <row r="569" spans="1:17">
      <c r="A569" s="6" t="s">
        <v>59</v>
      </c>
      <c r="B569" s="8">
        <v>659.5</v>
      </c>
      <c r="C569" s="8">
        <v>666</v>
      </c>
      <c r="D569" s="8">
        <v>723.4</v>
      </c>
      <c r="E569" s="8">
        <v>644.9</v>
      </c>
      <c r="F569" s="8">
        <v>644.9</v>
      </c>
      <c r="G569" s="9">
        <v>598.5</v>
      </c>
      <c r="J569" s="123"/>
      <c r="K569" s="146">
        <f>B568/$K$568</f>
        <v>0.28383512398382282</v>
      </c>
      <c r="L569" s="146">
        <f t="shared" ref="L569:O571" si="110">C568/L$568</f>
        <v>0.27045721662395716</v>
      </c>
      <c r="M569" s="146">
        <f t="shared" si="110"/>
        <v>0.33220477714115632</v>
      </c>
      <c r="N569" s="146">
        <f t="shared" si="110"/>
        <v>0.23611513488641594</v>
      </c>
      <c r="O569" s="146">
        <f t="shared" si="110"/>
        <v>0.22652322706358174</v>
      </c>
      <c r="P569" s="146">
        <f>G568/$P$549</f>
        <v>0.34069512509672423</v>
      </c>
      <c r="Q569" s="146">
        <f>AVERAGE(K569:P569)</f>
        <v>0.28163843413260969</v>
      </c>
    </row>
    <row r="570" spans="1:17">
      <c r="A570" s="6" t="s">
        <v>60</v>
      </c>
      <c r="B570" s="8">
        <v>230.5</v>
      </c>
      <c r="C570" s="8">
        <v>239.1</v>
      </c>
      <c r="D570" s="8">
        <v>251.7</v>
      </c>
      <c r="E570" s="8">
        <v>208.3</v>
      </c>
      <c r="F570" s="8">
        <v>205.5</v>
      </c>
      <c r="G570" s="9">
        <v>205.6</v>
      </c>
      <c r="J570" s="123"/>
      <c r="K570" s="146">
        <f t="shared" ref="K570:K571" si="111">B569/$K$568</f>
        <v>0.13470730013480942</v>
      </c>
      <c r="L570" s="146">
        <f t="shared" si="110"/>
        <v>0.12832122695131115</v>
      </c>
      <c r="M570" s="146">
        <f t="shared" si="110"/>
        <v>0.13457102462980874</v>
      </c>
      <c r="N570" s="146">
        <f t="shared" si="110"/>
        <v>0.10990303174900731</v>
      </c>
      <c r="O570" s="146">
        <f t="shared" si="110"/>
        <v>0.10559840186013</v>
      </c>
      <c r="P570" s="146">
        <f>G569/$P$549</f>
        <v>9.6482460665462982E-2</v>
      </c>
      <c r="Q570" s="146">
        <f t="shared" ref="Q570:Q571" si="112">AVERAGE(K570:P570)</f>
        <v>0.11826390766508826</v>
      </c>
    </row>
    <row r="571" spans="1:17">
      <c r="A571" s="6" t="s">
        <v>410</v>
      </c>
      <c r="B571" s="8">
        <v>2279.6</v>
      </c>
      <c r="C571" s="8">
        <v>2308.8000000000002</v>
      </c>
      <c r="D571" s="8">
        <v>2760.9</v>
      </c>
      <c r="E571" s="8">
        <v>2238.6999999999998</v>
      </c>
      <c r="F571" s="8">
        <v>2233.8000000000002</v>
      </c>
      <c r="G571" s="9">
        <v>2917.5</v>
      </c>
      <c r="J571" s="123"/>
      <c r="K571" s="146">
        <f t="shared" si="111"/>
        <v>4.7081171616487602E-2</v>
      </c>
      <c r="L571" s="146">
        <f t="shared" si="110"/>
        <v>4.6068476522610348E-2</v>
      </c>
      <c r="M571" s="146">
        <f t="shared" si="110"/>
        <v>4.6822680258947834E-2</v>
      </c>
      <c r="N571" s="146">
        <f t="shared" si="110"/>
        <v>3.5498219124388629E-2</v>
      </c>
      <c r="O571" s="146">
        <f t="shared" si="110"/>
        <v>3.3649358942869773E-2</v>
      </c>
      <c r="P571" s="146">
        <f t="shared" ref="P571" si="113">G570/$P$549</f>
        <v>3.3144183647149855E-2</v>
      </c>
      <c r="Q571" s="146">
        <f t="shared" si="112"/>
        <v>4.0377348352075675E-2</v>
      </c>
    </row>
    <row r="572" spans="1:17">
      <c r="A572" s="16" t="s">
        <v>421</v>
      </c>
      <c r="B572" s="32"/>
      <c r="C572" s="32"/>
      <c r="D572" s="32"/>
      <c r="E572" s="32"/>
      <c r="F572" s="32"/>
      <c r="G572" s="34"/>
      <c r="J572" s="123"/>
      <c r="K572" s="146"/>
      <c r="L572" s="146"/>
      <c r="M572" s="146"/>
      <c r="N572" s="146"/>
      <c r="O572" s="146"/>
      <c r="P572" s="146"/>
    </row>
    <row r="573" spans="1:17">
      <c r="A573" s="6" t="s">
        <v>58</v>
      </c>
      <c r="B573" s="8">
        <v>-269.60000000000002</v>
      </c>
      <c r="C573" s="8">
        <v>-342.8</v>
      </c>
      <c r="D573" s="8">
        <v>-406.2</v>
      </c>
      <c r="E573" s="8">
        <v>-403.5</v>
      </c>
      <c r="F573" s="8">
        <v>-479.6</v>
      </c>
      <c r="G573" s="9">
        <v>-562.1</v>
      </c>
      <c r="J573" s="123"/>
      <c r="K573" s="146"/>
      <c r="L573" s="146"/>
      <c r="M573" s="146"/>
      <c r="N573" s="146"/>
      <c r="O573" s="146"/>
      <c r="P573" s="146"/>
    </row>
    <row r="574" spans="1:17">
      <c r="A574" s="6" t="s">
        <v>59</v>
      </c>
      <c r="B574" s="8">
        <v>-291.2</v>
      </c>
      <c r="C574" s="8">
        <v>-323.5</v>
      </c>
      <c r="D574" s="8">
        <v>-358.9</v>
      </c>
      <c r="E574" s="8">
        <v>-373.3</v>
      </c>
      <c r="F574" s="8">
        <v>-402.1</v>
      </c>
      <c r="G574" s="9">
        <v>-365.2</v>
      </c>
      <c r="J574" s="3"/>
    </row>
    <row r="575" spans="1:17">
      <c r="A575" s="6" t="s">
        <v>60</v>
      </c>
      <c r="B575" s="8">
        <v>-85.3</v>
      </c>
      <c r="C575" s="8">
        <v>-99.4</v>
      </c>
      <c r="D575" s="8">
        <v>-114.6</v>
      </c>
      <c r="E575" s="8">
        <v>-116.1</v>
      </c>
      <c r="F575" s="8">
        <v>-127.2</v>
      </c>
      <c r="G575" s="9">
        <v>-139.19999999999999</v>
      </c>
    </row>
    <row r="576" spans="1:17">
      <c r="A576" s="6" t="s">
        <v>410</v>
      </c>
      <c r="B576" s="8">
        <v>-646.1</v>
      </c>
      <c r="C576" s="8">
        <v>-765.7</v>
      </c>
      <c r="D576" s="8">
        <v>-879.7</v>
      </c>
      <c r="E576" s="8">
        <v>-892.9</v>
      </c>
      <c r="F576" s="8">
        <v>-1008.9000000000001</v>
      </c>
      <c r="G576" s="9">
        <v>-1066.5</v>
      </c>
    </row>
    <row r="577" spans="1:11">
      <c r="A577" s="71"/>
      <c r="B577" s="32"/>
      <c r="C577" s="32"/>
      <c r="D577" s="32"/>
      <c r="E577" s="32"/>
      <c r="F577" s="32"/>
      <c r="G577" s="34"/>
    </row>
    <row r="578" spans="1:11">
      <c r="A578" s="6" t="s">
        <v>422</v>
      </c>
      <c r="B578" s="32"/>
      <c r="C578" s="32"/>
      <c r="D578" s="32"/>
      <c r="E578" s="32"/>
      <c r="F578" s="32"/>
      <c r="G578" s="34"/>
    </row>
    <row r="579" spans="1:11">
      <c r="A579" s="6" t="s">
        <v>58</v>
      </c>
      <c r="B579" s="8">
        <v>0</v>
      </c>
      <c r="C579" s="8">
        <v>-10.4</v>
      </c>
      <c r="D579" s="8">
        <v>-319</v>
      </c>
      <c r="E579" s="8">
        <v>0</v>
      </c>
      <c r="F579" s="8">
        <v>0</v>
      </c>
      <c r="G579" s="9">
        <v>-11.6</v>
      </c>
    </row>
    <row r="580" spans="1:11">
      <c r="A580" s="6" t="s">
        <v>59</v>
      </c>
      <c r="B580" s="8">
        <v>0</v>
      </c>
      <c r="C580" s="8">
        <v>-0.9</v>
      </c>
      <c r="D580" s="8">
        <v>-59.3</v>
      </c>
      <c r="E580" s="8">
        <v>-3.5</v>
      </c>
      <c r="F580" s="8">
        <v>-15.8</v>
      </c>
      <c r="G580" s="9">
        <v>-0.7</v>
      </c>
    </row>
    <row r="581" spans="1:11">
      <c r="A581" s="6" t="s">
        <v>60</v>
      </c>
      <c r="B581" s="8">
        <v>0</v>
      </c>
      <c r="C581" s="8">
        <v>0</v>
      </c>
      <c r="D581" s="8">
        <v>-32.700000000000003</v>
      </c>
      <c r="E581" s="8">
        <v>-1.9</v>
      </c>
      <c r="F581" s="8">
        <v>0</v>
      </c>
      <c r="G581" s="9">
        <v>0</v>
      </c>
    </row>
    <row r="582" spans="1:11">
      <c r="A582" s="6" t="s">
        <v>410</v>
      </c>
      <c r="B582" s="8">
        <v>0</v>
      </c>
      <c r="C582" s="8">
        <v>-11.3</v>
      </c>
      <c r="D582" s="8">
        <v>-411</v>
      </c>
      <c r="E582" s="8">
        <v>-5.4</v>
      </c>
      <c r="F582" s="8">
        <v>-15.8</v>
      </c>
      <c r="G582" s="9">
        <v>-12.3</v>
      </c>
    </row>
    <row r="583" spans="1:11">
      <c r="A583" s="71"/>
      <c r="B583" s="32"/>
      <c r="C583" s="32"/>
      <c r="D583" s="32"/>
      <c r="E583" s="32"/>
      <c r="F583" s="32"/>
      <c r="G583" s="34"/>
    </row>
    <row r="584" spans="1:11">
      <c r="A584" s="6" t="s">
        <v>423</v>
      </c>
      <c r="B584" s="32"/>
      <c r="C584" s="32"/>
      <c r="D584" s="32"/>
      <c r="E584" s="32"/>
      <c r="F584" s="32"/>
      <c r="G584" s="34"/>
    </row>
    <row r="585" spans="1:11">
      <c r="A585" s="6" t="s">
        <v>58</v>
      </c>
      <c r="B585" s="8">
        <v>1120</v>
      </c>
      <c r="C585" s="8">
        <v>1050.5</v>
      </c>
      <c r="D585" s="8">
        <v>1060.5999999999999</v>
      </c>
      <c r="E585" s="8">
        <v>982</v>
      </c>
      <c r="F585" s="8">
        <v>903.8</v>
      </c>
      <c r="G585" s="9">
        <v>1539.7</v>
      </c>
    </row>
    <row r="586" spans="1:11">
      <c r="A586" s="6" t="s">
        <v>59</v>
      </c>
      <c r="B586" s="8">
        <v>368.3</v>
      </c>
      <c r="C586" s="8">
        <v>341.6</v>
      </c>
      <c r="D586" s="8">
        <v>305.2</v>
      </c>
      <c r="E586" s="8">
        <v>268.10000000000002</v>
      </c>
      <c r="F586" s="8">
        <v>227</v>
      </c>
      <c r="G586" s="9">
        <v>232.6</v>
      </c>
    </row>
    <row r="587" spans="1:11">
      <c r="A587" s="6" t="s">
        <v>60</v>
      </c>
      <c r="B587" s="8">
        <v>145.19999999999999</v>
      </c>
      <c r="C587" s="8">
        <v>139.69999999999999</v>
      </c>
      <c r="D587" s="8">
        <v>104.4</v>
      </c>
      <c r="E587" s="8">
        <v>90.3</v>
      </c>
      <c r="F587" s="8">
        <v>78.3</v>
      </c>
      <c r="G587" s="9">
        <v>66.400000000000006</v>
      </c>
    </row>
    <row r="588" spans="1:11">
      <c r="A588" s="6" t="s">
        <v>410</v>
      </c>
      <c r="B588" s="8">
        <v>1633.5</v>
      </c>
      <c r="C588" s="8">
        <v>1531.8</v>
      </c>
      <c r="D588" s="8">
        <v>1470.2</v>
      </c>
      <c r="E588" s="8">
        <v>1340.4</v>
      </c>
      <c r="F588" s="8">
        <v>1209.0999999999999</v>
      </c>
      <c r="G588" s="9">
        <v>1838.7</v>
      </c>
    </row>
    <row r="589" spans="1:11">
      <c r="A589" s="7" t="s">
        <v>136</v>
      </c>
      <c r="B589" s="33"/>
      <c r="C589" s="33"/>
      <c r="D589" s="33"/>
      <c r="E589" s="24"/>
      <c r="F589" s="24"/>
      <c r="G589" s="62" t="s">
        <v>136</v>
      </c>
    </row>
    <row r="590" spans="1:11">
      <c r="A590" s="3"/>
      <c r="B590" s="3"/>
      <c r="C590" s="3"/>
      <c r="D590" s="3"/>
      <c r="E590" s="3"/>
      <c r="F590" s="3"/>
      <c r="G590" s="3"/>
      <c r="J590" s="3"/>
      <c r="K590" s="3"/>
    </row>
    <row r="591" spans="1:11">
      <c r="A591" s="25" t="s">
        <v>385</v>
      </c>
      <c r="B591" s="35">
        <v>2020</v>
      </c>
      <c r="C591" s="35">
        <v>2021</v>
      </c>
      <c r="D591" s="35">
        <v>2022</v>
      </c>
      <c r="E591" s="26">
        <v>2023</v>
      </c>
      <c r="F591" s="25">
        <v>2024</v>
      </c>
      <c r="G591" s="26">
        <v>2025</v>
      </c>
      <c r="J591" s="3"/>
      <c r="K591" s="3"/>
    </row>
    <row r="592" spans="1:11">
      <c r="A592" s="6" t="s">
        <v>280</v>
      </c>
      <c r="B592" s="1">
        <v>145.60000000000002</v>
      </c>
      <c r="C592" s="1">
        <v>172.6</v>
      </c>
      <c r="D592" s="1">
        <v>175.1</v>
      </c>
      <c r="E592" s="8">
        <v>183.9</v>
      </c>
      <c r="F592" s="8">
        <v>199.8</v>
      </c>
      <c r="G592" s="9">
        <v>210.1</v>
      </c>
      <c r="J592" s="3"/>
    </row>
    <row r="593" spans="1:17">
      <c r="A593" s="71" t="s">
        <v>281</v>
      </c>
      <c r="B593">
        <v>29.6</v>
      </c>
      <c r="C593">
        <v>31.1</v>
      </c>
      <c r="D593">
        <v>30.1</v>
      </c>
      <c r="E593" s="8">
        <v>27.7</v>
      </c>
      <c r="F593" s="8">
        <v>29.1</v>
      </c>
      <c r="G593" s="9">
        <v>25.8</v>
      </c>
    </row>
    <row r="594" spans="1:17">
      <c r="A594" s="6" t="s">
        <v>49</v>
      </c>
      <c r="B594" s="1">
        <v>14.5</v>
      </c>
      <c r="C594" s="1">
        <v>15.4</v>
      </c>
      <c r="D594" s="1">
        <v>13.8</v>
      </c>
      <c r="E594" s="8">
        <v>13.6</v>
      </c>
      <c r="F594" s="8">
        <v>10.199999999999999</v>
      </c>
      <c r="G594" s="9">
        <v>11.5</v>
      </c>
    </row>
    <row r="595" spans="1:17">
      <c r="A595" s="7" t="s">
        <v>373</v>
      </c>
      <c r="B595" s="33">
        <v>189.70000000000002</v>
      </c>
      <c r="C595" s="33">
        <v>219.1</v>
      </c>
      <c r="D595" s="33">
        <v>219</v>
      </c>
      <c r="E595" s="10">
        <v>225.2</v>
      </c>
      <c r="F595" s="10">
        <v>239.1</v>
      </c>
      <c r="G595" s="11">
        <v>247.4</v>
      </c>
    </row>
    <row r="596" spans="1:17">
      <c r="A596" s="1"/>
      <c r="B596" s="1"/>
      <c r="C596" s="1"/>
      <c r="D596" s="1"/>
      <c r="E596" s="27"/>
      <c r="F596" s="27"/>
      <c r="G596" s="27"/>
    </row>
    <row r="597" spans="1:17">
      <c r="A597" s="78" t="s">
        <v>424</v>
      </c>
      <c r="B597" s="35">
        <v>2020</v>
      </c>
      <c r="C597" s="35">
        <v>2021</v>
      </c>
      <c r="D597" s="35">
        <v>2022</v>
      </c>
      <c r="E597" s="26">
        <v>2023</v>
      </c>
      <c r="F597" s="25">
        <v>2024</v>
      </c>
      <c r="G597" s="26">
        <v>2025</v>
      </c>
      <c r="H597" s="26" t="s">
        <v>425</v>
      </c>
      <c r="I597" s="26"/>
      <c r="J597" s="26" t="s">
        <v>426</v>
      </c>
    </row>
    <row r="598" spans="1:17">
      <c r="A598" s="79" t="s">
        <v>427</v>
      </c>
      <c r="B598">
        <v>1812.5</v>
      </c>
      <c r="C598">
        <v>1610.7</v>
      </c>
      <c r="D598">
        <v>2599.5</v>
      </c>
      <c r="E598" s="8">
        <v>2202.1999999999998</v>
      </c>
      <c r="F598" s="8">
        <v>2204.6</v>
      </c>
      <c r="G598" s="9">
        <v>2205.1</v>
      </c>
      <c r="H598" s="75">
        <f>SUM(B598:G598)</f>
        <v>12634.6</v>
      </c>
      <c r="I598" s="75"/>
      <c r="J598" s="76">
        <f>AVERAGE(B598:G598)</f>
        <v>2105.7666666666669</v>
      </c>
      <c r="K598" s="74"/>
      <c r="L598" s="74"/>
      <c r="M598" s="74"/>
      <c r="N598" s="74"/>
      <c r="O598" s="74"/>
      <c r="P598" s="74"/>
    </row>
    <row r="599" spans="1:17">
      <c r="A599" s="79" t="s">
        <v>428</v>
      </c>
      <c r="B599" s="80"/>
      <c r="C599" s="74"/>
      <c r="D599" s="74"/>
      <c r="E599" s="74"/>
      <c r="F599" s="74"/>
      <c r="G599" s="81"/>
      <c r="H599" s="74"/>
      <c r="I599" s="74"/>
      <c r="J599" s="74"/>
      <c r="K599" s="74"/>
      <c r="L599" s="74"/>
      <c r="M599" s="74"/>
      <c r="N599" s="74"/>
      <c r="O599" s="74"/>
      <c r="P599" s="74"/>
    </row>
    <row r="600" spans="1:17">
      <c r="A600" s="79" t="s">
        <v>429</v>
      </c>
      <c r="B600" s="80"/>
      <c r="C600" s="74"/>
      <c r="D600" s="74"/>
      <c r="E600" s="74"/>
      <c r="F600" s="74"/>
      <c r="G600" s="81"/>
      <c r="H600" s="74"/>
      <c r="I600" s="74"/>
      <c r="J600" s="74"/>
      <c r="K600" s="74"/>
      <c r="L600" s="74"/>
      <c r="M600" s="74"/>
      <c r="N600" s="74"/>
      <c r="O600" s="74"/>
      <c r="P600" s="74"/>
      <c r="Q600" s="77"/>
    </row>
    <row r="601" spans="1:17">
      <c r="A601" s="79" t="s">
        <v>430</v>
      </c>
      <c r="B601" s="82"/>
      <c r="C601" s="74"/>
      <c r="D601" s="74"/>
      <c r="E601" s="74"/>
      <c r="F601" s="74"/>
      <c r="G601" s="81"/>
      <c r="H601" s="74"/>
      <c r="I601" s="74"/>
      <c r="J601" s="74"/>
      <c r="K601" s="74"/>
      <c r="L601" s="74"/>
      <c r="M601" s="74"/>
      <c r="N601" s="74"/>
      <c r="O601" s="74"/>
      <c r="P601" s="74"/>
    </row>
    <row r="602" spans="1:17">
      <c r="A602" s="79"/>
      <c r="B602" s="74"/>
      <c r="C602" s="74"/>
      <c r="D602" s="74"/>
      <c r="E602" s="74"/>
      <c r="F602" s="74"/>
      <c r="G602" s="81"/>
      <c r="H602" s="74"/>
      <c r="I602" s="74"/>
      <c r="J602" s="74"/>
      <c r="K602" s="74"/>
      <c r="L602" s="74"/>
      <c r="M602" s="74"/>
      <c r="N602" s="74"/>
      <c r="O602" s="74"/>
      <c r="P602" s="74"/>
    </row>
    <row r="603" spans="1:17">
      <c r="A603" s="83" t="s">
        <v>431</v>
      </c>
      <c r="B603" s="84"/>
      <c r="C603" s="85"/>
      <c r="D603" s="85"/>
      <c r="E603" s="85"/>
      <c r="F603" s="85"/>
      <c r="G603" s="86"/>
      <c r="H603" s="74"/>
      <c r="I603" s="74"/>
      <c r="J603" s="74"/>
      <c r="K603" s="74"/>
      <c r="L603" s="74"/>
      <c r="M603" s="74"/>
      <c r="N603" s="74"/>
      <c r="O603" s="74"/>
      <c r="P603" s="74"/>
    </row>
    <row r="604" spans="1:17">
      <c r="A604" s="74"/>
    </row>
    <row r="605" spans="1:17">
      <c r="A605" s="92"/>
      <c r="B605" s="92"/>
      <c r="C605" s="92"/>
      <c r="D605" s="92"/>
      <c r="E605" s="92"/>
      <c r="F605" s="92"/>
      <c r="G605" s="92"/>
      <c r="H605" s="92"/>
      <c r="I605" s="92"/>
      <c r="J605" s="92"/>
      <c r="K605" s="92"/>
      <c r="L605" s="92"/>
    </row>
    <row r="606" spans="1:17">
      <c r="A606" s="92"/>
      <c r="B606" s="92"/>
      <c r="C606" s="92"/>
      <c r="D606" s="92"/>
      <c r="E606" s="92"/>
      <c r="F606" s="92"/>
      <c r="G606" s="92"/>
      <c r="H606" s="92"/>
      <c r="I606" s="92"/>
      <c r="J606" s="92"/>
      <c r="K606" s="92"/>
      <c r="L606" s="92"/>
    </row>
    <row r="607" spans="1:17" ht="17">
      <c r="A607" s="731" t="s">
        <v>432</v>
      </c>
      <c r="B607" s="731"/>
      <c r="C607" s="731"/>
      <c r="D607" s="731"/>
      <c r="E607" s="731"/>
      <c r="F607" s="731"/>
      <c r="G607" s="92"/>
      <c r="H607" s="92"/>
      <c r="I607" s="92"/>
      <c r="J607" s="92"/>
      <c r="K607" s="92"/>
      <c r="L607" s="92"/>
    </row>
    <row r="608" spans="1:17">
      <c r="A608" s="92"/>
      <c r="B608" s="92"/>
      <c r="C608" s="92"/>
      <c r="D608" s="92"/>
      <c r="E608" s="92"/>
      <c r="F608" s="92"/>
      <c r="G608" s="92"/>
      <c r="H608" s="92"/>
      <c r="I608" s="92"/>
      <c r="J608" s="92"/>
      <c r="K608" s="92"/>
      <c r="L608" s="92"/>
    </row>
    <row r="609" spans="1:13" ht="25">
      <c r="A609" s="170" t="s">
        <v>287</v>
      </c>
      <c r="B609" s="410" t="s">
        <v>433</v>
      </c>
      <c r="C609" s="92" t="s">
        <v>434</v>
      </c>
      <c r="D609" s="171" t="s">
        <v>2</v>
      </c>
      <c r="E609" s="410" t="s">
        <v>435</v>
      </c>
      <c r="F609" s="92" t="s">
        <v>436</v>
      </c>
      <c r="G609" s="92"/>
      <c r="H609" s="92"/>
      <c r="I609" s="92"/>
      <c r="J609" s="92"/>
      <c r="K609" s="92"/>
      <c r="L609" s="92"/>
    </row>
    <row r="610" spans="1:13">
      <c r="A610" s="171"/>
      <c r="B610" s="410" t="s">
        <v>437</v>
      </c>
      <c r="C610" s="92" t="s">
        <v>438</v>
      </c>
      <c r="D610" s="171" t="s">
        <v>2</v>
      </c>
      <c r="E610" s="410" t="s">
        <v>439</v>
      </c>
      <c r="F610" s="92" t="s">
        <v>440</v>
      </c>
      <c r="G610" s="92"/>
      <c r="H610" s="92"/>
      <c r="I610" s="92"/>
      <c r="J610" s="92"/>
      <c r="K610" s="92"/>
      <c r="L610" s="92"/>
    </row>
    <row r="611" spans="1:13">
      <c r="A611" s="171"/>
      <c r="B611" s="410" t="s">
        <v>441</v>
      </c>
      <c r="C611" s="92" t="s">
        <v>442</v>
      </c>
      <c r="D611" s="171" t="s">
        <v>2</v>
      </c>
      <c r="E611" s="410" t="s">
        <v>443</v>
      </c>
      <c r="F611" s="92" t="s">
        <v>444</v>
      </c>
      <c r="G611" s="92"/>
      <c r="H611" s="92"/>
      <c r="I611" s="92"/>
      <c r="J611" s="92"/>
      <c r="K611" s="92"/>
      <c r="L611" s="92"/>
    </row>
    <row r="612" spans="1:13">
      <c r="A612" s="92"/>
      <c r="B612" s="92"/>
      <c r="C612" s="92"/>
      <c r="D612" s="92"/>
      <c r="E612" s="92"/>
      <c r="F612" s="92"/>
      <c r="G612" s="92"/>
      <c r="H612" s="92"/>
      <c r="I612" s="92"/>
      <c r="J612" s="92"/>
      <c r="K612" s="92"/>
      <c r="L612" s="92"/>
    </row>
    <row r="613" spans="1:13">
      <c r="A613" s="92"/>
      <c r="B613" s="92"/>
      <c r="C613" s="92"/>
      <c r="D613" s="92"/>
      <c r="E613" s="92"/>
      <c r="F613" s="92"/>
      <c r="G613" s="92"/>
      <c r="H613" s="92"/>
      <c r="I613" s="92"/>
      <c r="J613" s="92"/>
      <c r="K613" s="92"/>
      <c r="L613" s="92"/>
    </row>
    <row r="614" spans="1:13">
      <c r="A614" s="732" t="s">
        <v>445</v>
      </c>
      <c r="B614" s="732"/>
      <c r="C614" s="732"/>
      <c r="D614" s="409" t="s">
        <v>2</v>
      </c>
      <c r="E614" s="409" t="s">
        <v>2</v>
      </c>
      <c r="F614" s="409" t="s">
        <v>2</v>
      </c>
      <c r="G614" s="409" t="s">
        <v>2</v>
      </c>
      <c r="H614" s="409" t="s">
        <v>2</v>
      </c>
      <c r="I614" s="409"/>
      <c r="J614" s="409" t="s">
        <v>2</v>
      </c>
      <c r="K614" s="92"/>
      <c r="L614" s="172"/>
    </row>
    <row r="615" spans="1:13" ht="25">
      <c r="A615" s="173" t="s">
        <v>446</v>
      </c>
      <c r="B615" s="173" t="s">
        <v>290</v>
      </c>
      <c r="C615" s="173" t="s">
        <v>291</v>
      </c>
      <c r="D615" s="173" t="s">
        <v>292</v>
      </c>
      <c r="E615" s="173" t="s">
        <v>447</v>
      </c>
      <c r="F615" s="173" t="s">
        <v>448</v>
      </c>
      <c r="G615" s="173" t="s">
        <v>449</v>
      </c>
      <c r="H615" s="173" t="s">
        <v>450</v>
      </c>
      <c r="I615" s="173"/>
      <c r="J615" s="173" t="s">
        <v>451</v>
      </c>
      <c r="K615" s="173" t="s">
        <v>452</v>
      </c>
      <c r="L615" s="375" t="s">
        <v>453</v>
      </c>
      <c r="M615" s="375" t="s">
        <v>454</v>
      </c>
    </row>
    <row r="616" spans="1:13" ht="25">
      <c r="A616" s="174" t="s">
        <v>455</v>
      </c>
      <c r="B616" s="174" t="s">
        <v>296</v>
      </c>
      <c r="C616" s="174">
        <v>400</v>
      </c>
      <c r="D616" s="175">
        <v>2.3E-2</v>
      </c>
      <c r="E616" s="174" t="s">
        <v>456</v>
      </c>
      <c r="F616" s="174" t="s">
        <v>457</v>
      </c>
      <c r="G616" s="174" t="s">
        <v>458</v>
      </c>
      <c r="H616" s="174" t="s">
        <v>459</v>
      </c>
      <c r="I616" s="174"/>
      <c r="J616" s="174" t="s">
        <v>459</v>
      </c>
      <c r="K616" s="174" t="s">
        <v>460</v>
      </c>
      <c r="L616" s="376">
        <f t="shared" ref="L616:L623" si="114">C616/$C$624</f>
        <v>0.16653482659561181</v>
      </c>
      <c r="M616" s="376">
        <f t="shared" ref="M616:M623" si="115">L616*D616</f>
        <v>3.8303010116990713E-3</v>
      </c>
    </row>
    <row r="617" spans="1:13" ht="25">
      <c r="A617" s="174" t="s">
        <v>297</v>
      </c>
      <c r="B617" s="174" t="s">
        <v>296</v>
      </c>
      <c r="C617" s="174">
        <v>425</v>
      </c>
      <c r="D617" s="175">
        <v>3.15E-2</v>
      </c>
      <c r="E617" s="174" t="s">
        <v>456</v>
      </c>
      <c r="F617" s="174" t="s">
        <v>461</v>
      </c>
      <c r="G617" s="174" t="s">
        <v>458</v>
      </c>
      <c r="H617" s="174" t="s">
        <v>459</v>
      </c>
      <c r="I617" s="174"/>
      <c r="J617" s="174" t="s">
        <v>459</v>
      </c>
      <c r="K617" s="174" t="s">
        <v>460</v>
      </c>
      <c r="L617" s="376">
        <f t="shared" si="114"/>
        <v>0.17694325325783755</v>
      </c>
      <c r="M617" s="376">
        <f t="shared" si="115"/>
        <v>5.5737124776218828E-3</v>
      </c>
    </row>
    <row r="618" spans="1:13" ht="25">
      <c r="A618" s="174" t="s">
        <v>298</v>
      </c>
      <c r="B618" s="174" t="s">
        <v>296</v>
      </c>
      <c r="C618" s="174">
        <v>400</v>
      </c>
      <c r="D618" s="175">
        <v>3.95E-2</v>
      </c>
      <c r="E618" s="174" t="s">
        <v>456</v>
      </c>
      <c r="F618" s="174" t="s">
        <v>462</v>
      </c>
      <c r="G618" s="174" t="s">
        <v>458</v>
      </c>
      <c r="H618" s="174" t="s">
        <v>459</v>
      </c>
      <c r="I618" s="174"/>
      <c r="J618" s="174" t="s">
        <v>459</v>
      </c>
      <c r="K618" s="174" t="s">
        <v>460</v>
      </c>
      <c r="L618" s="376">
        <f t="shared" si="114"/>
        <v>0.16653482659561181</v>
      </c>
      <c r="M618" s="376">
        <f t="shared" si="115"/>
        <v>6.5781256505266662E-3</v>
      </c>
    </row>
    <row r="619" spans="1:13" ht="25">
      <c r="A619" s="174" t="s">
        <v>299</v>
      </c>
      <c r="B619" s="174" t="s">
        <v>296</v>
      </c>
      <c r="C619" s="174">
        <v>500</v>
      </c>
      <c r="D619" s="175">
        <v>0.05</v>
      </c>
      <c r="E619" s="174" t="s">
        <v>456</v>
      </c>
      <c r="F619" s="174" t="s">
        <v>463</v>
      </c>
      <c r="G619" s="174" t="s">
        <v>458</v>
      </c>
      <c r="H619" s="174" t="s">
        <v>459</v>
      </c>
      <c r="I619" s="174"/>
      <c r="J619" s="174" t="s">
        <v>459</v>
      </c>
      <c r="K619" s="174" t="s">
        <v>460</v>
      </c>
      <c r="L619" s="376">
        <f t="shared" si="114"/>
        <v>0.20816853324451476</v>
      </c>
      <c r="M619" s="376">
        <f t="shared" si="115"/>
        <v>1.0408426662225738E-2</v>
      </c>
    </row>
    <row r="620" spans="1:13" ht="25">
      <c r="A620" s="174" t="s">
        <v>464</v>
      </c>
      <c r="B620" s="174" t="s">
        <v>296</v>
      </c>
      <c r="C620" s="174">
        <v>500</v>
      </c>
      <c r="D620" s="175">
        <v>5.6000000000000001E-2</v>
      </c>
      <c r="E620" s="174" t="s">
        <v>456</v>
      </c>
      <c r="F620" s="174" t="s">
        <v>465</v>
      </c>
      <c r="G620" s="174" t="s">
        <v>458</v>
      </c>
      <c r="H620" s="174" t="s">
        <v>459</v>
      </c>
      <c r="I620" s="174"/>
      <c r="J620" s="174" t="s">
        <v>459</v>
      </c>
      <c r="K620" s="174" t="s">
        <v>460</v>
      </c>
      <c r="L620" s="376">
        <f t="shared" si="114"/>
        <v>0.20816853324451476</v>
      </c>
      <c r="M620" s="376">
        <f t="shared" si="115"/>
        <v>1.1657437861692826E-2</v>
      </c>
    </row>
    <row r="621" spans="1:13" ht="25">
      <c r="A621" s="174" t="s">
        <v>466</v>
      </c>
      <c r="B621" s="174" t="s">
        <v>467</v>
      </c>
      <c r="C621" s="174">
        <v>0</v>
      </c>
      <c r="D621" s="174">
        <v>0</v>
      </c>
      <c r="E621" s="174" t="s">
        <v>456</v>
      </c>
      <c r="F621" s="176" t="s">
        <v>32</v>
      </c>
      <c r="G621" s="174" t="s">
        <v>458</v>
      </c>
      <c r="H621" s="174" t="s">
        <v>459</v>
      </c>
      <c r="I621" s="174"/>
      <c r="J621" s="174" t="s">
        <v>459</v>
      </c>
      <c r="K621" s="174" t="s">
        <v>460</v>
      </c>
      <c r="L621" s="376">
        <f t="shared" si="114"/>
        <v>0</v>
      </c>
      <c r="M621" s="376">
        <f t="shared" si="115"/>
        <v>0</v>
      </c>
    </row>
    <row r="622" spans="1:13" ht="25">
      <c r="A622" s="174" t="s">
        <v>468</v>
      </c>
      <c r="B622" s="174" t="s">
        <v>302</v>
      </c>
      <c r="C622" s="174">
        <v>176.9</v>
      </c>
      <c r="D622" s="175">
        <v>5.1999999999999998E-2</v>
      </c>
      <c r="E622" s="174" t="s">
        <v>456</v>
      </c>
      <c r="F622" s="176" t="s">
        <v>32</v>
      </c>
      <c r="G622" s="174" t="s">
        <v>458</v>
      </c>
      <c r="H622" s="174" t="s">
        <v>469</v>
      </c>
      <c r="I622" s="174"/>
      <c r="J622" s="174" t="s">
        <v>459</v>
      </c>
      <c r="K622" s="174" t="s">
        <v>460</v>
      </c>
      <c r="L622" s="376">
        <f t="shared" si="114"/>
        <v>7.3650027061909318E-2</v>
      </c>
      <c r="M622" s="376">
        <f t="shared" si="115"/>
        <v>3.8298014072192842E-3</v>
      </c>
    </row>
    <row r="623" spans="1:13" ht="25">
      <c r="A623" s="174" t="s">
        <v>470</v>
      </c>
      <c r="B623" s="174" t="s">
        <v>471</v>
      </c>
      <c r="C623" s="174">
        <v>0</v>
      </c>
      <c r="D623" s="174">
        <v>0</v>
      </c>
      <c r="E623" s="174" t="s">
        <v>456</v>
      </c>
      <c r="F623" s="174" t="s">
        <v>472</v>
      </c>
      <c r="G623" s="174" t="s">
        <v>458</v>
      </c>
      <c r="H623" s="174" t="s">
        <v>459</v>
      </c>
      <c r="I623" s="174"/>
      <c r="J623" s="174" t="s">
        <v>459</v>
      </c>
      <c r="K623" s="174" t="s">
        <v>460</v>
      </c>
      <c r="L623" s="376">
        <f t="shared" si="114"/>
        <v>0</v>
      </c>
      <c r="M623" s="376">
        <f t="shared" si="115"/>
        <v>0</v>
      </c>
    </row>
    <row r="624" spans="1:13">
      <c r="A624" s="212"/>
      <c r="B624" s="212"/>
      <c r="C624" s="212">
        <f>SUM(C616:C623)</f>
        <v>2401.9</v>
      </c>
      <c r="D624" s="212">
        <f>SUM(D616:D623)</f>
        <v>0.252</v>
      </c>
      <c r="E624" s="212"/>
      <c r="F624" s="212"/>
      <c r="G624" s="212"/>
      <c r="H624" s="212"/>
      <c r="I624" s="212"/>
      <c r="J624" s="212"/>
      <c r="K624" s="212"/>
      <c r="L624" s="377">
        <f>SUM(L616:L623)</f>
        <v>1</v>
      </c>
      <c r="M624" s="378">
        <f>SUM(M616:M623)</f>
        <v>4.1877805070985472E-2</v>
      </c>
    </row>
    <row r="625" spans="1:12">
      <c r="A625" s="92"/>
      <c r="B625" s="92"/>
      <c r="C625" s="92"/>
      <c r="D625" s="92"/>
      <c r="E625" s="92"/>
      <c r="F625" s="92"/>
      <c r="G625" s="92"/>
      <c r="H625" s="92"/>
      <c r="I625" s="92"/>
      <c r="J625" s="92"/>
      <c r="K625" s="92"/>
      <c r="L625" s="92"/>
    </row>
    <row r="626" spans="1:12">
      <c r="A626" s="92"/>
      <c r="B626" s="92"/>
      <c r="C626" s="92"/>
      <c r="D626" s="92"/>
      <c r="E626" s="92"/>
      <c r="F626" s="92"/>
      <c r="G626" s="92"/>
      <c r="H626" s="92"/>
      <c r="I626" s="92"/>
      <c r="J626" s="92"/>
      <c r="K626" s="92"/>
      <c r="L626" s="92"/>
    </row>
    <row r="627" spans="1:12">
      <c r="A627" s="92"/>
      <c r="B627" s="92"/>
      <c r="C627" s="92"/>
      <c r="D627" s="92"/>
      <c r="E627" s="92"/>
      <c r="F627" s="92"/>
      <c r="G627" s="92"/>
      <c r="H627" s="92"/>
      <c r="I627" s="92"/>
      <c r="J627" s="92"/>
      <c r="K627" s="92"/>
      <c r="L627" s="92"/>
    </row>
    <row r="628" spans="1:12">
      <c r="A628" s="732" t="s">
        <v>473</v>
      </c>
      <c r="B628" s="732"/>
      <c r="C628" s="732"/>
      <c r="D628" s="409" t="s">
        <v>2</v>
      </c>
      <c r="E628" s="409" t="s">
        <v>2</v>
      </c>
      <c r="F628" s="409" t="s">
        <v>2</v>
      </c>
      <c r="G628" s="409" t="s">
        <v>2</v>
      </c>
      <c r="H628" s="409" t="s">
        <v>2</v>
      </c>
      <c r="I628" s="409"/>
      <c r="J628" s="409" t="s">
        <v>2</v>
      </c>
      <c r="K628" s="92"/>
      <c r="L628" s="172"/>
    </row>
    <row r="629" spans="1:12" ht="25">
      <c r="A629" s="173" t="s">
        <v>446</v>
      </c>
      <c r="B629" s="173" t="s">
        <v>290</v>
      </c>
      <c r="C629" s="173" t="s">
        <v>291</v>
      </c>
      <c r="D629" s="173" t="s">
        <v>292</v>
      </c>
      <c r="E629" s="173" t="s">
        <v>447</v>
      </c>
      <c r="F629" s="173" t="s">
        <v>448</v>
      </c>
      <c r="G629" s="173" t="s">
        <v>449</v>
      </c>
      <c r="H629" s="173" t="s">
        <v>450</v>
      </c>
      <c r="I629" s="173"/>
      <c r="J629" s="173" t="s">
        <v>451</v>
      </c>
      <c r="K629" s="173" t="s">
        <v>452</v>
      </c>
      <c r="L629" s="92"/>
    </row>
    <row r="630" spans="1:12" ht="25">
      <c r="A630" s="174" t="s">
        <v>455</v>
      </c>
      <c r="B630" s="174" t="s">
        <v>296</v>
      </c>
      <c r="C630" s="174" t="s">
        <v>474</v>
      </c>
      <c r="D630" s="175">
        <v>2.3E-2</v>
      </c>
      <c r="E630" s="174" t="s">
        <v>456</v>
      </c>
      <c r="F630" s="174" t="s">
        <v>457</v>
      </c>
      <c r="G630" s="174" t="s">
        <v>458</v>
      </c>
      <c r="H630" s="174" t="s">
        <v>459</v>
      </c>
      <c r="I630" s="174"/>
      <c r="J630" s="174" t="s">
        <v>459</v>
      </c>
      <c r="K630" s="174" t="s">
        <v>460</v>
      </c>
      <c r="L630" s="92"/>
    </row>
    <row r="631" spans="1:12" ht="25">
      <c r="A631" s="174" t="s">
        <v>297</v>
      </c>
      <c r="B631" s="174" t="s">
        <v>296</v>
      </c>
      <c r="C631" s="174" t="s">
        <v>475</v>
      </c>
      <c r="D631" s="175">
        <v>3.15E-2</v>
      </c>
      <c r="E631" s="174" t="s">
        <v>456</v>
      </c>
      <c r="F631" s="174" t="s">
        <v>461</v>
      </c>
      <c r="G631" s="174" t="s">
        <v>458</v>
      </c>
      <c r="H631" s="174" t="s">
        <v>459</v>
      </c>
      <c r="I631" s="174"/>
      <c r="J631" s="174" t="s">
        <v>459</v>
      </c>
      <c r="K631" s="174" t="s">
        <v>460</v>
      </c>
      <c r="L631" s="92"/>
    </row>
    <row r="632" spans="1:12" ht="25">
      <c r="A632" s="174" t="s">
        <v>298</v>
      </c>
      <c r="B632" s="174" t="s">
        <v>296</v>
      </c>
      <c r="C632" s="174" t="s">
        <v>474</v>
      </c>
      <c r="D632" s="175">
        <v>3.95E-2</v>
      </c>
      <c r="E632" s="174" t="s">
        <v>456</v>
      </c>
      <c r="F632" s="174" t="s">
        <v>462</v>
      </c>
      <c r="G632" s="174" t="s">
        <v>458</v>
      </c>
      <c r="H632" s="174" t="s">
        <v>459</v>
      </c>
      <c r="I632" s="174"/>
      <c r="J632" s="174" t="s">
        <v>459</v>
      </c>
      <c r="K632" s="174" t="s">
        <v>460</v>
      </c>
      <c r="L632" s="92"/>
    </row>
    <row r="633" spans="1:12" ht="25">
      <c r="A633" s="174" t="s">
        <v>299</v>
      </c>
      <c r="B633" s="174" t="s">
        <v>296</v>
      </c>
      <c r="C633" s="174" t="s">
        <v>476</v>
      </c>
      <c r="D633" s="175">
        <v>0.05</v>
      </c>
      <c r="E633" s="174" t="s">
        <v>456</v>
      </c>
      <c r="F633" s="174" t="s">
        <v>463</v>
      </c>
      <c r="G633" s="174" t="s">
        <v>458</v>
      </c>
      <c r="H633" s="174" t="s">
        <v>459</v>
      </c>
      <c r="I633" s="174"/>
      <c r="J633" s="174" t="s">
        <v>459</v>
      </c>
      <c r="K633" s="174" t="s">
        <v>460</v>
      </c>
      <c r="L633" s="92"/>
    </row>
    <row r="634" spans="1:12" ht="25">
      <c r="A634" s="174" t="s">
        <v>464</v>
      </c>
      <c r="B634" s="174" t="s">
        <v>296</v>
      </c>
      <c r="C634" s="174" t="s">
        <v>476</v>
      </c>
      <c r="D634" s="175">
        <v>5.6000000000000001E-2</v>
      </c>
      <c r="E634" s="174" t="s">
        <v>456</v>
      </c>
      <c r="F634" s="174" t="s">
        <v>465</v>
      </c>
      <c r="G634" s="174" t="s">
        <v>458</v>
      </c>
      <c r="H634" s="174" t="s">
        <v>459</v>
      </c>
      <c r="I634" s="174"/>
      <c r="J634" s="174" t="s">
        <v>459</v>
      </c>
      <c r="K634" s="174" t="s">
        <v>460</v>
      </c>
      <c r="L634" s="92"/>
    </row>
    <row r="635" spans="1:12" ht="25">
      <c r="A635" s="174" t="s">
        <v>477</v>
      </c>
      <c r="B635" s="174" t="s">
        <v>467</v>
      </c>
      <c r="C635" s="176" t="s">
        <v>32</v>
      </c>
      <c r="D635" s="175">
        <v>0.04</v>
      </c>
      <c r="E635" s="174" t="s">
        <v>456</v>
      </c>
      <c r="F635" s="176" t="s">
        <v>32</v>
      </c>
      <c r="G635" s="174" t="s">
        <v>458</v>
      </c>
      <c r="H635" s="174" t="s">
        <v>459</v>
      </c>
      <c r="I635" s="174"/>
      <c r="J635" s="174" t="s">
        <v>459</v>
      </c>
      <c r="K635" s="174" t="s">
        <v>460</v>
      </c>
      <c r="L635" s="92"/>
    </row>
    <row r="636" spans="1:12" ht="25">
      <c r="A636" s="174" t="s">
        <v>468</v>
      </c>
      <c r="B636" s="174" t="s">
        <v>302</v>
      </c>
      <c r="C636" s="174" t="s">
        <v>478</v>
      </c>
      <c r="D636" s="175">
        <v>5.1999999999999998E-2</v>
      </c>
      <c r="E636" s="174" t="s">
        <v>456</v>
      </c>
      <c r="F636" s="176" t="s">
        <v>32</v>
      </c>
      <c r="G636" s="174" t="s">
        <v>458</v>
      </c>
      <c r="H636" s="174" t="s">
        <v>469</v>
      </c>
      <c r="I636" s="174"/>
      <c r="J636" s="174" t="s">
        <v>459</v>
      </c>
      <c r="K636" s="174" t="s">
        <v>460</v>
      </c>
      <c r="L636" s="92"/>
    </row>
    <row r="637" spans="1:12" ht="25">
      <c r="A637" s="174" t="s">
        <v>479</v>
      </c>
      <c r="B637" s="174" t="s">
        <v>471</v>
      </c>
      <c r="C637" s="176" t="s">
        <v>32</v>
      </c>
      <c r="D637" s="174" t="s">
        <v>456</v>
      </c>
      <c r="E637" s="174" t="s">
        <v>480</v>
      </c>
      <c r="F637" s="174" t="s">
        <v>481</v>
      </c>
      <c r="G637" s="174" t="s">
        <v>458</v>
      </c>
      <c r="H637" s="174" t="s">
        <v>459</v>
      </c>
      <c r="I637" s="174"/>
      <c r="J637" s="174" t="s">
        <v>459</v>
      </c>
      <c r="K637" s="174" t="s">
        <v>460</v>
      </c>
      <c r="L637" s="92"/>
    </row>
    <row r="638" spans="1:12">
      <c r="A638" s="212"/>
      <c r="B638" s="212"/>
      <c r="C638" s="212"/>
      <c r="D638" s="212"/>
      <c r="E638" s="212"/>
      <c r="F638" s="212"/>
      <c r="G638" s="212"/>
      <c r="H638" s="212"/>
      <c r="I638" s="212"/>
      <c r="J638" s="212"/>
      <c r="K638" s="212"/>
      <c r="L638" s="92"/>
    </row>
    <row r="639" spans="1:12" ht="73">
      <c r="A639" s="174" t="s">
        <v>482</v>
      </c>
      <c r="B639" s="92"/>
      <c r="C639" s="92"/>
      <c r="D639" s="92"/>
      <c r="E639" s="92"/>
      <c r="F639" s="92"/>
      <c r="G639" s="92"/>
      <c r="H639" s="92"/>
      <c r="I639" s="92"/>
      <c r="J639" s="92"/>
      <c r="K639" s="92"/>
      <c r="L639" s="92"/>
    </row>
    <row r="640" spans="1:12" ht="21" customHeight="1">
      <c r="A640" s="171"/>
      <c r="B640" s="171"/>
      <c r="C640" s="174"/>
      <c r="D640" s="171"/>
      <c r="E640" s="92"/>
      <c r="F640" s="92"/>
      <c r="G640" s="92"/>
    </row>
    <row r="641" spans="1:13">
      <c r="A641" s="178" t="s">
        <v>483</v>
      </c>
      <c r="B641" s="173">
        <v>2023</v>
      </c>
      <c r="C641" s="173">
        <v>2024</v>
      </c>
      <c r="D641" s="173">
        <v>2025</v>
      </c>
      <c r="E641" s="92"/>
      <c r="F641" s="92" t="s">
        <v>484</v>
      </c>
      <c r="G641" s="92"/>
      <c r="H641" s="92"/>
      <c r="I641" s="92"/>
      <c r="J641" s="92"/>
      <c r="K641" s="92"/>
      <c r="L641" s="92"/>
      <c r="M641" s="92"/>
    </row>
    <row r="642" spans="1:13" ht="48">
      <c r="A642" s="171" t="s">
        <v>485</v>
      </c>
      <c r="B642" s="174" t="s">
        <v>486</v>
      </c>
      <c r="C642" s="174" t="s">
        <v>487</v>
      </c>
      <c r="D642" s="174">
        <v>32.4</v>
      </c>
      <c r="E642" s="179"/>
      <c r="F642" s="313" t="s">
        <v>488</v>
      </c>
      <c r="G642" s="314">
        <v>2026</v>
      </c>
      <c r="H642" s="314">
        <v>2027</v>
      </c>
      <c r="I642" s="314">
        <v>2028</v>
      </c>
      <c r="J642" s="314">
        <v>2029</v>
      </c>
      <c r="K642" s="314">
        <v>2030</v>
      </c>
      <c r="L642" s="314" t="s">
        <v>489</v>
      </c>
      <c r="M642" t="s">
        <v>2</v>
      </c>
    </row>
    <row r="643" spans="1:13" ht="37">
      <c r="A643" s="171" t="s">
        <v>490</v>
      </c>
      <c r="B643" s="174" t="s">
        <v>491</v>
      </c>
      <c r="C643" s="174" t="s">
        <v>492</v>
      </c>
      <c r="D643" s="174">
        <v>30.7</v>
      </c>
      <c r="E643" s="179"/>
      <c r="F643" s="315" t="s">
        <v>493</v>
      </c>
      <c r="G643" s="316">
        <v>32</v>
      </c>
      <c r="H643" s="316">
        <v>30.7</v>
      </c>
      <c r="I643" s="316">
        <v>26.6</v>
      </c>
      <c r="J643" s="316">
        <v>26</v>
      </c>
      <c r="K643" s="316">
        <v>25.9</v>
      </c>
      <c r="L643" s="316">
        <v>73.599999999999994</v>
      </c>
      <c r="M643" s="317">
        <f>SUM(G643:L643)</f>
        <v>214.8</v>
      </c>
    </row>
    <row r="644" spans="1:13" ht="37">
      <c r="A644" s="171" t="s">
        <v>494</v>
      </c>
      <c r="B644" s="174" t="s">
        <v>495</v>
      </c>
      <c r="C644" s="174" t="s">
        <v>496</v>
      </c>
      <c r="D644" s="174">
        <v>26.6</v>
      </c>
      <c r="E644" s="179"/>
      <c r="F644" s="92"/>
      <c r="M644" t="s">
        <v>2</v>
      </c>
    </row>
    <row r="645" spans="1:13" ht="37">
      <c r="A645" s="171" t="s">
        <v>497</v>
      </c>
      <c r="B645" s="174" t="s">
        <v>498</v>
      </c>
      <c r="C645" s="174" t="s">
        <v>499</v>
      </c>
      <c r="D645" s="174">
        <v>26</v>
      </c>
      <c r="E645" s="179"/>
      <c r="F645" s="92"/>
    </row>
    <row r="646" spans="1:13" ht="37">
      <c r="A646" s="171" t="s">
        <v>500</v>
      </c>
      <c r="B646" s="174" t="s">
        <v>501</v>
      </c>
      <c r="C646" s="174" t="s">
        <v>498</v>
      </c>
      <c r="D646" s="174">
        <v>25.9</v>
      </c>
      <c r="E646" s="179"/>
      <c r="F646" s="92"/>
    </row>
    <row r="647" spans="1:13" ht="37">
      <c r="A647" s="171" t="s">
        <v>502</v>
      </c>
      <c r="B647" s="174" t="s">
        <v>503</v>
      </c>
      <c r="C647" s="174" t="s">
        <v>504</v>
      </c>
      <c r="D647" s="174">
        <v>141.6</v>
      </c>
      <c r="E647" s="179"/>
      <c r="F647" s="92"/>
    </row>
    <row r="648" spans="1:13" ht="37">
      <c r="A648" s="171" t="s">
        <v>505</v>
      </c>
      <c r="B648" s="174" t="s">
        <v>506</v>
      </c>
      <c r="C648" s="174" t="s">
        <v>507</v>
      </c>
      <c r="D648" s="174">
        <v>73.599999999999994</v>
      </c>
      <c r="E648" s="179"/>
      <c r="F648" s="92"/>
    </row>
    <row r="649" spans="1:13">
      <c r="A649" s="171"/>
      <c r="B649" s="171"/>
      <c r="C649" s="174"/>
      <c r="D649" s="171"/>
      <c r="E649" s="92"/>
      <c r="F649" s="92"/>
      <c r="G649" s="92"/>
    </row>
    <row r="651" spans="1:13">
      <c r="A651" s="92"/>
      <c r="B651" s="733" t="s">
        <v>508</v>
      </c>
      <c r="C651" s="733"/>
      <c r="D651" s="411"/>
      <c r="E651" s="411"/>
      <c r="F651" s="92"/>
      <c r="G651" s="411"/>
      <c r="H651" s="411"/>
    </row>
    <row r="652" spans="1:13">
      <c r="A652" s="92"/>
      <c r="B652" s="92" t="s">
        <v>509</v>
      </c>
      <c r="C652" s="92" t="s">
        <v>509</v>
      </c>
      <c r="D652" s="92" t="s">
        <v>510</v>
      </c>
      <c r="E652" s="92"/>
      <c r="F652" s="92"/>
      <c r="G652" s="411"/>
      <c r="H652" s="411"/>
    </row>
    <row r="653" spans="1:13">
      <c r="A653" s="92"/>
      <c r="B653" s="411"/>
      <c r="C653" s="411"/>
      <c r="D653" s="411" t="s">
        <v>511</v>
      </c>
      <c r="E653" s="411" t="s">
        <v>511</v>
      </c>
      <c r="F653" s="734" t="s">
        <v>512</v>
      </c>
      <c r="G653" s="734"/>
      <c r="H653" s="411"/>
    </row>
    <row r="654" spans="1:13">
      <c r="A654" s="92" t="s">
        <v>513</v>
      </c>
      <c r="B654" s="411" t="s">
        <v>514</v>
      </c>
      <c r="C654" s="411" t="s">
        <v>515</v>
      </c>
      <c r="D654" s="411" t="s">
        <v>516</v>
      </c>
      <c r="E654" s="411" t="s">
        <v>517</v>
      </c>
      <c r="F654" s="92"/>
      <c r="G654" s="198"/>
      <c r="H654" s="411"/>
    </row>
    <row r="655" spans="1:13">
      <c r="A655" s="199">
        <v>43831</v>
      </c>
      <c r="B655" s="411">
        <v>68.92</v>
      </c>
      <c r="C655" s="411">
        <v>3225.52</v>
      </c>
      <c r="D655" s="411"/>
      <c r="E655" s="411"/>
      <c r="F655" s="92"/>
      <c r="G655" s="411"/>
      <c r="H655" s="411"/>
    </row>
    <row r="656" spans="1:13">
      <c r="A656" s="199">
        <v>43862</v>
      </c>
      <c r="B656" s="411">
        <v>64.55</v>
      </c>
      <c r="C656" s="411">
        <v>2954.22</v>
      </c>
      <c r="D656" s="411">
        <f>LN(B656/B655)</f>
        <v>-6.5506294367077472E-2</v>
      </c>
      <c r="E656" s="411">
        <f>LN(C656/C655)</f>
        <v>-8.7859520936204846E-2</v>
      </c>
      <c r="F656" s="92"/>
      <c r="G656" s="198">
        <f>LN(B656/B655)</f>
        <v>-6.5506294367077472E-2</v>
      </c>
      <c r="H656" s="197" t="s">
        <v>518</v>
      </c>
    </row>
    <row r="657" spans="1:8">
      <c r="A657" s="199">
        <v>43891</v>
      </c>
      <c r="B657" s="411">
        <v>59.79</v>
      </c>
      <c r="C657" s="411">
        <v>2584.59</v>
      </c>
      <c r="D657" s="411">
        <f t="shared" ref="D657:D720" si="116">LN(B657/B656)</f>
        <v>-7.6601694399838438E-2</v>
      </c>
      <c r="E657" s="411">
        <f t="shared" ref="E657:E720" si="117">LN(C657/C656)</f>
        <v>-0.13366776859296695</v>
      </c>
      <c r="F657" s="92"/>
      <c r="G657" s="411"/>
      <c r="H657" s="411"/>
    </row>
    <row r="658" spans="1:8">
      <c r="A658" s="199">
        <v>43922</v>
      </c>
      <c r="B658" s="411">
        <v>65.2</v>
      </c>
      <c r="C658" s="411">
        <v>2912.43</v>
      </c>
      <c r="D658" s="411">
        <f t="shared" si="116"/>
        <v>8.6621046039794203E-2</v>
      </c>
      <c r="E658" s="411">
        <f t="shared" si="117"/>
        <v>0.11942089623740584</v>
      </c>
      <c r="F658" s="92"/>
      <c r="G658" s="411"/>
      <c r="H658" s="411"/>
    </row>
    <row r="659" spans="1:8">
      <c r="A659" s="199">
        <v>43952</v>
      </c>
      <c r="B659" s="411">
        <v>69.930000000000007</v>
      </c>
      <c r="C659" s="411">
        <v>3044.31</v>
      </c>
      <c r="D659" s="411">
        <f t="shared" si="116"/>
        <v>7.0035272783168165E-2</v>
      </c>
      <c r="E659" s="411">
        <f t="shared" si="117"/>
        <v>4.4286490230530599E-2</v>
      </c>
      <c r="F659" s="92"/>
      <c r="G659" s="411"/>
      <c r="H659" s="411"/>
    </row>
    <row r="660" spans="1:8">
      <c r="A660" s="199">
        <v>43983</v>
      </c>
      <c r="B660" s="411">
        <v>72.239999999999995</v>
      </c>
      <c r="C660" s="411">
        <v>3100.29</v>
      </c>
      <c r="D660" s="411">
        <f t="shared" si="116"/>
        <v>3.2499167392954338E-2</v>
      </c>
      <c r="E660" s="411">
        <f t="shared" si="117"/>
        <v>1.8221381004063585E-2</v>
      </c>
      <c r="F660" s="92"/>
      <c r="G660" s="92"/>
      <c r="H660" s="92"/>
    </row>
    <row r="661" spans="1:8">
      <c r="A661" s="199">
        <v>44013</v>
      </c>
      <c r="B661" s="411">
        <v>90.03</v>
      </c>
      <c r="C661" s="411">
        <v>3271.12</v>
      </c>
      <c r="D661" s="411">
        <f t="shared" si="116"/>
        <v>0.22014903901165561</v>
      </c>
      <c r="E661" s="411">
        <f t="shared" si="117"/>
        <v>5.3636778409248576E-2</v>
      </c>
      <c r="F661" s="92"/>
      <c r="G661" s="92"/>
      <c r="H661" s="92"/>
    </row>
    <row r="662" spans="1:8">
      <c r="A662" s="199">
        <v>44044</v>
      </c>
      <c r="B662" s="411">
        <v>89.56</v>
      </c>
      <c r="C662" s="411">
        <v>3500.31</v>
      </c>
      <c r="D662" s="411">
        <f t="shared" si="116"/>
        <v>-5.2341563898313419E-3</v>
      </c>
      <c r="E662" s="411">
        <f t="shared" si="117"/>
        <v>6.7719102089653677E-2</v>
      </c>
      <c r="F662" s="92"/>
      <c r="G662" s="92"/>
      <c r="H662" s="92"/>
    </row>
    <row r="663" spans="1:8">
      <c r="A663" s="199">
        <v>44075</v>
      </c>
      <c r="B663" s="411">
        <v>87.8</v>
      </c>
      <c r="C663" s="411">
        <v>3363</v>
      </c>
      <c r="D663" s="411">
        <f t="shared" si="116"/>
        <v>-1.9847291089483153E-2</v>
      </c>
      <c r="E663" s="411">
        <f t="shared" si="117"/>
        <v>-4.0018103243589488E-2</v>
      </c>
      <c r="F663" s="92"/>
      <c r="G663" s="92"/>
      <c r="H663" s="92"/>
    </row>
    <row r="664" spans="1:8">
      <c r="A664" s="199">
        <v>44105</v>
      </c>
      <c r="B664" s="411">
        <v>82.82</v>
      </c>
      <c r="C664" s="411">
        <v>3269.96</v>
      </c>
      <c r="D664" s="411">
        <f t="shared" si="116"/>
        <v>-5.8391922523649803E-2</v>
      </c>
      <c r="E664" s="411">
        <f t="shared" si="117"/>
        <v>-2.8055680339689231E-2</v>
      </c>
      <c r="F664" s="92"/>
      <c r="G664" s="92"/>
      <c r="H664" s="92"/>
    </row>
    <row r="665" spans="1:8">
      <c r="A665" s="199">
        <v>44136</v>
      </c>
      <c r="B665" s="411">
        <v>82.24</v>
      </c>
      <c r="C665" s="411">
        <v>3621.63</v>
      </c>
      <c r="D665" s="411">
        <f t="shared" si="116"/>
        <v>-7.0277764105662246E-3</v>
      </c>
      <c r="E665" s="411">
        <f t="shared" si="117"/>
        <v>0.10214644831840361</v>
      </c>
      <c r="F665" s="92"/>
      <c r="G665" s="92"/>
      <c r="H665" s="92"/>
    </row>
    <row r="666" spans="1:8">
      <c r="A666" s="199">
        <v>44166</v>
      </c>
      <c r="B666" s="411">
        <v>81.96</v>
      </c>
      <c r="C666" s="411">
        <v>3756.07</v>
      </c>
      <c r="D666" s="411">
        <f t="shared" si="116"/>
        <v>-3.4104783361559596E-3</v>
      </c>
      <c r="E666" s="411">
        <f t="shared" si="117"/>
        <v>3.6448997283216107E-2</v>
      </c>
      <c r="F666" s="92"/>
      <c r="G666" s="92"/>
      <c r="H666" s="92"/>
    </row>
    <row r="667" spans="1:8">
      <c r="A667" s="199">
        <v>44197</v>
      </c>
      <c r="B667" s="411">
        <v>79.319999999999993</v>
      </c>
      <c r="C667" s="411">
        <v>3714.24</v>
      </c>
      <c r="D667" s="411">
        <f t="shared" si="116"/>
        <v>-3.2741019719103835E-2</v>
      </c>
      <c r="E667" s="411">
        <f t="shared" si="117"/>
        <v>-1.1199116821942242E-2</v>
      </c>
      <c r="F667" s="92"/>
      <c r="G667" s="92"/>
      <c r="H667" s="92"/>
    </row>
    <row r="668" spans="1:8">
      <c r="A668" s="199">
        <v>44228</v>
      </c>
      <c r="B668" s="411">
        <v>73.989999999999995</v>
      </c>
      <c r="C668" s="411">
        <v>3811.15</v>
      </c>
      <c r="D668" s="411">
        <f t="shared" si="116"/>
        <v>-6.9560354714135644E-2</v>
      </c>
      <c r="E668" s="411">
        <f t="shared" si="117"/>
        <v>2.5756899667125591E-2</v>
      </c>
      <c r="F668" s="92"/>
      <c r="G668" s="92"/>
      <c r="H668" s="92"/>
    </row>
    <row r="669" spans="1:8">
      <c r="A669" s="199">
        <v>44256</v>
      </c>
      <c r="B669" s="411">
        <v>82.32</v>
      </c>
      <c r="C669" s="411">
        <v>3972.89</v>
      </c>
      <c r="D669" s="411">
        <f t="shared" si="116"/>
        <v>0.10668414258833452</v>
      </c>
      <c r="E669" s="411">
        <f t="shared" si="117"/>
        <v>4.1562808697442971E-2</v>
      </c>
      <c r="F669" s="92"/>
      <c r="G669" s="92"/>
      <c r="H669" s="92"/>
    </row>
    <row r="670" spans="1:8">
      <c r="A670" s="199">
        <v>44287</v>
      </c>
      <c r="B670" s="411">
        <v>80.8</v>
      </c>
      <c r="C670" s="411">
        <v>4181.17</v>
      </c>
      <c r="D670" s="411">
        <f t="shared" si="116"/>
        <v>-1.8637125998744428E-2</v>
      </c>
      <c r="E670" s="411">
        <f t="shared" si="117"/>
        <v>5.1097322114293922E-2</v>
      </c>
      <c r="F670" s="92"/>
      <c r="G670" s="92"/>
      <c r="H670" s="92"/>
    </row>
    <row r="671" spans="1:8">
      <c r="A671" s="199">
        <v>44317</v>
      </c>
      <c r="B671" s="411">
        <v>80.790000000000006</v>
      </c>
      <c r="C671" s="411">
        <v>4204.1099999999997</v>
      </c>
      <c r="D671" s="411">
        <f t="shared" si="116"/>
        <v>-1.237700354322966E-4</v>
      </c>
      <c r="E671" s="411">
        <f t="shared" si="117"/>
        <v>5.4715065520221503E-3</v>
      </c>
      <c r="F671" s="92"/>
      <c r="G671" s="92"/>
      <c r="H671" s="92"/>
    </row>
    <row r="672" spans="1:8">
      <c r="A672" s="199">
        <v>44348</v>
      </c>
      <c r="B672" s="411">
        <v>80.55</v>
      </c>
      <c r="C672" s="411">
        <v>4297.5</v>
      </c>
      <c r="D672" s="411">
        <f t="shared" si="116"/>
        <v>-2.9750858686339496E-3</v>
      </c>
      <c r="E672" s="411">
        <f t="shared" si="117"/>
        <v>2.1970840045862021E-2</v>
      </c>
      <c r="F672" s="92"/>
      <c r="G672" s="92"/>
      <c r="H672" s="92"/>
    </row>
    <row r="673" spans="1:8">
      <c r="A673" s="199">
        <v>44378</v>
      </c>
      <c r="B673" s="411">
        <v>81.83</v>
      </c>
      <c r="C673" s="411">
        <v>4395.26</v>
      </c>
      <c r="D673" s="411">
        <f t="shared" si="116"/>
        <v>1.5765814916306947E-2</v>
      </c>
      <c r="E673" s="411">
        <f t="shared" si="117"/>
        <v>2.249322924674322E-2</v>
      </c>
      <c r="F673" s="92"/>
      <c r="G673" s="92"/>
      <c r="H673" s="92"/>
    </row>
    <row r="674" spans="1:8">
      <c r="A674" s="199">
        <v>44409</v>
      </c>
      <c r="B674" s="411">
        <v>79.069999999999993</v>
      </c>
      <c r="C674" s="411">
        <v>4522.68</v>
      </c>
      <c r="D674" s="411">
        <f t="shared" si="116"/>
        <v>-3.4310388456454725E-2</v>
      </c>
      <c r="E674" s="411">
        <f t="shared" si="117"/>
        <v>2.857805096868915E-2</v>
      </c>
      <c r="F674" s="92"/>
      <c r="G674" s="92"/>
      <c r="H674" s="92"/>
    </row>
    <row r="675" spans="1:8">
      <c r="A675" s="199">
        <v>44440</v>
      </c>
      <c r="B675" s="411">
        <v>78.28</v>
      </c>
      <c r="C675" s="411">
        <v>4307.54</v>
      </c>
      <c r="D675" s="411">
        <f t="shared" si="116"/>
        <v>-1.0041393554960048E-2</v>
      </c>
      <c r="E675" s="411">
        <f t="shared" si="117"/>
        <v>-4.8737762984622721E-2</v>
      </c>
      <c r="F675" s="92"/>
      <c r="G675" s="92"/>
      <c r="H675" s="92"/>
    </row>
    <row r="676" spans="1:8">
      <c r="A676" s="199">
        <v>44470</v>
      </c>
      <c r="B676" s="411">
        <v>82.82</v>
      </c>
      <c r="C676" s="411">
        <v>4605.38</v>
      </c>
      <c r="D676" s="411">
        <f t="shared" si="116"/>
        <v>5.637743558954568E-2</v>
      </c>
      <c r="E676" s="411">
        <f t="shared" si="117"/>
        <v>6.6858209798173654E-2</v>
      </c>
      <c r="F676" s="92"/>
      <c r="G676" s="92"/>
      <c r="H676" s="92"/>
    </row>
    <row r="677" spans="1:8">
      <c r="A677" s="199">
        <v>44501</v>
      </c>
      <c r="B677" s="411">
        <v>84.73</v>
      </c>
      <c r="C677" s="411">
        <v>4567</v>
      </c>
      <c r="D677" s="411">
        <f t="shared" si="116"/>
        <v>2.2800152092951765E-2</v>
      </c>
      <c r="E677" s="411">
        <f t="shared" si="117"/>
        <v>-8.3686511009886007E-3</v>
      </c>
      <c r="F677" s="92"/>
      <c r="G677" s="92"/>
      <c r="H677" s="92"/>
    </row>
    <row r="678" spans="1:8">
      <c r="A678" s="199">
        <v>44531</v>
      </c>
      <c r="B678" s="411">
        <v>97.44</v>
      </c>
      <c r="C678" s="411">
        <v>4766.18</v>
      </c>
      <c r="D678" s="411">
        <f t="shared" si="116"/>
        <v>0.13976707375121405</v>
      </c>
      <c r="E678" s="411">
        <f t="shared" si="117"/>
        <v>4.2688611280446646E-2</v>
      </c>
      <c r="F678" s="92"/>
      <c r="G678" s="92"/>
      <c r="H678" s="92"/>
    </row>
    <row r="679" spans="1:8">
      <c r="A679" s="199">
        <v>44562</v>
      </c>
      <c r="B679" s="411">
        <v>97.59</v>
      </c>
      <c r="C679" s="411">
        <v>4515.55</v>
      </c>
      <c r="D679" s="411">
        <f t="shared" si="116"/>
        <v>1.5382251917829184E-3</v>
      </c>
      <c r="E679" s="411">
        <f t="shared" si="117"/>
        <v>-5.401814986501885E-2</v>
      </c>
      <c r="F679" s="92"/>
      <c r="G679" s="92"/>
      <c r="H679" s="92"/>
    </row>
    <row r="680" spans="1:8">
      <c r="A680" s="199">
        <v>44593</v>
      </c>
      <c r="B680" s="411">
        <v>93.02</v>
      </c>
      <c r="C680" s="411">
        <v>4373.9399999999996</v>
      </c>
      <c r="D680" s="411">
        <f t="shared" si="116"/>
        <v>-4.7960505357418859E-2</v>
      </c>
      <c r="E680" s="411">
        <f t="shared" si="117"/>
        <v>-3.1862790878923103E-2</v>
      </c>
      <c r="F680" s="92"/>
      <c r="G680" s="92"/>
      <c r="H680" s="92"/>
    </row>
    <row r="681" spans="1:8">
      <c r="A681" s="199">
        <v>44621</v>
      </c>
      <c r="B681" s="411">
        <v>94.73</v>
      </c>
      <c r="C681" s="411">
        <v>4530.41</v>
      </c>
      <c r="D681" s="411">
        <f t="shared" si="116"/>
        <v>1.8216216091492255E-2</v>
      </c>
      <c r="E681" s="411">
        <f t="shared" si="117"/>
        <v>3.5148238386268404E-2</v>
      </c>
      <c r="F681" s="92"/>
      <c r="G681" s="92"/>
      <c r="H681" s="92"/>
    </row>
    <row r="682" spans="1:8">
      <c r="A682" s="199">
        <v>44652</v>
      </c>
      <c r="B682" s="411">
        <v>93</v>
      </c>
      <c r="C682" s="411">
        <v>4131.93</v>
      </c>
      <c r="D682" s="411">
        <f t="shared" si="116"/>
        <v>-1.8431246734187175E-2</v>
      </c>
      <c r="E682" s="411">
        <f t="shared" si="117"/>
        <v>-9.2067832960435178E-2</v>
      </c>
      <c r="F682" s="92"/>
      <c r="G682" s="92"/>
      <c r="H682" s="92"/>
    </row>
    <row r="683" spans="1:8">
      <c r="A683" s="199">
        <v>44682</v>
      </c>
      <c r="B683" s="411">
        <v>85.85</v>
      </c>
      <c r="C683" s="411">
        <v>4132.1499999999996</v>
      </c>
      <c r="D683" s="411">
        <f t="shared" si="116"/>
        <v>-7.9997905809771425E-2</v>
      </c>
      <c r="E683" s="411">
        <f t="shared" si="117"/>
        <v>5.3242466203463356E-5</v>
      </c>
      <c r="F683" s="92"/>
      <c r="G683" s="92"/>
      <c r="H683" s="92"/>
    </row>
    <row r="684" spans="1:8">
      <c r="A684" s="199">
        <v>44713</v>
      </c>
      <c r="B684" s="411">
        <v>88.56</v>
      </c>
      <c r="C684" s="411">
        <v>3785.38</v>
      </c>
      <c r="D684" s="411">
        <f t="shared" si="116"/>
        <v>3.1078701056897091E-2</v>
      </c>
      <c r="E684" s="411">
        <f t="shared" si="117"/>
        <v>-8.7651574480173397E-2</v>
      </c>
      <c r="F684" s="92"/>
      <c r="G684" s="92"/>
      <c r="H684" s="92"/>
    </row>
    <row r="685" spans="1:8">
      <c r="A685" s="199">
        <v>44743</v>
      </c>
      <c r="B685" s="411">
        <v>84.08</v>
      </c>
      <c r="C685" s="411">
        <v>4130.29</v>
      </c>
      <c r="D685" s="411">
        <f t="shared" si="116"/>
        <v>-5.1911561831685771E-2</v>
      </c>
      <c r="E685" s="411">
        <f t="shared" si="117"/>
        <v>8.7201344274224588E-2</v>
      </c>
      <c r="F685" s="92"/>
      <c r="G685" s="92"/>
      <c r="H685" s="92"/>
    </row>
    <row r="686" spans="1:8">
      <c r="A686" s="199">
        <v>44774</v>
      </c>
      <c r="B686" s="411">
        <v>80.010000000000005</v>
      </c>
      <c r="C686" s="411">
        <v>3955</v>
      </c>
      <c r="D686" s="411">
        <f t="shared" si="116"/>
        <v>-4.9617099706663052E-2</v>
      </c>
      <c r="E686" s="411">
        <f t="shared" si="117"/>
        <v>-4.3367021205837172E-2</v>
      </c>
      <c r="F686" s="92"/>
      <c r="G686" s="92"/>
      <c r="H686" s="92"/>
    </row>
    <row r="687" spans="1:8">
      <c r="A687" s="199">
        <v>44805</v>
      </c>
      <c r="B687" s="411">
        <v>68.489999999999995</v>
      </c>
      <c r="C687" s="411">
        <v>3585.62</v>
      </c>
      <c r="D687" s="411">
        <f t="shared" si="116"/>
        <v>-0.15546387765221889</v>
      </c>
      <c r="E687" s="411">
        <f t="shared" si="117"/>
        <v>-9.8049199303624351E-2</v>
      </c>
      <c r="F687" s="92"/>
      <c r="G687" s="92"/>
      <c r="H687" s="92"/>
    </row>
    <row r="688" spans="1:8">
      <c r="A688" s="199">
        <v>44835</v>
      </c>
      <c r="B688" s="411">
        <v>71.069999999999993</v>
      </c>
      <c r="C688" s="411">
        <v>3871.98</v>
      </c>
      <c r="D688" s="411">
        <f t="shared" si="116"/>
        <v>3.697755762898991E-2</v>
      </c>
      <c r="E688" s="411">
        <f t="shared" si="117"/>
        <v>7.6834602195741328E-2</v>
      </c>
      <c r="F688" s="92"/>
      <c r="G688" s="92"/>
      <c r="H688" s="92"/>
    </row>
    <row r="689" spans="1:8">
      <c r="A689" s="199">
        <v>44866</v>
      </c>
      <c r="B689" s="411">
        <v>78.489999999999995</v>
      </c>
      <c r="C689" s="411">
        <v>4080.11</v>
      </c>
      <c r="D689" s="411">
        <f t="shared" si="116"/>
        <v>9.9305921299918665E-2</v>
      </c>
      <c r="E689" s="411">
        <f t="shared" si="117"/>
        <v>5.2357944725214406E-2</v>
      </c>
      <c r="F689" s="92"/>
      <c r="G689" s="92"/>
      <c r="H689" s="92"/>
    </row>
    <row r="690" spans="1:8">
      <c r="A690" s="199">
        <v>44896</v>
      </c>
      <c r="B690" s="411">
        <v>77.55</v>
      </c>
      <c r="C690" s="411">
        <v>3839.5</v>
      </c>
      <c r="D690" s="411">
        <f t="shared" si="116"/>
        <v>-1.204833851617448E-2</v>
      </c>
      <c r="E690" s="411">
        <f t="shared" si="117"/>
        <v>-6.0781799048487496E-2</v>
      </c>
      <c r="F690" s="92"/>
      <c r="G690" s="92"/>
      <c r="H690" s="92"/>
    </row>
    <row r="691" spans="1:8">
      <c r="A691" s="199">
        <v>44927</v>
      </c>
      <c r="B691" s="411">
        <v>77.790000000000006</v>
      </c>
      <c r="C691" s="411">
        <v>4076.6</v>
      </c>
      <c r="D691" s="411">
        <f t="shared" si="116"/>
        <v>3.0899985961349041E-3</v>
      </c>
      <c r="E691" s="411">
        <f t="shared" si="117"/>
        <v>5.9921157879031649E-2</v>
      </c>
      <c r="F691" s="92"/>
      <c r="G691" s="92"/>
      <c r="H691" s="92"/>
    </row>
    <row r="692" spans="1:8">
      <c r="A692" s="199">
        <v>44958</v>
      </c>
      <c r="B692" s="411">
        <v>80.599999999999994</v>
      </c>
      <c r="C692" s="411">
        <v>3970.15</v>
      </c>
      <c r="D692" s="411">
        <f t="shared" si="116"/>
        <v>3.5485761293899645E-2</v>
      </c>
      <c r="E692" s="411">
        <f t="shared" si="117"/>
        <v>-2.645943030685264E-2</v>
      </c>
      <c r="F692" s="92"/>
      <c r="G692" s="92"/>
      <c r="H692" s="92"/>
    </row>
    <row r="693" spans="1:8">
      <c r="A693" s="199">
        <v>44986</v>
      </c>
      <c r="B693" s="411">
        <v>85.34</v>
      </c>
      <c r="C693" s="411">
        <v>4109.3100000000004</v>
      </c>
      <c r="D693" s="411">
        <f t="shared" si="116"/>
        <v>5.7144628247271373E-2</v>
      </c>
      <c r="E693" s="411">
        <f t="shared" si="117"/>
        <v>3.4451253841860437E-2</v>
      </c>
      <c r="F693" s="92"/>
      <c r="G693" s="92"/>
      <c r="H693" s="92"/>
    </row>
    <row r="694" spans="1:8">
      <c r="A694" s="199">
        <v>45017</v>
      </c>
      <c r="B694" s="411">
        <v>93.74</v>
      </c>
      <c r="C694" s="411">
        <v>4169.4799999999996</v>
      </c>
      <c r="D694" s="411">
        <f t="shared" si="116"/>
        <v>9.3881714734706107E-2</v>
      </c>
      <c r="E694" s="411">
        <f t="shared" si="117"/>
        <v>1.4536196592679839E-2</v>
      </c>
      <c r="F694" s="92"/>
      <c r="G694" s="92"/>
      <c r="H694" s="92"/>
    </row>
    <row r="695" spans="1:8">
      <c r="A695" s="199">
        <v>45047</v>
      </c>
      <c r="B695" s="411">
        <v>89.24</v>
      </c>
      <c r="C695" s="411">
        <v>4179.83</v>
      </c>
      <c r="D695" s="411">
        <f t="shared" si="116"/>
        <v>-4.9195622930228257E-2</v>
      </c>
      <c r="E695" s="411">
        <f t="shared" si="117"/>
        <v>2.4792480579840541E-3</v>
      </c>
      <c r="F695" s="92"/>
      <c r="G695" s="92"/>
      <c r="H695" s="92"/>
    </row>
    <row r="696" spans="1:8">
      <c r="A696" s="199">
        <v>45078</v>
      </c>
      <c r="B696" s="411">
        <v>97.02</v>
      </c>
      <c r="C696" s="411">
        <v>4450.38</v>
      </c>
      <c r="D696" s="411">
        <f t="shared" si="116"/>
        <v>8.3587773252738654E-2</v>
      </c>
      <c r="E696" s="411">
        <f t="shared" si="117"/>
        <v>6.2718909937614448E-2</v>
      </c>
      <c r="F696" s="92"/>
      <c r="G696" s="92"/>
      <c r="H696" s="92"/>
    </row>
    <row r="697" spans="1:8">
      <c r="A697" s="199">
        <v>45108</v>
      </c>
      <c r="B697" s="411">
        <v>92.61</v>
      </c>
      <c r="C697" s="411">
        <v>4588.96</v>
      </c>
      <c r="D697" s="411">
        <f t="shared" si="116"/>
        <v>-4.6520015634892817E-2</v>
      </c>
      <c r="E697" s="411">
        <f t="shared" si="117"/>
        <v>3.0663933087959953E-2</v>
      </c>
      <c r="F697" s="92"/>
      <c r="G697" s="92"/>
      <c r="H697" s="92"/>
    </row>
    <row r="698" spans="1:8">
      <c r="A698" s="199">
        <v>45139</v>
      </c>
      <c r="B698" s="411">
        <v>93.67</v>
      </c>
      <c r="C698" s="411">
        <v>4507.66</v>
      </c>
      <c r="D698" s="411">
        <f t="shared" si="116"/>
        <v>1.1380840038861691E-2</v>
      </c>
      <c r="E698" s="411">
        <f t="shared" si="117"/>
        <v>-1.787524701848843E-2</v>
      </c>
      <c r="F698" s="92"/>
      <c r="G698" s="92"/>
      <c r="H698" s="92"/>
    </row>
    <row r="699" spans="1:8">
      <c r="A699" s="199">
        <v>45170</v>
      </c>
      <c r="B699" s="411">
        <v>88.95</v>
      </c>
      <c r="C699" s="411">
        <v>4288.05</v>
      </c>
      <c r="D699" s="411">
        <f t="shared" si="116"/>
        <v>-5.1703553109195083E-2</v>
      </c>
      <c r="E699" s="411">
        <f t="shared" si="117"/>
        <v>-4.9946087711970913E-2</v>
      </c>
      <c r="F699" s="92"/>
      <c r="G699" s="92"/>
      <c r="H699" s="92"/>
    </row>
    <row r="700" spans="1:8">
      <c r="A700" s="199">
        <v>45200</v>
      </c>
      <c r="B700" s="411">
        <v>88.28</v>
      </c>
      <c r="C700" s="411">
        <v>4193.8</v>
      </c>
      <c r="D700" s="411">
        <f t="shared" si="116"/>
        <v>-7.5608327233085458E-3</v>
      </c>
      <c r="E700" s="411">
        <f t="shared" si="117"/>
        <v>-2.2224839977771419E-2</v>
      </c>
      <c r="F700" s="92"/>
      <c r="G700" s="92"/>
      <c r="H700" s="92"/>
    </row>
    <row r="701" spans="1:8">
      <c r="A701" s="199">
        <v>45231</v>
      </c>
      <c r="B701" s="411">
        <v>93.8</v>
      </c>
      <c r="C701" s="411">
        <v>4567.8</v>
      </c>
      <c r="D701" s="411">
        <f t="shared" si="116"/>
        <v>6.0651274623643385E-2</v>
      </c>
      <c r="E701" s="411">
        <f t="shared" si="117"/>
        <v>8.5424444387576737E-2</v>
      </c>
      <c r="F701" s="92"/>
      <c r="G701" s="92"/>
      <c r="H701" s="92"/>
    </row>
    <row r="702" spans="1:8">
      <c r="A702" s="199">
        <v>45261</v>
      </c>
      <c r="B702" s="411">
        <v>92.07</v>
      </c>
      <c r="C702" s="411">
        <v>4769.83</v>
      </c>
      <c r="D702" s="411">
        <f t="shared" si="116"/>
        <v>-1.8615698712424498E-2</v>
      </c>
      <c r="E702" s="411">
        <f t="shared" si="117"/>
        <v>4.3278976294068072E-2</v>
      </c>
      <c r="F702" s="92"/>
      <c r="G702" s="92"/>
      <c r="H702" s="92"/>
    </row>
    <row r="703" spans="1:8">
      <c r="A703" s="199">
        <v>45292</v>
      </c>
      <c r="B703" s="411">
        <v>97.22</v>
      </c>
      <c r="C703" s="411">
        <v>4845.6499999999996</v>
      </c>
      <c r="D703" s="411">
        <f t="shared" si="116"/>
        <v>5.4427294317554935E-2</v>
      </c>
      <c r="E703" s="411">
        <f t="shared" si="117"/>
        <v>1.5770730418801029E-2</v>
      </c>
      <c r="F703" s="92"/>
      <c r="G703" s="92"/>
      <c r="H703" s="92"/>
    </row>
    <row r="704" spans="1:8">
      <c r="A704" s="199">
        <v>45323</v>
      </c>
      <c r="B704" s="411">
        <v>97.48</v>
      </c>
      <c r="C704" s="411">
        <v>5096.2700000000004</v>
      </c>
      <c r="D704" s="411">
        <f t="shared" si="116"/>
        <v>2.6707771396961878E-3</v>
      </c>
      <c r="E704" s="411">
        <f t="shared" si="117"/>
        <v>5.0427504326927088E-2</v>
      </c>
      <c r="F704" s="92"/>
      <c r="G704" s="92"/>
      <c r="H704" s="92"/>
    </row>
    <row r="705" spans="1:8">
      <c r="A705" s="199">
        <v>45352</v>
      </c>
      <c r="B705" s="411">
        <v>101.86</v>
      </c>
      <c r="C705" s="411">
        <v>5254.35</v>
      </c>
      <c r="D705" s="411">
        <f t="shared" si="116"/>
        <v>4.3952092699453098E-2</v>
      </c>
      <c r="E705" s="411">
        <f t="shared" si="117"/>
        <v>3.0547405358412088E-2</v>
      </c>
      <c r="F705" s="92"/>
      <c r="G705" s="92"/>
      <c r="H705" s="92"/>
    </row>
    <row r="706" spans="1:8">
      <c r="A706" s="199">
        <v>45383</v>
      </c>
      <c r="B706" s="411">
        <v>105.35</v>
      </c>
      <c r="C706" s="411">
        <v>5035.6899999999996</v>
      </c>
      <c r="D706" s="411">
        <f t="shared" si="116"/>
        <v>3.3688818793739389E-2</v>
      </c>
      <c r="E706" s="411">
        <f t="shared" si="117"/>
        <v>-4.250574745999363E-2</v>
      </c>
      <c r="F706" s="92"/>
      <c r="G706" s="92"/>
      <c r="H706" s="92"/>
    </row>
    <row r="707" spans="1:8">
      <c r="A707" s="199">
        <v>45413</v>
      </c>
      <c r="B707" s="411">
        <v>104.49</v>
      </c>
      <c r="C707" s="411">
        <v>5277.51</v>
      </c>
      <c r="D707" s="411">
        <f t="shared" si="116"/>
        <v>-8.196767204178515E-3</v>
      </c>
      <c r="E707" s="411">
        <f t="shared" si="117"/>
        <v>4.6903838078814306E-2</v>
      </c>
      <c r="F707" s="92"/>
      <c r="G707" s="92"/>
      <c r="H707" s="92"/>
    </row>
    <row r="708" spans="1:8">
      <c r="A708" s="199">
        <v>45444</v>
      </c>
      <c r="B708" s="411">
        <v>101.51</v>
      </c>
      <c r="C708" s="411">
        <v>5460.48</v>
      </c>
      <c r="D708" s="411">
        <f t="shared" si="116"/>
        <v>-2.893405724967972E-2</v>
      </c>
      <c r="E708" s="411">
        <f t="shared" si="117"/>
        <v>3.408230240557078E-2</v>
      </c>
      <c r="F708" s="92"/>
      <c r="G708" s="92"/>
      <c r="H708" s="92"/>
    </row>
    <row r="709" spans="1:8">
      <c r="A709" s="199">
        <v>45474</v>
      </c>
      <c r="B709" s="411">
        <v>95.96</v>
      </c>
      <c r="C709" s="411">
        <v>5522.3</v>
      </c>
      <c r="D709" s="411">
        <f t="shared" si="116"/>
        <v>-5.6225877824845984E-2</v>
      </c>
      <c r="E709" s="411">
        <f t="shared" si="117"/>
        <v>1.1257742193535576E-2</v>
      </c>
      <c r="F709" s="92"/>
      <c r="G709" s="92"/>
      <c r="H709" s="92"/>
    </row>
    <row r="710" spans="1:8">
      <c r="A710" s="199">
        <v>45505</v>
      </c>
      <c r="B710" s="411">
        <v>99.75</v>
      </c>
      <c r="C710" s="411">
        <v>5648.4</v>
      </c>
      <c r="D710" s="411">
        <f t="shared" si="116"/>
        <v>3.8735617798479033E-2</v>
      </c>
      <c r="E710" s="411">
        <f t="shared" si="117"/>
        <v>2.2577879038739614E-2</v>
      </c>
      <c r="F710" s="92"/>
      <c r="G710" s="92"/>
      <c r="H710" s="92"/>
    </row>
    <row r="711" spans="1:8">
      <c r="A711" s="199">
        <v>45536</v>
      </c>
      <c r="B711" s="411">
        <v>102.82</v>
      </c>
      <c r="C711" s="411">
        <v>5762.48</v>
      </c>
      <c r="D711" s="411">
        <f t="shared" si="116"/>
        <v>3.0312830857385717E-2</v>
      </c>
      <c r="E711" s="411">
        <f t="shared" si="117"/>
        <v>1.9995618387948909E-2</v>
      </c>
      <c r="F711" s="92"/>
      <c r="G711" s="92"/>
      <c r="H711" s="92"/>
    </row>
    <row r="712" spans="1:8">
      <c r="A712" s="199">
        <v>45566</v>
      </c>
      <c r="B712" s="411">
        <v>98.1</v>
      </c>
      <c r="C712" s="411">
        <v>5705.45</v>
      </c>
      <c r="D712" s="411">
        <f t="shared" si="116"/>
        <v>-4.6992520056041202E-2</v>
      </c>
      <c r="E712" s="411">
        <f t="shared" si="117"/>
        <v>-9.9460792205519691E-3</v>
      </c>
      <c r="F712" s="92"/>
      <c r="G712" s="92"/>
      <c r="H712" s="92"/>
    </row>
    <row r="713" spans="1:8">
      <c r="A713" s="199">
        <v>45597</v>
      </c>
      <c r="B713" s="411">
        <v>108.13</v>
      </c>
      <c r="C713" s="411">
        <v>6032.38</v>
      </c>
      <c r="D713" s="411">
        <f t="shared" si="116"/>
        <v>9.7346840386128411E-2</v>
      </c>
      <c r="E713" s="411">
        <f t="shared" si="117"/>
        <v>5.5719767688528744E-2</v>
      </c>
      <c r="F713" s="92"/>
      <c r="G713" s="92"/>
      <c r="H713" s="92"/>
    </row>
    <row r="714" spans="1:8">
      <c r="A714" s="199">
        <v>45627</v>
      </c>
      <c r="B714" s="411">
        <v>103.08</v>
      </c>
      <c r="C714" s="411">
        <v>5881.63</v>
      </c>
      <c r="D714" s="411">
        <f t="shared" si="116"/>
        <v>-4.7828821173281369E-2</v>
      </c>
      <c r="E714" s="411">
        <f t="shared" si="117"/>
        <v>-2.5307691689834075E-2</v>
      </c>
      <c r="F714" s="92"/>
      <c r="G714" s="92"/>
      <c r="H714" s="92"/>
    </row>
    <row r="715" spans="1:8">
      <c r="A715" s="199">
        <v>45658</v>
      </c>
      <c r="B715" s="411">
        <v>103.88</v>
      </c>
      <c r="C715" s="411">
        <v>6040.53</v>
      </c>
      <c r="D715" s="411">
        <f t="shared" si="116"/>
        <v>7.7310010103832606E-3</v>
      </c>
      <c r="E715" s="411">
        <f t="shared" si="117"/>
        <v>2.6657822062382253E-2</v>
      </c>
      <c r="F715" s="92"/>
      <c r="G715" s="92"/>
      <c r="H715" s="92"/>
    </row>
    <row r="716" spans="1:8">
      <c r="A716" s="199">
        <v>45689</v>
      </c>
      <c r="B716" s="411">
        <v>109.47</v>
      </c>
      <c r="C716" s="411">
        <v>5954.5</v>
      </c>
      <c r="D716" s="411">
        <f t="shared" si="116"/>
        <v>5.2414152321918345E-2</v>
      </c>
      <c r="E716" s="411">
        <f t="shared" si="117"/>
        <v>-1.4344520215520212E-2</v>
      </c>
      <c r="F716" s="92"/>
      <c r="G716" s="92"/>
      <c r="H716" s="92"/>
    </row>
    <row r="717" spans="1:8">
      <c r="A717" s="199">
        <v>45717</v>
      </c>
      <c r="B717" s="411">
        <v>108.68</v>
      </c>
      <c r="C717" s="411">
        <v>5611.85</v>
      </c>
      <c r="D717" s="411">
        <f t="shared" si="116"/>
        <v>-7.2427545583188856E-3</v>
      </c>
      <c r="E717" s="411">
        <f t="shared" si="117"/>
        <v>-5.9266802781969163E-2</v>
      </c>
      <c r="F717" s="92"/>
      <c r="G717" s="92"/>
      <c r="H717" s="92"/>
    </row>
    <row r="718" spans="1:8">
      <c r="A718" s="199">
        <v>45748</v>
      </c>
      <c r="B718" s="411">
        <v>98.06</v>
      </c>
      <c r="C718" s="411">
        <v>5569.06</v>
      </c>
      <c r="D718" s="411">
        <f t="shared" si="116"/>
        <v>-0.10282824833505982</v>
      </c>
      <c r="E718" s="411">
        <f t="shared" si="117"/>
        <v>-7.6541549673546042E-3</v>
      </c>
      <c r="F718" s="92"/>
      <c r="G718" s="92"/>
      <c r="H718" s="92"/>
    </row>
    <row r="719" spans="1:8">
      <c r="A719" s="199">
        <v>45778</v>
      </c>
      <c r="B719" s="411">
        <v>97.05</v>
      </c>
      <c r="C719" s="411">
        <v>5911.69</v>
      </c>
      <c r="D719" s="411">
        <f t="shared" si="116"/>
        <v>-1.0353226608067957E-2</v>
      </c>
      <c r="E719" s="411">
        <f t="shared" si="117"/>
        <v>5.9705468070558924E-2</v>
      </c>
      <c r="F719" s="92"/>
      <c r="G719" s="92"/>
      <c r="H719" s="92"/>
    </row>
    <row r="720" spans="1:8">
      <c r="A720" s="199">
        <v>45809</v>
      </c>
      <c r="B720" s="411">
        <v>95.18</v>
      </c>
      <c r="C720" s="411">
        <v>6204.95</v>
      </c>
      <c r="D720" s="411">
        <f t="shared" si="116"/>
        <v>-1.945647392205474E-2</v>
      </c>
      <c r="E720" s="411">
        <f t="shared" si="117"/>
        <v>4.8415614059228305E-2</v>
      </c>
      <c r="F720" s="92"/>
      <c r="G720" s="92"/>
      <c r="H720" s="92"/>
    </row>
    <row r="721" spans="1:9">
      <c r="A721" s="199">
        <v>45839</v>
      </c>
      <c r="B721" s="411">
        <v>92.86</v>
      </c>
      <c r="C721" s="411">
        <v>6339.39</v>
      </c>
      <c r="D721" s="411">
        <f t="shared" ref="D721:D726" si="118">LN(B721/B720)</f>
        <v>-2.4676853101188813E-2</v>
      </c>
      <c r="E721" s="411">
        <f t="shared" ref="E721:E726" si="119">LN(C721/C720)</f>
        <v>2.1435188702803743E-2</v>
      </c>
      <c r="F721" s="92"/>
      <c r="G721" s="92"/>
      <c r="H721" s="92"/>
    </row>
    <row r="722" spans="1:9">
      <c r="A722" s="199">
        <v>45870</v>
      </c>
      <c r="B722" s="411">
        <v>92.26</v>
      </c>
      <c r="C722" s="411">
        <v>6460.26</v>
      </c>
      <c r="D722" s="411">
        <f t="shared" si="118"/>
        <v>-6.4823044621011633E-3</v>
      </c>
      <c r="E722" s="411">
        <f t="shared" si="119"/>
        <v>1.8887015353432401E-2</v>
      </c>
      <c r="F722" s="92"/>
      <c r="G722" s="92"/>
      <c r="H722" s="92"/>
    </row>
    <row r="723" spans="1:9">
      <c r="A723" s="199">
        <v>45901</v>
      </c>
      <c r="B723" s="411">
        <v>87.06</v>
      </c>
      <c r="C723" s="411">
        <v>6688.46</v>
      </c>
      <c r="D723" s="411">
        <f t="shared" si="118"/>
        <v>-5.8013142005523023E-2</v>
      </c>
      <c r="E723" s="411">
        <f t="shared" si="119"/>
        <v>3.4714088658864529E-2</v>
      </c>
      <c r="F723" s="92"/>
      <c r="G723" s="92"/>
      <c r="H723" s="92"/>
    </row>
    <row r="724" spans="1:9">
      <c r="A724" s="199">
        <v>45931</v>
      </c>
      <c r="B724" s="411">
        <v>87.12</v>
      </c>
      <c r="C724" s="411">
        <v>6840.2</v>
      </c>
      <c r="D724" s="411">
        <f t="shared" si="118"/>
        <v>6.8894250055356139E-4</v>
      </c>
      <c r="E724" s="411">
        <f t="shared" si="119"/>
        <v>2.2433317651589665E-2</v>
      </c>
      <c r="F724" s="92"/>
      <c r="G724" s="92"/>
      <c r="H724" s="92"/>
    </row>
    <row r="725" spans="1:9">
      <c r="A725" s="199">
        <v>45962</v>
      </c>
      <c r="B725" s="411">
        <v>84.6</v>
      </c>
      <c r="C725" s="411">
        <v>6849.9</v>
      </c>
      <c r="D725" s="411">
        <f t="shared" si="118"/>
        <v>-2.9352212012527565E-2</v>
      </c>
      <c r="E725" s="411">
        <f t="shared" si="119"/>
        <v>1.4170826543608616E-3</v>
      </c>
      <c r="F725" s="92"/>
      <c r="G725" s="92"/>
      <c r="H725" s="92"/>
    </row>
    <row r="726" spans="1:9">
      <c r="A726" s="199">
        <v>45992</v>
      </c>
      <c r="B726" s="411">
        <v>83.59</v>
      </c>
      <c r="C726" s="411">
        <v>6845.5</v>
      </c>
      <c r="D726" s="411">
        <f t="shared" si="118"/>
        <v>-1.2010370901112772E-2</v>
      </c>
      <c r="E726" s="411">
        <f t="shared" si="119"/>
        <v>-6.4255153575447658E-4</v>
      </c>
      <c r="F726" s="92"/>
      <c r="G726" s="92"/>
      <c r="H726" s="92"/>
    </row>
    <row r="727" spans="1:9">
      <c r="A727" s="92"/>
      <c r="B727" s="411"/>
      <c r="C727" s="411"/>
      <c r="D727" s="92"/>
      <c r="E727" s="92"/>
      <c r="F727" s="92"/>
      <c r="G727" s="92"/>
      <c r="H727" s="92"/>
    </row>
    <row r="728" spans="1:9">
      <c r="A728" s="92"/>
      <c r="B728" s="92"/>
      <c r="C728" s="92"/>
      <c r="D728" s="92"/>
      <c r="E728" s="92"/>
      <c r="F728" s="92"/>
      <c r="G728" s="92"/>
      <c r="H728" s="92"/>
      <c r="I728" s="92"/>
    </row>
    <row r="729" spans="1:9" ht="17">
      <c r="A729" s="731" t="s">
        <v>519</v>
      </c>
      <c r="B729" s="731"/>
      <c r="C729" s="731"/>
      <c r="D729" s="731"/>
      <c r="E729" s="731"/>
      <c r="F729" s="92"/>
      <c r="G729" s="92"/>
      <c r="H729" s="92"/>
      <c r="I729" s="92"/>
    </row>
    <row r="730" spans="1:9">
      <c r="A730" s="92"/>
      <c r="B730" s="92"/>
      <c r="C730" s="92"/>
      <c r="D730" s="92"/>
      <c r="E730" s="92"/>
      <c r="F730" s="92"/>
      <c r="G730" s="92"/>
      <c r="H730" s="92"/>
      <c r="I730" s="92"/>
    </row>
    <row r="731" spans="1:9" ht="25">
      <c r="A731" s="170" t="s">
        <v>520</v>
      </c>
      <c r="B731" s="410" t="s">
        <v>521</v>
      </c>
      <c r="C731" s="92" t="s">
        <v>522</v>
      </c>
      <c r="D731" s="171" t="s">
        <v>2</v>
      </c>
      <c r="E731" s="410" t="s">
        <v>523</v>
      </c>
      <c r="F731" s="92" t="s">
        <v>524</v>
      </c>
      <c r="G731" s="92"/>
      <c r="H731" s="92"/>
      <c r="I731" s="92"/>
    </row>
    <row r="732" spans="1:9">
      <c r="A732" s="171"/>
      <c r="B732" s="410" t="s">
        <v>437</v>
      </c>
      <c r="C732" s="92" t="s">
        <v>525</v>
      </c>
      <c r="D732" s="171" t="s">
        <v>2</v>
      </c>
      <c r="E732" s="410" t="s">
        <v>439</v>
      </c>
      <c r="F732" s="92" t="s">
        <v>440</v>
      </c>
      <c r="G732" s="92"/>
      <c r="H732" s="92"/>
      <c r="I732" s="92"/>
    </row>
    <row r="733" spans="1:9">
      <c r="A733" s="171"/>
      <c r="B733" s="410" t="s">
        <v>441</v>
      </c>
      <c r="C733" s="92" t="s">
        <v>442</v>
      </c>
      <c r="D733" s="171" t="s">
        <v>2</v>
      </c>
      <c r="E733" s="410" t="s">
        <v>443</v>
      </c>
      <c r="F733" s="92" t="s">
        <v>444</v>
      </c>
      <c r="G733" s="92"/>
      <c r="H733" s="92"/>
      <c r="I733" s="92"/>
    </row>
    <row r="734" spans="1:9">
      <c r="A734" s="171"/>
      <c r="B734" s="410" t="s">
        <v>526</v>
      </c>
      <c r="C734" s="92" t="s">
        <v>527</v>
      </c>
      <c r="D734" s="171" t="s">
        <v>2</v>
      </c>
      <c r="E734" s="171"/>
      <c r="F734" s="171"/>
      <c r="G734" s="92"/>
      <c r="H734" s="92"/>
      <c r="I734" s="92"/>
    </row>
    <row r="735" spans="1:9">
      <c r="A735" s="409" t="s">
        <v>528</v>
      </c>
      <c r="B735" s="409" t="s">
        <v>2</v>
      </c>
      <c r="C735" s="409" t="s">
        <v>2</v>
      </c>
      <c r="D735" s="409" t="s">
        <v>2</v>
      </c>
      <c r="E735" s="409" t="s">
        <v>2</v>
      </c>
      <c r="F735" s="409" t="s">
        <v>2</v>
      </c>
      <c r="G735" s="409" t="s">
        <v>2</v>
      </c>
      <c r="H735" s="172"/>
      <c r="I735" s="172"/>
    </row>
    <row r="736" spans="1:9" ht="25">
      <c r="A736" s="210" t="s">
        <v>529</v>
      </c>
      <c r="B736" s="210" t="s">
        <v>530</v>
      </c>
      <c r="C736" s="210" t="s">
        <v>531</v>
      </c>
      <c r="D736" s="210" t="s">
        <v>532</v>
      </c>
      <c r="E736" s="210" t="s">
        <v>533</v>
      </c>
      <c r="F736" s="210" t="s">
        <v>534</v>
      </c>
      <c r="G736" s="210" t="s">
        <v>535</v>
      </c>
      <c r="H736" s="92"/>
      <c r="I736" s="92"/>
    </row>
    <row r="737" spans="1:9" ht="25">
      <c r="A737" s="210" t="s">
        <v>536</v>
      </c>
      <c r="B737" s="210" t="s">
        <v>537</v>
      </c>
      <c r="C737" s="210" t="s">
        <v>538</v>
      </c>
      <c r="D737" s="210" t="s">
        <v>539</v>
      </c>
      <c r="E737" s="210" t="s">
        <v>540</v>
      </c>
      <c r="F737" s="210" t="s">
        <v>541</v>
      </c>
      <c r="G737" s="210" t="s">
        <v>542</v>
      </c>
      <c r="H737" s="92"/>
      <c r="I737" s="92"/>
    </row>
    <row r="738" spans="1:9">
      <c r="A738" s="211" t="s">
        <v>543</v>
      </c>
      <c r="B738" s="211" t="s">
        <v>460</v>
      </c>
      <c r="C738" s="211" t="s">
        <v>460</v>
      </c>
      <c r="D738" s="211" t="s">
        <v>460</v>
      </c>
      <c r="E738" s="211" t="s">
        <v>460</v>
      </c>
      <c r="F738" s="211" t="s">
        <v>460</v>
      </c>
      <c r="G738" s="211" t="s">
        <v>460</v>
      </c>
      <c r="H738" s="92"/>
      <c r="I738" s="92"/>
    </row>
    <row r="739" spans="1:9">
      <c r="A739" s="178" t="s">
        <v>544</v>
      </c>
      <c r="B739" s="171"/>
      <c r="C739" s="171"/>
      <c r="D739" s="171"/>
      <c r="E739" s="171"/>
      <c r="F739" s="171"/>
      <c r="G739" s="171"/>
      <c r="H739" s="92"/>
      <c r="I739" s="92"/>
    </row>
    <row r="740" spans="1:9">
      <c r="A740" s="171" t="s">
        <v>545</v>
      </c>
      <c r="B740" s="219">
        <v>104.75</v>
      </c>
      <c r="C740" s="219" t="s">
        <v>546</v>
      </c>
      <c r="D740" s="219" t="s">
        <v>547</v>
      </c>
      <c r="E740" s="219" t="s">
        <v>548</v>
      </c>
      <c r="F740" s="219" t="s">
        <v>549</v>
      </c>
      <c r="G740" s="219" t="s">
        <v>550</v>
      </c>
      <c r="H740" s="92"/>
      <c r="I740" s="92"/>
    </row>
    <row r="741" spans="1:9">
      <c r="A741" s="171" t="s">
        <v>551</v>
      </c>
      <c r="B741" s="219" t="s">
        <v>552</v>
      </c>
      <c r="C741" s="219" t="s">
        <v>553</v>
      </c>
      <c r="D741" s="219" t="s">
        <v>554</v>
      </c>
      <c r="E741" s="219" t="s">
        <v>555</v>
      </c>
      <c r="F741" s="219" t="s">
        <v>556</v>
      </c>
      <c r="G741" s="219" t="s">
        <v>557</v>
      </c>
      <c r="H741" s="92"/>
      <c r="I741" s="92"/>
    </row>
    <row r="742" spans="1:9">
      <c r="A742" s="171"/>
      <c r="B742" s="220"/>
      <c r="C742" s="220"/>
      <c r="D742" s="220"/>
      <c r="E742" s="220"/>
      <c r="F742" s="220"/>
      <c r="G742" s="220"/>
      <c r="H742" s="92"/>
      <c r="I742" s="92"/>
    </row>
    <row r="743" spans="1:9">
      <c r="A743" s="178" t="s">
        <v>558</v>
      </c>
      <c r="B743" s="221" t="s">
        <v>559</v>
      </c>
      <c r="C743" s="221" t="s">
        <v>560</v>
      </c>
      <c r="D743" s="221" t="s">
        <v>561</v>
      </c>
      <c r="E743" s="221" t="s">
        <v>562</v>
      </c>
      <c r="F743" s="221">
        <v>21057</v>
      </c>
      <c r="G743" s="221">
        <v>23669.4</v>
      </c>
      <c r="H743" s="92"/>
      <c r="I743" s="92"/>
    </row>
    <row r="744" spans="1:9">
      <c r="A744" s="213" t="s">
        <v>563</v>
      </c>
      <c r="B744" s="219" t="s">
        <v>564</v>
      </c>
      <c r="C744" s="219" t="s">
        <v>565</v>
      </c>
      <c r="D744" s="219">
        <v>1074.5</v>
      </c>
      <c r="E744" s="219" t="s">
        <v>566</v>
      </c>
      <c r="F744" s="219" t="s">
        <v>567</v>
      </c>
      <c r="G744" s="219">
        <v>409</v>
      </c>
      <c r="H744" s="92"/>
      <c r="I744" s="92"/>
    </row>
    <row r="745" spans="1:9">
      <c r="A745" s="213" t="s">
        <v>568</v>
      </c>
      <c r="B745" s="219" t="s">
        <v>569</v>
      </c>
      <c r="C745" s="219" t="s">
        <v>570</v>
      </c>
      <c r="D745" s="219" t="s">
        <v>571</v>
      </c>
      <c r="E745" s="219" t="s">
        <v>572</v>
      </c>
      <c r="F745" s="219">
        <v>2401</v>
      </c>
      <c r="G745" s="219">
        <v>2382</v>
      </c>
      <c r="H745" s="92"/>
      <c r="I745" s="92"/>
    </row>
    <row r="746" spans="1:9">
      <c r="A746" s="213" t="s">
        <v>573</v>
      </c>
      <c r="B746" s="222" t="s">
        <v>32</v>
      </c>
      <c r="C746" s="222" t="s">
        <v>32</v>
      </c>
      <c r="D746" s="222" t="s">
        <v>32</v>
      </c>
      <c r="E746" s="222" t="s">
        <v>32</v>
      </c>
      <c r="F746" s="222" t="s">
        <v>32</v>
      </c>
      <c r="G746" s="222" t="s">
        <v>32</v>
      </c>
      <c r="H746" s="92"/>
      <c r="I746" s="92"/>
    </row>
    <row r="747" spans="1:9">
      <c r="A747" s="213" t="s">
        <v>574</v>
      </c>
      <c r="B747" s="222" t="s">
        <v>32</v>
      </c>
      <c r="C747" s="222" t="s">
        <v>32</v>
      </c>
      <c r="D747" s="222" t="s">
        <v>32</v>
      </c>
      <c r="E747" s="222" t="s">
        <v>32</v>
      </c>
      <c r="F747" s="222" t="s">
        <v>32</v>
      </c>
      <c r="G747" s="222" t="s">
        <v>32</v>
      </c>
      <c r="H747" s="92"/>
      <c r="I747" s="92"/>
    </row>
    <row r="748" spans="1:9">
      <c r="A748" s="213" t="s">
        <v>575</v>
      </c>
      <c r="B748" s="222" t="s">
        <v>32</v>
      </c>
      <c r="C748" s="222" t="s">
        <v>32</v>
      </c>
      <c r="D748" s="222" t="s">
        <v>32</v>
      </c>
      <c r="E748" s="222" t="s">
        <v>32</v>
      </c>
      <c r="F748" s="222" t="s">
        <v>32</v>
      </c>
      <c r="G748" s="222" t="s">
        <v>32</v>
      </c>
      <c r="H748" s="92"/>
      <c r="I748" s="92"/>
    </row>
    <row r="749" spans="1:9" ht="49">
      <c r="A749" s="214" t="s">
        <v>576</v>
      </c>
      <c r="B749" s="223" t="s">
        <v>577</v>
      </c>
      <c r="C749" s="223" t="s">
        <v>578</v>
      </c>
      <c r="D749" s="223" t="s">
        <v>579</v>
      </c>
      <c r="E749" s="223" t="s">
        <v>580</v>
      </c>
      <c r="F749" s="223" t="s">
        <v>581</v>
      </c>
      <c r="G749" s="223" t="s">
        <v>582</v>
      </c>
      <c r="H749" s="92"/>
      <c r="I749" s="92"/>
    </row>
    <row r="750" spans="1:9">
      <c r="A750" s="171"/>
      <c r="B750" s="220"/>
      <c r="C750" s="220"/>
      <c r="D750" s="220"/>
      <c r="E750" s="220"/>
      <c r="F750" s="220"/>
      <c r="G750" s="220"/>
      <c r="H750" s="92"/>
      <c r="I750" s="92"/>
    </row>
    <row r="751" spans="1:9" ht="49">
      <c r="A751" s="171" t="s">
        <v>583</v>
      </c>
      <c r="B751" s="219" t="s">
        <v>584</v>
      </c>
      <c r="C751" s="219" t="s">
        <v>585</v>
      </c>
      <c r="D751" s="219" t="s">
        <v>586</v>
      </c>
      <c r="E751" s="219" t="s">
        <v>587</v>
      </c>
      <c r="F751" s="219" t="s">
        <v>588</v>
      </c>
      <c r="G751" s="219" t="s">
        <v>589</v>
      </c>
      <c r="H751" s="92"/>
      <c r="I751" s="92"/>
    </row>
    <row r="752" spans="1:9">
      <c r="A752" s="213" t="s">
        <v>573</v>
      </c>
      <c r="B752" s="222" t="s">
        <v>32</v>
      </c>
      <c r="C752" s="222" t="s">
        <v>32</v>
      </c>
      <c r="D752" s="222" t="s">
        <v>32</v>
      </c>
      <c r="E752" s="222" t="s">
        <v>32</v>
      </c>
      <c r="F752" s="222" t="s">
        <v>32</v>
      </c>
      <c r="G752" s="222" t="s">
        <v>32</v>
      </c>
      <c r="H752" s="92"/>
      <c r="I752" s="92"/>
    </row>
    <row r="753" spans="1:10">
      <c r="A753" s="213" t="s">
        <v>574</v>
      </c>
      <c r="B753" s="222" t="s">
        <v>32</v>
      </c>
      <c r="C753" s="222" t="s">
        <v>32</v>
      </c>
      <c r="D753" s="222" t="s">
        <v>32</v>
      </c>
      <c r="E753" s="222" t="s">
        <v>32</v>
      </c>
      <c r="F753" s="222" t="s">
        <v>32</v>
      </c>
      <c r="G753" s="222" t="s">
        <v>32</v>
      </c>
      <c r="H753" s="92"/>
      <c r="I753" s="92"/>
    </row>
    <row r="754" spans="1:10" ht="49">
      <c r="A754" s="213" t="s">
        <v>568</v>
      </c>
      <c r="B754" s="219" t="s">
        <v>590</v>
      </c>
      <c r="C754" s="219" t="s">
        <v>591</v>
      </c>
      <c r="D754" s="219" t="s">
        <v>592</v>
      </c>
      <c r="E754" s="219" t="s">
        <v>593</v>
      </c>
      <c r="F754" s="219" t="s">
        <v>594</v>
      </c>
      <c r="G754" s="219" t="s">
        <v>595</v>
      </c>
      <c r="H754" s="92"/>
      <c r="I754" s="92"/>
    </row>
    <row r="755" spans="1:10" ht="49">
      <c r="A755" s="214" t="s">
        <v>596</v>
      </c>
      <c r="B755" s="223" t="s">
        <v>597</v>
      </c>
      <c r="C755" s="223" t="s">
        <v>598</v>
      </c>
      <c r="D755" s="223" t="s">
        <v>599</v>
      </c>
      <c r="E755" s="223" t="s">
        <v>600</v>
      </c>
      <c r="F755" s="223" t="s">
        <v>601</v>
      </c>
      <c r="G755" s="223" t="s">
        <v>602</v>
      </c>
      <c r="H755" s="92"/>
      <c r="I755" s="92"/>
    </row>
    <row r="756" spans="1:10">
      <c r="A756" s="171"/>
      <c r="B756" s="171"/>
      <c r="C756" s="171"/>
      <c r="D756" s="171"/>
      <c r="E756" s="171"/>
      <c r="F756" s="171"/>
      <c r="G756" s="171"/>
      <c r="H756" s="92"/>
      <c r="I756" s="92"/>
    </row>
    <row r="757" spans="1:10">
      <c r="A757" s="212"/>
      <c r="B757" s="212"/>
      <c r="C757" s="212"/>
      <c r="D757" s="212"/>
      <c r="E757" s="212"/>
      <c r="F757" s="212"/>
      <c r="G757" s="212"/>
      <c r="H757" s="92"/>
      <c r="I757" s="92"/>
    </row>
    <row r="758" spans="1:10">
      <c r="A758" s="212"/>
      <c r="B758" s="92"/>
      <c r="C758" s="92"/>
      <c r="D758" s="92"/>
      <c r="E758" s="92"/>
      <c r="F758" s="92"/>
      <c r="G758" s="92"/>
      <c r="H758" s="92"/>
      <c r="I758" s="92"/>
    </row>
    <row r="759" spans="1:10">
      <c r="A759" s="92"/>
      <c r="B759" s="92"/>
      <c r="C759" s="92"/>
      <c r="D759" s="92"/>
      <c r="E759" s="92"/>
      <c r="F759" s="92"/>
      <c r="G759" s="92"/>
      <c r="H759" s="92"/>
      <c r="I759" s="92"/>
      <c r="J759" s="92"/>
    </row>
    <row r="760" spans="1:10" ht="17">
      <c r="A760" s="731" t="s">
        <v>603</v>
      </c>
      <c r="B760" s="731"/>
      <c r="C760" s="731"/>
      <c r="D760" s="731"/>
      <c r="E760" s="92"/>
      <c r="F760" s="92"/>
      <c r="G760" s="92"/>
      <c r="H760" s="92"/>
      <c r="I760" s="92"/>
      <c r="J760" s="92"/>
    </row>
    <row r="761" spans="1:10">
      <c r="A761" s="92"/>
      <c r="B761" s="92"/>
      <c r="C761" s="92"/>
      <c r="D761" s="92"/>
      <c r="E761" s="92"/>
      <c r="F761" s="92"/>
      <c r="G761" s="92"/>
      <c r="H761" s="92"/>
      <c r="I761" s="92"/>
      <c r="J761" s="92"/>
    </row>
    <row r="762" spans="1:10">
      <c r="A762" s="92"/>
      <c r="B762" s="92"/>
      <c r="C762" s="92"/>
      <c r="D762" s="92"/>
      <c r="E762" s="92"/>
      <c r="F762" s="92"/>
      <c r="G762" s="92"/>
      <c r="H762" s="92"/>
      <c r="I762" s="92"/>
      <c r="J762" s="92"/>
    </row>
    <row r="763" spans="1:10">
      <c r="A763" s="218" t="s">
        <v>604</v>
      </c>
      <c r="B763" s="218" t="s">
        <v>2</v>
      </c>
      <c r="C763" s="218" t="s">
        <v>2</v>
      </c>
      <c r="D763" s="218" t="s">
        <v>2</v>
      </c>
      <c r="E763" s="218" t="s">
        <v>2</v>
      </c>
      <c r="F763" s="218" t="s">
        <v>2</v>
      </c>
      <c r="G763" s="218" t="s">
        <v>2</v>
      </c>
      <c r="H763" s="218" t="s">
        <v>2</v>
      </c>
      <c r="I763" s="218" t="s">
        <v>2</v>
      </c>
      <c r="J763" s="172"/>
    </row>
    <row r="764" spans="1:10">
      <c r="A764" s="410" t="s">
        <v>605</v>
      </c>
      <c r="B764" s="92" t="s">
        <v>606</v>
      </c>
      <c r="C764" s="92"/>
      <c r="D764" s="92"/>
      <c r="E764" s="92"/>
      <c r="F764" s="92"/>
      <c r="G764" s="92"/>
      <c r="H764" s="92"/>
      <c r="I764" s="92"/>
      <c r="J764" s="92"/>
    </row>
    <row r="765" spans="1:10">
      <c r="A765" s="410" t="s">
        <v>437</v>
      </c>
      <c r="B765" s="92" t="s">
        <v>607</v>
      </c>
      <c r="C765" s="92"/>
      <c r="D765" s="92"/>
      <c r="E765" s="92"/>
      <c r="F765" s="92"/>
      <c r="G765" s="92"/>
      <c r="H765" s="92"/>
      <c r="I765" s="92"/>
      <c r="J765" s="92"/>
    </row>
    <row r="766" spans="1:10">
      <c r="A766" s="410" t="s">
        <v>608</v>
      </c>
      <c r="B766" s="92" t="s">
        <v>609</v>
      </c>
      <c r="C766" s="92"/>
      <c r="D766" s="92"/>
      <c r="E766" s="92"/>
      <c r="F766" s="92"/>
      <c r="G766" s="92"/>
      <c r="H766" s="92"/>
      <c r="I766" s="92"/>
      <c r="J766" s="92"/>
    </row>
    <row r="767" spans="1:10">
      <c r="A767" s="171"/>
      <c r="B767" s="92"/>
      <c r="C767" s="92"/>
      <c r="D767" s="92"/>
      <c r="E767" s="92"/>
      <c r="F767" s="92"/>
      <c r="G767" s="92"/>
      <c r="H767" s="92"/>
      <c r="I767" s="92"/>
      <c r="J767" s="92"/>
    </row>
    <row r="768" spans="1:10">
      <c r="A768" s="92"/>
      <c r="B768" s="92"/>
      <c r="C768" s="92"/>
      <c r="D768" s="92"/>
      <c r="E768" s="92"/>
      <c r="F768" s="92"/>
      <c r="G768" s="92"/>
      <c r="H768" s="92"/>
      <c r="I768" s="92"/>
      <c r="J768" s="92"/>
    </row>
    <row r="769" spans="1:1021 1027:2047 2050:3071 3077:4091 4097:6141 6147:7167 7170:8191 8197:9211 9217:11261 11267:12287 12290:13311 13317:14331 14337:16381">
      <c r="A769" s="446" t="s">
        <v>615</v>
      </c>
      <c r="J769" s="172"/>
    </row>
    <row r="770" spans="1:1021 1027:2047 2050:3071 3077:4091 4097:6141 6147:7167 7170:8191 8197:9211 9217:11261 11267:12287 12290:13311 13317:14331 14337:16381">
      <c r="A770" s="448" t="s">
        <v>616</v>
      </c>
      <c r="J770" s="92"/>
    </row>
    <row r="771" spans="1:1021 1027:2047 2050:3071 3077:4091 4097:6141 6147:7167 7170:8191 8197:9211 9217:11261 11267:12287 12290:13311 13317:14331 14337:16381">
      <c r="J771" s="92"/>
    </row>
    <row r="772" spans="1:1021 1027:2047 2050:3071 3077:4091 4097:6141 6147:7167 7170:8191 8197:9211 9217:11261 11267:12287 12290:13311 13317:14331 14337:16381">
      <c r="A772" s="449" t="s">
        <v>610</v>
      </c>
      <c r="B772" s="449" t="s">
        <v>617</v>
      </c>
      <c r="C772" s="449" t="s">
        <v>618</v>
      </c>
      <c r="D772" s="449" t="s">
        <v>619</v>
      </c>
      <c r="E772" s="449" t="s">
        <v>620</v>
      </c>
      <c r="F772" s="449" t="s">
        <v>621</v>
      </c>
      <c r="G772" s="449" t="s">
        <v>622</v>
      </c>
      <c r="H772" s="449" t="s">
        <v>623</v>
      </c>
      <c r="J772" s="92"/>
    </row>
    <row r="773" spans="1:1021 1027:2047 2050:3071 3077:4091 4097:6141 6147:7167 7170:8191 8197:9211 9217:11261 11267:12287 12290:13311 13317:14331 14337:16381">
      <c r="A773" s="450" t="s">
        <v>613</v>
      </c>
      <c r="B773" s="450" t="s">
        <v>624</v>
      </c>
      <c r="C773" s="450" t="s">
        <v>625</v>
      </c>
      <c r="D773" s="450" t="s">
        <v>626</v>
      </c>
      <c r="E773" s="450" t="s">
        <v>627</v>
      </c>
      <c r="F773" s="450" t="s">
        <v>628</v>
      </c>
      <c r="G773" s="450" t="s">
        <v>629</v>
      </c>
      <c r="H773" s="452">
        <v>0.33</v>
      </c>
      <c r="J773" s="92"/>
    </row>
    <row r="774" spans="1:1021 1027:2047 2050:3071 3077:4091 4097:6141 6147:7167 7170:8191 8197:9211 9217:11261 11267:12287 12290:13311 13317:14331 14337:16381" s="174" customFormat="1">
      <c r="A774" s="448" t="s">
        <v>631</v>
      </c>
      <c r="B774" s="448" t="s">
        <v>632</v>
      </c>
      <c r="C774" s="448" t="s">
        <v>633</v>
      </c>
      <c r="D774" s="448" t="s">
        <v>634</v>
      </c>
      <c r="E774" s="448" t="s">
        <v>635</v>
      </c>
      <c r="F774" s="448" t="s">
        <v>636</v>
      </c>
      <c r="G774" s="448" t="s">
        <v>637</v>
      </c>
      <c r="H774" s="451">
        <v>0.08</v>
      </c>
      <c r="I774"/>
      <c r="J774" s="92"/>
      <c r="Q774" s="219"/>
      <c r="T774" s="92"/>
      <c r="U774" s="210"/>
      <c r="AA774" s="219"/>
      <c r="AD774" s="92"/>
      <c r="AE774" s="210"/>
      <c r="AK774" s="219"/>
      <c r="AN774" s="92"/>
      <c r="AO774" s="210"/>
      <c r="AU774" s="219"/>
      <c r="AX774" s="92"/>
      <c r="AY774" s="210"/>
      <c r="BE774" s="219"/>
      <c r="BH774" s="92"/>
      <c r="BI774" s="210"/>
      <c r="BO774" s="219"/>
      <c r="BR774" s="92"/>
      <c r="BS774" s="210"/>
      <c r="BY774" s="219"/>
      <c r="CB774" s="92"/>
      <c r="CC774" s="210"/>
      <c r="CI774" s="219"/>
      <c r="CL774" s="92"/>
      <c r="CM774" s="210"/>
      <c r="CS774" s="219"/>
      <c r="CV774" s="92"/>
      <c r="CW774" s="210"/>
      <c r="DC774" s="219"/>
      <c r="DF774" s="92"/>
      <c r="DG774" s="210"/>
      <c r="DM774" s="219"/>
      <c r="DP774" s="92"/>
      <c r="DQ774" s="210"/>
      <c r="DW774" s="219"/>
      <c r="DZ774" s="92"/>
      <c r="EA774" s="210"/>
      <c r="EG774" s="219"/>
      <c r="EJ774" s="92"/>
      <c r="EK774" s="210"/>
      <c r="EQ774" s="219"/>
      <c r="ET774" s="92"/>
      <c r="EU774" s="210"/>
      <c r="FA774" s="219"/>
      <c r="FD774" s="92"/>
      <c r="FE774" s="210"/>
      <c r="FK774" s="219"/>
      <c r="FN774" s="92"/>
      <c r="FO774" s="210"/>
      <c r="FU774" s="219"/>
      <c r="FX774" s="92"/>
      <c r="FY774" s="210"/>
      <c r="GE774" s="219"/>
      <c r="GH774" s="92"/>
      <c r="GI774" s="210"/>
      <c r="GO774" s="219"/>
      <c r="GR774" s="92"/>
      <c r="GS774" s="210"/>
      <c r="GY774" s="219"/>
      <c r="HB774" s="92"/>
      <c r="HC774" s="210"/>
      <c r="HI774" s="219"/>
      <c r="HL774" s="92"/>
      <c r="HM774" s="210"/>
      <c r="HS774" s="219"/>
      <c r="HV774" s="92"/>
      <c r="HW774" s="210"/>
      <c r="IC774" s="219"/>
      <c r="IF774" s="92"/>
      <c r="IG774" s="210"/>
      <c r="IM774" s="219"/>
      <c r="IP774" s="92"/>
      <c r="IQ774" s="210"/>
      <c r="IW774" s="219"/>
      <c r="IZ774" s="92"/>
      <c r="JA774" s="210"/>
      <c r="JG774" s="219"/>
      <c r="JJ774" s="92"/>
      <c r="JK774" s="210"/>
      <c r="JQ774" s="219"/>
      <c r="JT774" s="92"/>
      <c r="JU774" s="210"/>
      <c r="KA774" s="219"/>
      <c r="KD774" s="92"/>
      <c r="KE774" s="210"/>
      <c r="KK774" s="219"/>
      <c r="KN774" s="92"/>
      <c r="KO774" s="210"/>
      <c r="KU774" s="219"/>
      <c r="KX774" s="92"/>
      <c r="KY774" s="210"/>
      <c r="LE774" s="219"/>
      <c r="LH774" s="92"/>
      <c r="LI774" s="210"/>
      <c r="LO774" s="219"/>
      <c r="LR774" s="92"/>
      <c r="LS774" s="210"/>
      <c r="LY774" s="219"/>
      <c r="MB774" s="92"/>
      <c r="MC774" s="210"/>
      <c r="MI774" s="219"/>
      <c r="ML774" s="92"/>
      <c r="MM774" s="210"/>
      <c r="MS774" s="219"/>
      <c r="MV774" s="92"/>
      <c r="MW774" s="210"/>
      <c r="NC774" s="219"/>
      <c r="NF774" s="92"/>
      <c r="NG774" s="210"/>
      <c r="NM774" s="219"/>
      <c r="NP774" s="92"/>
      <c r="NQ774" s="210"/>
      <c r="NW774" s="219"/>
      <c r="NZ774" s="92"/>
      <c r="OA774" s="210"/>
      <c r="OG774" s="219"/>
      <c r="OJ774" s="92"/>
      <c r="OK774" s="210"/>
      <c r="OQ774" s="219"/>
      <c r="OT774" s="92"/>
      <c r="OU774" s="210"/>
      <c r="PA774" s="219"/>
      <c r="PD774" s="92"/>
      <c r="PE774" s="210"/>
      <c r="PK774" s="219"/>
      <c r="PN774" s="92"/>
      <c r="PO774" s="210"/>
      <c r="PU774" s="219"/>
      <c r="PX774" s="92"/>
      <c r="PY774" s="210"/>
      <c r="QE774" s="219"/>
      <c r="QH774" s="92"/>
      <c r="QI774" s="210"/>
      <c r="QO774" s="219"/>
      <c r="QR774" s="92"/>
      <c r="QS774" s="210"/>
      <c r="QY774" s="219"/>
      <c r="RB774" s="92"/>
      <c r="RC774" s="210"/>
      <c r="RI774" s="219"/>
      <c r="RL774" s="92"/>
      <c r="RM774" s="210"/>
      <c r="RS774" s="219"/>
      <c r="RV774" s="92"/>
      <c r="RW774" s="210"/>
      <c r="SC774" s="219"/>
      <c r="SF774" s="92"/>
      <c r="SG774" s="210"/>
      <c r="SM774" s="219"/>
      <c r="SP774" s="92"/>
      <c r="SQ774" s="210"/>
      <c r="SW774" s="219"/>
      <c r="SZ774" s="92"/>
      <c r="TA774" s="210"/>
      <c r="TG774" s="219"/>
      <c r="TJ774" s="92"/>
      <c r="TK774" s="210"/>
      <c r="TQ774" s="219"/>
      <c r="TT774" s="92"/>
      <c r="TU774" s="210"/>
      <c r="UA774" s="219"/>
      <c r="UD774" s="92"/>
      <c r="UE774" s="210"/>
      <c r="UK774" s="219"/>
      <c r="UN774" s="92"/>
      <c r="UO774" s="210"/>
      <c r="UU774" s="219"/>
      <c r="UX774" s="92"/>
      <c r="UY774" s="210"/>
      <c r="VE774" s="219"/>
      <c r="VH774" s="92"/>
      <c r="VI774" s="210"/>
      <c r="VO774" s="219"/>
      <c r="VR774" s="92"/>
      <c r="VS774" s="210"/>
      <c r="VY774" s="219"/>
      <c r="WB774" s="92"/>
      <c r="WC774" s="210"/>
      <c r="WI774" s="219"/>
      <c r="WL774" s="92"/>
      <c r="WM774" s="210"/>
      <c r="WS774" s="219"/>
      <c r="WV774" s="92"/>
      <c r="WW774" s="210"/>
      <c r="XC774" s="219"/>
      <c r="XF774" s="92"/>
      <c r="XG774" s="210"/>
      <c r="XM774" s="219"/>
      <c r="XP774" s="92"/>
      <c r="XQ774" s="210"/>
      <c r="XW774" s="219"/>
      <c r="XZ774" s="92"/>
      <c r="YA774" s="210"/>
      <c r="YG774" s="219"/>
      <c r="YJ774" s="92"/>
      <c r="YK774" s="210"/>
      <c r="YQ774" s="219"/>
      <c r="YT774" s="92"/>
      <c r="YU774" s="210"/>
      <c r="ZA774" s="219"/>
      <c r="ZD774" s="92"/>
      <c r="ZE774" s="210"/>
      <c r="ZK774" s="219"/>
      <c r="ZN774" s="92"/>
      <c r="ZO774" s="210"/>
      <c r="ZU774" s="219"/>
      <c r="ZX774" s="92"/>
      <c r="ZY774" s="210"/>
      <c r="AAE774" s="219"/>
      <c r="AAH774" s="92"/>
      <c r="AAI774" s="210"/>
      <c r="AAO774" s="219"/>
      <c r="AAR774" s="92"/>
      <c r="AAS774" s="210"/>
      <c r="AAY774" s="219"/>
      <c r="ABB774" s="92"/>
      <c r="ABC774" s="210"/>
      <c r="ABI774" s="219"/>
      <c r="ABL774" s="92"/>
      <c r="ABM774" s="210"/>
      <c r="ABS774" s="219"/>
      <c r="ABV774" s="92"/>
      <c r="ABW774" s="210"/>
      <c r="ACC774" s="219"/>
      <c r="ACF774" s="92"/>
      <c r="ACG774" s="210"/>
      <c r="ACM774" s="219"/>
      <c r="ACP774" s="92"/>
      <c r="ACQ774" s="210"/>
      <c r="ACW774" s="219"/>
      <c r="ACZ774" s="92"/>
      <c r="ADA774" s="210"/>
      <c r="ADG774" s="219"/>
      <c r="ADJ774" s="92"/>
      <c r="ADK774" s="210"/>
      <c r="ADQ774" s="219"/>
      <c r="ADT774" s="92"/>
      <c r="ADU774" s="210"/>
      <c r="AEA774" s="219"/>
      <c r="AED774" s="92"/>
      <c r="AEE774" s="210"/>
      <c r="AEK774" s="219"/>
      <c r="AEN774" s="92"/>
      <c r="AEO774" s="210"/>
      <c r="AEU774" s="219"/>
      <c r="AEX774" s="92"/>
      <c r="AEY774" s="210"/>
      <c r="AFE774" s="219"/>
      <c r="AFH774" s="92"/>
      <c r="AFI774" s="210"/>
      <c r="AFO774" s="219"/>
      <c r="AFR774" s="92"/>
      <c r="AFS774" s="210"/>
      <c r="AFY774" s="219"/>
      <c r="AGB774" s="92"/>
      <c r="AGC774" s="210"/>
      <c r="AGI774" s="219"/>
      <c r="AGL774" s="92"/>
      <c r="AGM774" s="210"/>
      <c r="AGS774" s="219"/>
      <c r="AGV774" s="92"/>
      <c r="AGW774" s="210"/>
      <c r="AHC774" s="219"/>
      <c r="AHF774" s="92"/>
      <c r="AHG774" s="210"/>
      <c r="AHM774" s="219"/>
      <c r="AHP774" s="92"/>
      <c r="AHQ774" s="210"/>
      <c r="AHW774" s="219"/>
      <c r="AHZ774" s="92"/>
      <c r="AIA774" s="210"/>
      <c r="AIG774" s="219"/>
      <c r="AIJ774" s="92"/>
      <c r="AIK774" s="210"/>
      <c r="AIQ774" s="219"/>
      <c r="AIT774" s="92"/>
      <c r="AIU774" s="210"/>
      <c r="AJA774" s="219"/>
      <c r="AJD774" s="92"/>
      <c r="AJE774" s="210"/>
      <c r="AJK774" s="219"/>
      <c r="AJN774" s="92"/>
      <c r="AJO774" s="210"/>
      <c r="AJU774" s="219"/>
      <c r="AJX774" s="92"/>
      <c r="AJY774" s="210"/>
      <c r="AKE774" s="219"/>
      <c r="AKH774" s="92"/>
      <c r="AKI774" s="210"/>
      <c r="AKO774" s="219"/>
      <c r="AKR774" s="92"/>
      <c r="AKS774" s="210"/>
      <c r="AKY774" s="219"/>
      <c r="ALB774" s="92"/>
      <c r="ALC774" s="210"/>
      <c r="ALI774" s="219"/>
      <c r="ALL774" s="92"/>
      <c r="ALM774" s="210"/>
      <c r="ALS774" s="219"/>
      <c r="ALV774" s="92"/>
      <c r="ALW774" s="210"/>
      <c r="AMC774" s="219"/>
      <c r="AMF774" s="92"/>
      <c r="AMG774" s="210"/>
      <c r="AMM774" s="219"/>
      <c r="AMP774" s="92"/>
      <c r="AMQ774" s="210"/>
      <c r="AMW774" s="219"/>
      <c r="AMZ774" s="92"/>
      <c r="ANA774" s="210"/>
      <c r="ANG774" s="219"/>
      <c r="ANJ774" s="92"/>
      <c r="ANK774" s="210"/>
      <c r="ANQ774" s="219"/>
      <c r="ANT774" s="92"/>
      <c r="ANU774" s="210"/>
      <c r="AOA774" s="219"/>
      <c r="AOD774" s="92"/>
      <c r="AOE774" s="210"/>
      <c r="AOK774" s="219"/>
      <c r="AON774" s="92"/>
      <c r="AOO774" s="210"/>
      <c r="AOU774" s="219"/>
      <c r="AOX774" s="92"/>
      <c r="AOY774" s="210"/>
      <c r="APE774" s="219"/>
      <c r="APH774" s="92"/>
      <c r="API774" s="210"/>
      <c r="APO774" s="219"/>
      <c r="APR774" s="92"/>
      <c r="APS774" s="210"/>
      <c r="APY774" s="219"/>
      <c r="AQB774" s="92"/>
      <c r="AQC774" s="210"/>
      <c r="AQI774" s="219"/>
      <c r="AQL774" s="92"/>
      <c r="AQM774" s="210"/>
      <c r="AQS774" s="219"/>
      <c r="AQV774" s="92"/>
      <c r="AQW774" s="210"/>
      <c r="ARC774" s="219"/>
      <c r="ARF774" s="92"/>
      <c r="ARG774" s="210"/>
      <c r="ARM774" s="219"/>
      <c r="ARP774" s="92"/>
      <c r="ARQ774" s="210"/>
      <c r="ARW774" s="219"/>
      <c r="ARZ774" s="92"/>
      <c r="ASA774" s="210"/>
      <c r="ASG774" s="219"/>
      <c r="ASJ774" s="92"/>
      <c r="ASK774" s="210"/>
      <c r="ASQ774" s="219"/>
      <c r="AST774" s="92"/>
      <c r="ASU774" s="210"/>
      <c r="ATA774" s="219"/>
      <c r="ATD774" s="92"/>
      <c r="ATE774" s="210"/>
      <c r="ATK774" s="219"/>
      <c r="ATN774" s="92"/>
      <c r="ATO774" s="210"/>
      <c r="ATU774" s="219"/>
      <c r="ATX774" s="92"/>
      <c r="ATY774" s="210"/>
      <c r="AUE774" s="219"/>
      <c r="AUH774" s="92"/>
      <c r="AUI774" s="210"/>
      <c r="AUO774" s="219"/>
      <c r="AUR774" s="92"/>
      <c r="AUS774" s="210"/>
      <c r="AUY774" s="219"/>
      <c r="AVB774" s="92"/>
      <c r="AVC774" s="210"/>
      <c r="AVI774" s="219"/>
      <c r="AVL774" s="92"/>
      <c r="AVM774" s="210"/>
      <c r="AVS774" s="219"/>
      <c r="AVV774" s="92"/>
      <c r="AVW774" s="210"/>
      <c r="AWC774" s="219"/>
      <c r="AWF774" s="92"/>
      <c r="AWG774" s="210"/>
      <c r="AWM774" s="219"/>
      <c r="AWP774" s="92"/>
      <c r="AWQ774" s="210"/>
      <c r="AWW774" s="219"/>
      <c r="AWZ774" s="92"/>
      <c r="AXA774" s="210"/>
      <c r="AXG774" s="219"/>
      <c r="AXJ774" s="92"/>
      <c r="AXK774" s="210"/>
      <c r="AXQ774" s="219"/>
      <c r="AXT774" s="92"/>
      <c r="AXU774" s="210"/>
      <c r="AYA774" s="219"/>
      <c r="AYD774" s="92"/>
      <c r="AYE774" s="210"/>
      <c r="AYK774" s="219"/>
      <c r="AYN774" s="92"/>
      <c r="AYO774" s="210"/>
      <c r="AYU774" s="219"/>
      <c r="AYX774" s="92"/>
      <c r="AYY774" s="210"/>
      <c r="AZE774" s="219"/>
      <c r="AZH774" s="92"/>
      <c r="AZI774" s="210"/>
      <c r="AZO774" s="219"/>
      <c r="AZR774" s="92"/>
      <c r="AZS774" s="210"/>
      <c r="AZY774" s="219"/>
      <c r="BAB774" s="92"/>
      <c r="BAC774" s="210"/>
      <c r="BAI774" s="219"/>
      <c r="BAL774" s="92"/>
      <c r="BAM774" s="210"/>
      <c r="BAS774" s="219"/>
      <c r="BAV774" s="92"/>
      <c r="BAW774" s="210"/>
      <c r="BBC774" s="219"/>
      <c r="BBF774" s="92"/>
      <c r="BBG774" s="210"/>
      <c r="BBM774" s="219"/>
      <c r="BBP774" s="92"/>
      <c r="BBQ774" s="210"/>
      <c r="BBW774" s="219"/>
      <c r="BBZ774" s="92"/>
      <c r="BCA774" s="210"/>
      <c r="BCG774" s="219"/>
      <c r="BCJ774" s="92"/>
      <c r="BCK774" s="210"/>
      <c r="BCQ774" s="219"/>
      <c r="BCT774" s="92"/>
      <c r="BCU774" s="210"/>
      <c r="BDA774" s="219"/>
      <c r="BDD774" s="92"/>
      <c r="BDE774" s="210"/>
      <c r="BDK774" s="219"/>
      <c r="BDN774" s="92"/>
      <c r="BDO774" s="210"/>
      <c r="BDU774" s="219"/>
      <c r="BDX774" s="92"/>
      <c r="BDY774" s="210"/>
      <c r="BEE774" s="219"/>
      <c r="BEH774" s="92"/>
      <c r="BEI774" s="210"/>
      <c r="BEO774" s="219"/>
      <c r="BER774" s="92"/>
      <c r="BES774" s="210"/>
      <c r="BEY774" s="219"/>
      <c r="BFB774" s="92"/>
      <c r="BFC774" s="210"/>
      <c r="BFI774" s="219"/>
      <c r="BFL774" s="92"/>
      <c r="BFM774" s="210"/>
      <c r="BFS774" s="219"/>
      <c r="BFV774" s="92"/>
      <c r="BFW774" s="210"/>
      <c r="BGC774" s="219"/>
      <c r="BGF774" s="92"/>
      <c r="BGG774" s="210"/>
      <c r="BGM774" s="219"/>
      <c r="BGP774" s="92"/>
      <c r="BGQ774" s="210"/>
      <c r="BGW774" s="219"/>
      <c r="BGZ774" s="92"/>
      <c r="BHA774" s="210"/>
      <c r="BHG774" s="219"/>
      <c r="BHJ774" s="92"/>
      <c r="BHK774" s="210"/>
      <c r="BHQ774" s="219"/>
      <c r="BHT774" s="92"/>
      <c r="BHU774" s="210"/>
      <c r="BIA774" s="219"/>
      <c r="BID774" s="92"/>
      <c r="BIE774" s="210"/>
      <c r="BIK774" s="219"/>
      <c r="BIN774" s="92"/>
      <c r="BIO774" s="210"/>
      <c r="BIU774" s="219"/>
      <c r="BIX774" s="92"/>
      <c r="BIY774" s="210"/>
      <c r="BJE774" s="219"/>
      <c r="BJH774" s="92"/>
      <c r="BJI774" s="210"/>
      <c r="BJO774" s="219"/>
      <c r="BJR774" s="92"/>
      <c r="BJS774" s="210"/>
      <c r="BJY774" s="219"/>
      <c r="BKB774" s="92"/>
      <c r="BKC774" s="210"/>
      <c r="BKI774" s="219"/>
      <c r="BKL774" s="92"/>
      <c r="BKM774" s="210"/>
      <c r="BKS774" s="219"/>
      <c r="BKV774" s="92"/>
      <c r="BKW774" s="210"/>
      <c r="BLC774" s="219"/>
      <c r="BLF774" s="92"/>
      <c r="BLG774" s="210"/>
      <c r="BLM774" s="219"/>
      <c r="BLP774" s="92"/>
      <c r="BLQ774" s="210"/>
      <c r="BLW774" s="219"/>
      <c r="BLZ774" s="92"/>
      <c r="BMA774" s="210"/>
      <c r="BMG774" s="219"/>
      <c r="BMJ774" s="92"/>
      <c r="BMK774" s="210"/>
      <c r="BMQ774" s="219"/>
      <c r="BMT774" s="92"/>
      <c r="BMU774" s="210"/>
      <c r="BNA774" s="219"/>
      <c r="BND774" s="92"/>
      <c r="BNE774" s="210"/>
      <c r="BNK774" s="219"/>
      <c r="BNN774" s="92"/>
      <c r="BNO774" s="210"/>
      <c r="BNU774" s="219"/>
      <c r="BNX774" s="92"/>
      <c r="BNY774" s="210"/>
      <c r="BOE774" s="219"/>
      <c r="BOH774" s="92"/>
      <c r="BOI774" s="210"/>
      <c r="BOO774" s="219"/>
      <c r="BOR774" s="92"/>
      <c r="BOS774" s="210"/>
      <c r="BOY774" s="219"/>
      <c r="BPB774" s="92"/>
      <c r="BPC774" s="210"/>
      <c r="BPI774" s="219"/>
      <c r="BPL774" s="92"/>
      <c r="BPM774" s="210"/>
      <c r="BPS774" s="219"/>
      <c r="BPV774" s="92"/>
      <c r="BPW774" s="210"/>
      <c r="BQC774" s="219"/>
      <c r="BQF774" s="92"/>
      <c r="BQG774" s="210"/>
      <c r="BQM774" s="219"/>
      <c r="BQP774" s="92"/>
      <c r="BQQ774" s="210"/>
      <c r="BQW774" s="219"/>
      <c r="BQZ774" s="92"/>
      <c r="BRA774" s="210"/>
      <c r="BRG774" s="219"/>
      <c r="BRJ774" s="92"/>
      <c r="BRK774" s="210"/>
      <c r="BRQ774" s="219"/>
      <c r="BRT774" s="92"/>
      <c r="BRU774" s="210"/>
      <c r="BSA774" s="219"/>
      <c r="BSD774" s="92"/>
      <c r="BSE774" s="210"/>
      <c r="BSK774" s="219"/>
      <c r="BSN774" s="92"/>
      <c r="BSO774" s="210"/>
      <c r="BSU774" s="219"/>
      <c r="BSX774" s="92"/>
      <c r="BSY774" s="210"/>
      <c r="BTE774" s="219"/>
      <c r="BTH774" s="92"/>
      <c r="BTI774" s="210"/>
      <c r="BTO774" s="219"/>
      <c r="BTR774" s="92"/>
      <c r="BTS774" s="210"/>
      <c r="BTY774" s="219"/>
      <c r="BUB774" s="92"/>
      <c r="BUC774" s="210"/>
      <c r="BUI774" s="219"/>
      <c r="BUL774" s="92"/>
      <c r="BUM774" s="210"/>
      <c r="BUS774" s="219"/>
      <c r="BUV774" s="92"/>
      <c r="BUW774" s="210"/>
      <c r="BVC774" s="219"/>
      <c r="BVF774" s="92"/>
      <c r="BVG774" s="210"/>
      <c r="BVM774" s="219"/>
      <c r="BVP774" s="92"/>
      <c r="BVQ774" s="210"/>
      <c r="BVW774" s="219"/>
      <c r="BVZ774" s="92"/>
      <c r="BWA774" s="210"/>
      <c r="BWG774" s="219"/>
      <c r="BWJ774" s="92"/>
      <c r="BWK774" s="210"/>
      <c r="BWQ774" s="219"/>
      <c r="BWT774" s="92"/>
      <c r="BWU774" s="210"/>
      <c r="BXA774" s="219"/>
      <c r="BXD774" s="92"/>
      <c r="BXE774" s="210"/>
      <c r="BXK774" s="219"/>
      <c r="BXN774" s="92"/>
      <c r="BXO774" s="210"/>
      <c r="BXU774" s="219"/>
      <c r="BXX774" s="92"/>
      <c r="BXY774" s="210"/>
      <c r="BYE774" s="219"/>
      <c r="BYH774" s="92"/>
      <c r="BYI774" s="210"/>
      <c r="BYO774" s="219"/>
      <c r="BYR774" s="92"/>
      <c r="BYS774" s="210"/>
      <c r="BYY774" s="219"/>
      <c r="BZB774" s="92"/>
      <c r="BZC774" s="210"/>
      <c r="BZI774" s="219"/>
      <c r="BZL774" s="92"/>
      <c r="BZM774" s="210"/>
      <c r="BZS774" s="219"/>
      <c r="BZV774" s="92"/>
      <c r="BZW774" s="210"/>
      <c r="CAC774" s="219"/>
      <c r="CAF774" s="92"/>
      <c r="CAG774" s="210"/>
      <c r="CAM774" s="219"/>
      <c r="CAP774" s="92"/>
      <c r="CAQ774" s="210"/>
      <c r="CAW774" s="219"/>
      <c r="CAZ774" s="92"/>
      <c r="CBA774" s="210"/>
      <c r="CBG774" s="219"/>
      <c r="CBJ774" s="92"/>
      <c r="CBK774" s="210"/>
      <c r="CBQ774" s="219"/>
      <c r="CBT774" s="92"/>
      <c r="CBU774" s="210"/>
      <c r="CCA774" s="219"/>
      <c r="CCD774" s="92"/>
      <c r="CCE774" s="210"/>
      <c r="CCK774" s="219"/>
      <c r="CCN774" s="92"/>
      <c r="CCO774" s="210"/>
      <c r="CCU774" s="219"/>
      <c r="CCX774" s="92"/>
      <c r="CCY774" s="210"/>
      <c r="CDE774" s="219"/>
      <c r="CDH774" s="92"/>
      <c r="CDI774" s="210"/>
      <c r="CDO774" s="219"/>
      <c r="CDR774" s="92"/>
      <c r="CDS774" s="210"/>
      <c r="CDY774" s="219"/>
      <c r="CEB774" s="92"/>
      <c r="CEC774" s="210"/>
      <c r="CEI774" s="219"/>
      <c r="CEL774" s="92"/>
      <c r="CEM774" s="210"/>
      <c r="CES774" s="219"/>
      <c r="CEV774" s="92"/>
      <c r="CEW774" s="210"/>
      <c r="CFC774" s="219"/>
      <c r="CFF774" s="92"/>
      <c r="CFG774" s="210"/>
      <c r="CFM774" s="219"/>
      <c r="CFP774" s="92"/>
      <c r="CFQ774" s="210"/>
      <c r="CFW774" s="219"/>
      <c r="CFZ774" s="92"/>
      <c r="CGA774" s="210"/>
      <c r="CGG774" s="219"/>
      <c r="CGJ774" s="92"/>
      <c r="CGK774" s="210"/>
      <c r="CGQ774" s="219"/>
      <c r="CGT774" s="92"/>
      <c r="CGU774" s="210"/>
      <c r="CHA774" s="219"/>
      <c r="CHD774" s="92"/>
      <c r="CHE774" s="210"/>
      <c r="CHK774" s="219"/>
      <c r="CHN774" s="92"/>
      <c r="CHO774" s="210"/>
      <c r="CHU774" s="219"/>
      <c r="CHX774" s="92"/>
      <c r="CHY774" s="210"/>
      <c r="CIE774" s="219"/>
      <c r="CIH774" s="92"/>
      <c r="CII774" s="210"/>
      <c r="CIO774" s="219"/>
      <c r="CIR774" s="92"/>
      <c r="CIS774" s="210"/>
      <c r="CIY774" s="219"/>
      <c r="CJB774" s="92"/>
      <c r="CJC774" s="210"/>
      <c r="CJI774" s="219"/>
      <c r="CJL774" s="92"/>
      <c r="CJM774" s="210"/>
      <c r="CJS774" s="219"/>
      <c r="CJV774" s="92"/>
      <c r="CJW774" s="210"/>
      <c r="CKC774" s="219"/>
      <c r="CKF774" s="92"/>
      <c r="CKG774" s="210"/>
      <c r="CKM774" s="219"/>
      <c r="CKP774" s="92"/>
      <c r="CKQ774" s="210"/>
      <c r="CKW774" s="219"/>
      <c r="CKZ774" s="92"/>
      <c r="CLA774" s="210"/>
      <c r="CLG774" s="219"/>
      <c r="CLJ774" s="92"/>
      <c r="CLK774" s="210"/>
      <c r="CLQ774" s="219"/>
      <c r="CLT774" s="92"/>
      <c r="CLU774" s="210"/>
      <c r="CMA774" s="219"/>
      <c r="CMD774" s="92"/>
      <c r="CME774" s="210"/>
      <c r="CMK774" s="219"/>
      <c r="CMN774" s="92"/>
      <c r="CMO774" s="210"/>
      <c r="CMU774" s="219"/>
      <c r="CMX774" s="92"/>
      <c r="CMY774" s="210"/>
      <c r="CNE774" s="219"/>
      <c r="CNH774" s="92"/>
      <c r="CNI774" s="210"/>
      <c r="CNO774" s="219"/>
      <c r="CNR774" s="92"/>
      <c r="CNS774" s="210"/>
      <c r="CNY774" s="219"/>
      <c r="COB774" s="92"/>
      <c r="COC774" s="210"/>
      <c r="COI774" s="219"/>
      <c r="COL774" s="92"/>
      <c r="COM774" s="210"/>
      <c r="COS774" s="219"/>
      <c r="COV774" s="92"/>
      <c r="COW774" s="210"/>
      <c r="CPC774" s="219"/>
      <c r="CPF774" s="92"/>
      <c r="CPG774" s="210"/>
      <c r="CPM774" s="219"/>
      <c r="CPP774" s="92"/>
      <c r="CPQ774" s="210"/>
      <c r="CPW774" s="219"/>
      <c r="CPZ774" s="92"/>
      <c r="CQA774" s="210"/>
      <c r="CQG774" s="219"/>
      <c r="CQJ774" s="92"/>
      <c r="CQK774" s="210"/>
      <c r="CQQ774" s="219"/>
      <c r="CQT774" s="92"/>
      <c r="CQU774" s="210"/>
      <c r="CRA774" s="219"/>
      <c r="CRD774" s="92"/>
      <c r="CRE774" s="210"/>
      <c r="CRK774" s="219"/>
      <c r="CRN774" s="92"/>
      <c r="CRO774" s="210"/>
      <c r="CRU774" s="219"/>
      <c r="CRX774" s="92"/>
      <c r="CRY774" s="210"/>
      <c r="CSE774" s="219"/>
      <c r="CSH774" s="92"/>
      <c r="CSI774" s="210"/>
      <c r="CSO774" s="219"/>
      <c r="CSR774" s="92"/>
      <c r="CSS774" s="210"/>
      <c r="CSY774" s="219"/>
      <c r="CTB774" s="92"/>
      <c r="CTC774" s="210"/>
      <c r="CTI774" s="219"/>
      <c r="CTL774" s="92"/>
      <c r="CTM774" s="210"/>
      <c r="CTS774" s="219"/>
      <c r="CTV774" s="92"/>
      <c r="CTW774" s="210"/>
      <c r="CUC774" s="219"/>
      <c r="CUF774" s="92"/>
      <c r="CUG774" s="210"/>
      <c r="CUM774" s="219"/>
      <c r="CUP774" s="92"/>
      <c r="CUQ774" s="210"/>
      <c r="CUW774" s="219"/>
      <c r="CUZ774" s="92"/>
      <c r="CVA774" s="210"/>
      <c r="CVG774" s="219"/>
      <c r="CVJ774" s="92"/>
      <c r="CVK774" s="210"/>
      <c r="CVQ774" s="219"/>
      <c r="CVT774" s="92"/>
      <c r="CVU774" s="210"/>
      <c r="CWA774" s="219"/>
      <c r="CWD774" s="92"/>
      <c r="CWE774" s="210"/>
      <c r="CWK774" s="219"/>
      <c r="CWN774" s="92"/>
      <c r="CWO774" s="210"/>
      <c r="CWU774" s="219"/>
      <c r="CWX774" s="92"/>
      <c r="CWY774" s="210"/>
      <c r="CXE774" s="219"/>
      <c r="CXH774" s="92"/>
      <c r="CXI774" s="210"/>
      <c r="CXO774" s="219"/>
      <c r="CXR774" s="92"/>
      <c r="CXS774" s="210"/>
      <c r="CXY774" s="219"/>
      <c r="CYB774" s="92"/>
      <c r="CYC774" s="210"/>
      <c r="CYI774" s="219"/>
      <c r="CYL774" s="92"/>
      <c r="CYM774" s="210"/>
      <c r="CYS774" s="219"/>
      <c r="CYV774" s="92"/>
      <c r="CYW774" s="210"/>
      <c r="CZC774" s="219"/>
      <c r="CZF774" s="92"/>
      <c r="CZG774" s="210"/>
      <c r="CZM774" s="219"/>
      <c r="CZP774" s="92"/>
      <c r="CZQ774" s="210"/>
      <c r="CZW774" s="219"/>
      <c r="CZZ774" s="92"/>
      <c r="DAA774" s="210"/>
      <c r="DAG774" s="219"/>
      <c r="DAJ774" s="92"/>
      <c r="DAK774" s="210"/>
      <c r="DAQ774" s="219"/>
      <c r="DAT774" s="92"/>
      <c r="DAU774" s="210"/>
      <c r="DBA774" s="219"/>
      <c r="DBD774" s="92"/>
      <c r="DBE774" s="210"/>
      <c r="DBK774" s="219"/>
      <c r="DBN774" s="92"/>
      <c r="DBO774" s="210"/>
      <c r="DBU774" s="219"/>
      <c r="DBX774" s="92"/>
      <c r="DBY774" s="210"/>
      <c r="DCE774" s="219"/>
      <c r="DCH774" s="92"/>
      <c r="DCI774" s="210"/>
      <c r="DCO774" s="219"/>
      <c r="DCR774" s="92"/>
      <c r="DCS774" s="210"/>
      <c r="DCY774" s="219"/>
      <c r="DDB774" s="92"/>
      <c r="DDC774" s="210"/>
      <c r="DDI774" s="219"/>
      <c r="DDL774" s="92"/>
      <c r="DDM774" s="210"/>
      <c r="DDS774" s="219"/>
      <c r="DDV774" s="92"/>
      <c r="DDW774" s="210"/>
      <c r="DEC774" s="219"/>
      <c r="DEF774" s="92"/>
      <c r="DEG774" s="210"/>
      <c r="DEM774" s="219"/>
      <c r="DEP774" s="92"/>
      <c r="DEQ774" s="210"/>
      <c r="DEW774" s="219"/>
      <c r="DEZ774" s="92"/>
      <c r="DFA774" s="210"/>
      <c r="DFG774" s="219"/>
      <c r="DFJ774" s="92"/>
      <c r="DFK774" s="210"/>
      <c r="DFQ774" s="219"/>
      <c r="DFT774" s="92"/>
      <c r="DFU774" s="210"/>
      <c r="DGA774" s="219"/>
      <c r="DGD774" s="92"/>
      <c r="DGE774" s="210"/>
      <c r="DGK774" s="219"/>
      <c r="DGN774" s="92"/>
      <c r="DGO774" s="210"/>
      <c r="DGU774" s="219"/>
      <c r="DGX774" s="92"/>
      <c r="DGY774" s="210"/>
      <c r="DHE774" s="219"/>
      <c r="DHH774" s="92"/>
      <c r="DHI774" s="210"/>
      <c r="DHO774" s="219"/>
      <c r="DHR774" s="92"/>
      <c r="DHS774" s="210"/>
      <c r="DHY774" s="219"/>
      <c r="DIB774" s="92"/>
      <c r="DIC774" s="210"/>
      <c r="DII774" s="219"/>
      <c r="DIL774" s="92"/>
      <c r="DIM774" s="210"/>
      <c r="DIS774" s="219"/>
      <c r="DIV774" s="92"/>
      <c r="DIW774" s="210"/>
      <c r="DJC774" s="219"/>
      <c r="DJF774" s="92"/>
      <c r="DJG774" s="210"/>
      <c r="DJM774" s="219"/>
      <c r="DJP774" s="92"/>
      <c r="DJQ774" s="210"/>
      <c r="DJW774" s="219"/>
      <c r="DJZ774" s="92"/>
      <c r="DKA774" s="210"/>
      <c r="DKG774" s="219"/>
      <c r="DKJ774" s="92"/>
      <c r="DKK774" s="210"/>
      <c r="DKQ774" s="219"/>
      <c r="DKT774" s="92"/>
      <c r="DKU774" s="210"/>
      <c r="DLA774" s="219"/>
      <c r="DLD774" s="92"/>
      <c r="DLE774" s="210"/>
      <c r="DLK774" s="219"/>
      <c r="DLN774" s="92"/>
      <c r="DLO774" s="210"/>
      <c r="DLU774" s="219"/>
      <c r="DLX774" s="92"/>
      <c r="DLY774" s="210"/>
      <c r="DME774" s="219"/>
      <c r="DMH774" s="92"/>
      <c r="DMI774" s="210"/>
      <c r="DMO774" s="219"/>
      <c r="DMR774" s="92"/>
      <c r="DMS774" s="210"/>
      <c r="DMY774" s="219"/>
      <c r="DNB774" s="92"/>
      <c r="DNC774" s="210"/>
      <c r="DNI774" s="219"/>
      <c r="DNL774" s="92"/>
      <c r="DNM774" s="210"/>
      <c r="DNS774" s="219"/>
      <c r="DNV774" s="92"/>
      <c r="DNW774" s="210"/>
      <c r="DOC774" s="219"/>
      <c r="DOF774" s="92"/>
      <c r="DOG774" s="210"/>
      <c r="DOM774" s="219"/>
      <c r="DOP774" s="92"/>
      <c r="DOQ774" s="210"/>
      <c r="DOW774" s="219"/>
      <c r="DOZ774" s="92"/>
      <c r="DPA774" s="210"/>
      <c r="DPG774" s="219"/>
      <c r="DPJ774" s="92"/>
      <c r="DPK774" s="210"/>
      <c r="DPQ774" s="219"/>
      <c r="DPT774" s="92"/>
      <c r="DPU774" s="210"/>
      <c r="DQA774" s="219"/>
      <c r="DQD774" s="92"/>
      <c r="DQE774" s="210"/>
      <c r="DQK774" s="219"/>
      <c r="DQN774" s="92"/>
      <c r="DQO774" s="210"/>
      <c r="DQU774" s="219"/>
      <c r="DQX774" s="92"/>
      <c r="DQY774" s="210"/>
      <c r="DRE774" s="219"/>
      <c r="DRH774" s="92"/>
      <c r="DRI774" s="210"/>
      <c r="DRO774" s="219"/>
      <c r="DRR774" s="92"/>
      <c r="DRS774" s="210"/>
      <c r="DRY774" s="219"/>
      <c r="DSB774" s="92"/>
      <c r="DSC774" s="210"/>
      <c r="DSI774" s="219"/>
      <c r="DSL774" s="92"/>
      <c r="DSM774" s="210"/>
      <c r="DSS774" s="219"/>
      <c r="DSV774" s="92"/>
      <c r="DSW774" s="210"/>
      <c r="DTC774" s="219"/>
      <c r="DTF774" s="92"/>
      <c r="DTG774" s="210"/>
      <c r="DTM774" s="219"/>
      <c r="DTP774" s="92"/>
      <c r="DTQ774" s="210"/>
      <c r="DTW774" s="219"/>
      <c r="DTZ774" s="92"/>
      <c r="DUA774" s="210"/>
      <c r="DUG774" s="219"/>
      <c r="DUJ774" s="92"/>
      <c r="DUK774" s="210"/>
      <c r="DUQ774" s="219"/>
      <c r="DUT774" s="92"/>
      <c r="DUU774" s="210"/>
      <c r="DVA774" s="219"/>
      <c r="DVD774" s="92"/>
      <c r="DVE774" s="210"/>
      <c r="DVK774" s="219"/>
      <c r="DVN774" s="92"/>
      <c r="DVO774" s="210"/>
      <c r="DVU774" s="219"/>
      <c r="DVX774" s="92"/>
      <c r="DVY774" s="210"/>
      <c r="DWE774" s="219"/>
      <c r="DWH774" s="92"/>
      <c r="DWI774" s="210"/>
      <c r="DWO774" s="219"/>
      <c r="DWR774" s="92"/>
      <c r="DWS774" s="210"/>
      <c r="DWY774" s="219"/>
      <c r="DXB774" s="92"/>
      <c r="DXC774" s="210"/>
      <c r="DXI774" s="219"/>
      <c r="DXL774" s="92"/>
      <c r="DXM774" s="210"/>
      <c r="DXS774" s="219"/>
      <c r="DXV774" s="92"/>
      <c r="DXW774" s="210"/>
      <c r="DYC774" s="219"/>
      <c r="DYF774" s="92"/>
      <c r="DYG774" s="210"/>
      <c r="DYM774" s="219"/>
      <c r="DYP774" s="92"/>
      <c r="DYQ774" s="210"/>
      <c r="DYW774" s="219"/>
      <c r="DYZ774" s="92"/>
      <c r="DZA774" s="210"/>
      <c r="DZG774" s="219"/>
      <c r="DZJ774" s="92"/>
      <c r="DZK774" s="210"/>
      <c r="DZQ774" s="219"/>
      <c r="DZT774" s="92"/>
      <c r="DZU774" s="210"/>
      <c r="EAA774" s="219"/>
      <c r="EAD774" s="92"/>
      <c r="EAE774" s="210"/>
      <c r="EAK774" s="219"/>
      <c r="EAN774" s="92"/>
      <c r="EAO774" s="210"/>
      <c r="EAU774" s="219"/>
      <c r="EAX774" s="92"/>
      <c r="EAY774" s="210"/>
      <c r="EBE774" s="219"/>
      <c r="EBH774" s="92"/>
      <c r="EBI774" s="210"/>
      <c r="EBO774" s="219"/>
      <c r="EBR774" s="92"/>
      <c r="EBS774" s="210"/>
      <c r="EBY774" s="219"/>
      <c r="ECB774" s="92"/>
      <c r="ECC774" s="210"/>
      <c r="ECI774" s="219"/>
      <c r="ECL774" s="92"/>
      <c r="ECM774" s="210"/>
      <c r="ECS774" s="219"/>
      <c r="ECV774" s="92"/>
      <c r="ECW774" s="210"/>
      <c r="EDC774" s="219"/>
      <c r="EDF774" s="92"/>
      <c r="EDG774" s="210"/>
      <c r="EDM774" s="219"/>
      <c r="EDP774" s="92"/>
      <c r="EDQ774" s="210"/>
      <c r="EDW774" s="219"/>
      <c r="EDZ774" s="92"/>
      <c r="EEA774" s="210"/>
      <c r="EEG774" s="219"/>
      <c r="EEJ774" s="92"/>
      <c r="EEK774" s="210"/>
      <c r="EEQ774" s="219"/>
      <c r="EET774" s="92"/>
      <c r="EEU774" s="210"/>
      <c r="EFA774" s="219"/>
      <c r="EFD774" s="92"/>
      <c r="EFE774" s="210"/>
      <c r="EFK774" s="219"/>
      <c r="EFN774" s="92"/>
      <c r="EFO774" s="210"/>
      <c r="EFU774" s="219"/>
      <c r="EFX774" s="92"/>
      <c r="EFY774" s="210"/>
      <c r="EGE774" s="219"/>
      <c r="EGH774" s="92"/>
      <c r="EGI774" s="210"/>
      <c r="EGO774" s="219"/>
      <c r="EGR774" s="92"/>
      <c r="EGS774" s="210"/>
      <c r="EGY774" s="219"/>
      <c r="EHB774" s="92"/>
      <c r="EHC774" s="210"/>
      <c r="EHI774" s="219"/>
      <c r="EHL774" s="92"/>
      <c r="EHM774" s="210"/>
      <c r="EHS774" s="219"/>
      <c r="EHV774" s="92"/>
      <c r="EHW774" s="210"/>
      <c r="EIC774" s="219"/>
      <c r="EIF774" s="92"/>
      <c r="EIG774" s="210"/>
      <c r="EIM774" s="219"/>
      <c r="EIP774" s="92"/>
      <c r="EIQ774" s="210"/>
      <c r="EIW774" s="219"/>
      <c r="EIZ774" s="92"/>
      <c r="EJA774" s="210"/>
      <c r="EJG774" s="219"/>
      <c r="EJJ774" s="92"/>
      <c r="EJK774" s="210"/>
      <c r="EJQ774" s="219"/>
      <c r="EJT774" s="92"/>
      <c r="EJU774" s="210"/>
      <c r="EKA774" s="219"/>
      <c r="EKD774" s="92"/>
      <c r="EKE774" s="210"/>
      <c r="EKK774" s="219"/>
      <c r="EKN774" s="92"/>
      <c r="EKO774" s="210"/>
      <c r="EKU774" s="219"/>
      <c r="EKX774" s="92"/>
      <c r="EKY774" s="210"/>
      <c r="ELE774" s="219"/>
      <c r="ELH774" s="92"/>
      <c r="ELI774" s="210"/>
      <c r="ELO774" s="219"/>
      <c r="ELR774" s="92"/>
      <c r="ELS774" s="210"/>
      <c r="ELY774" s="219"/>
      <c r="EMB774" s="92"/>
      <c r="EMC774" s="210"/>
      <c r="EMI774" s="219"/>
      <c r="EML774" s="92"/>
      <c r="EMM774" s="210"/>
      <c r="EMS774" s="219"/>
      <c r="EMV774" s="92"/>
      <c r="EMW774" s="210"/>
      <c r="ENC774" s="219"/>
      <c r="ENF774" s="92"/>
      <c r="ENG774" s="210"/>
      <c r="ENM774" s="219"/>
      <c r="ENP774" s="92"/>
      <c r="ENQ774" s="210"/>
      <c r="ENW774" s="219"/>
      <c r="ENZ774" s="92"/>
      <c r="EOA774" s="210"/>
      <c r="EOG774" s="219"/>
      <c r="EOJ774" s="92"/>
      <c r="EOK774" s="210"/>
      <c r="EOQ774" s="219"/>
      <c r="EOT774" s="92"/>
      <c r="EOU774" s="210"/>
      <c r="EPA774" s="219"/>
      <c r="EPD774" s="92"/>
      <c r="EPE774" s="210"/>
      <c r="EPK774" s="219"/>
      <c r="EPN774" s="92"/>
      <c r="EPO774" s="210"/>
      <c r="EPU774" s="219"/>
      <c r="EPX774" s="92"/>
      <c r="EPY774" s="210"/>
      <c r="EQE774" s="219"/>
      <c r="EQH774" s="92"/>
      <c r="EQI774" s="210"/>
      <c r="EQO774" s="219"/>
      <c r="EQR774" s="92"/>
      <c r="EQS774" s="210"/>
      <c r="EQY774" s="219"/>
      <c r="ERB774" s="92"/>
      <c r="ERC774" s="210"/>
      <c r="ERI774" s="219"/>
      <c r="ERL774" s="92"/>
      <c r="ERM774" s="210"/>
      <c r="ERS774" s="219"/>
      <c r="ERV774" s="92"/>
      <c r="ERW774" s="210"/>
      <c r="ESC774" s="219"/>
      <c r="ESF774" s="92"/>
      <c r="ESG774" s="210"/>
      <c r="ESM774" s="219"/>
      <c r="ESP774" s="92"/>
      <c r="ESQ774" s="210"/>
      <c r="ESW774" s="219"/>
      <c r="ESZ774" s="92"/>
      <c r="ETA774" s="210"/>
      <c r="ETG774" s="219"/>
      <c r="ETJ774" s="92"/>
      <c r="ETK774" s="210"/>
      <c r="ETQ774" s="219"/>
      <c r="ETT774" s="92"/>
      <c r="ETU774" s="210"/>
      <c r="EUA774" s="219"/>
      <c r="EUD774" s="92"/>
      <c r="EUE774" s="210"/>
      <c r="EUK774" s="219"/>
      <c r="EUN774" s="92"/>
      <c r="EUO774" s="210"/>
      <c r="EUU774" s="219"/>
      <c r="EUX774" s="92"/>
      <c r="EUY774" s="210"/>
      <c r="EVE774" s="219"/>
      <c r="EVH774" s="92"/>
      <c r="EVI774" s="210"/>
      <c r="EVO774" s="219"/>
      <c r="EVR774" s="92"/>
      <c r="EVS774" s="210"/>
      <c r="EVY774" s="219"/>
      <c r="EWB774" s="92"/>
      <c r="EWC774" s="210"/>
      <c r="EWI774" s="219"/>
      <c r="EWL774" s="92"/>
      <c r="EWM774" s="210"/>
      <c r="EWS774" s="219"/>
      <c r="EWV774" s="92"/>
      <c r="EWW774" s="210"/>
      <c r="EXC774" s="219"/>
      <c r="EXF774" s="92"/>
      <c r="EXG774" s="210"/>
      <c r="EXM774" s="219"/>
      <c r="EXP774" s="92"/>
      <c r="EXQ774" s="210"/>
      <c r="EXW774" s="219"/>
      <c r="EXZ774" s="92"/>
      <c r="EYA774" s="210"/>
      <c r="EYG774" s="219"/>
      <c r="EYJ774" s="92"/>
      <c r="EYK774" s="210"/>
      <c r="EYQ774" s="219"/>
      <c r="EYT774" s="92"/>
      <c r="EYU774" s="210"/>
      <c r="EZA774" s="219"/>
      <c r="EZD774" s="92"/>
      <c r="EZE774" s="210"/>
      <c r="EZK774" s="219"/>
      <c r="EZN774" s="92"/>
      <c r="EZO774" s="210"/>
      <c r="EZU774" s="219"/>
      <c r="EZX774" s="92"/>
      <c r="EZY774" s="210"/>
      <c r="FAE774" s="219"/>
      <c r="FAH774" s="92"/>
      <c r="FAI774" s="210"/>
      <c r="FAO774" s="219"/>
      <c r="FAR774" s="92"/>
      <c r="FAS774" s="210"/>
      <c r="FAY774" s="219"/>
      <c r="FBB774" s="92"/>
      <c r="FBC774" s="210"/>
      <c r="FBI774" s="219"/>
      <c r="FBL774" s="92"/>
      <c r="FBM774" s="210"/>
      <c r="FBS774" s="219"/>
      <c r="FBV774" s="92"/>
      <c r="FBW774" s="210"/>
      <c r="FCC774" s="219"/>
      <c r="FCF774" s="92"/>
      <c r="FCG774" s="210"/>
      <c r="FCM774" s="219"/>
      <c r="FCP774" s="92"/>
      <c r="FCQ774" s="210"/>
      <c r="FCW774" s="219"/>
      <c r="FCZ774" s="92"/>
      <c r="FDA774" s="210"/>
      <c r="FDG774" s="219"/>
      <c r="FDJ774" s="92"/>
      <c r="FDK774" s="210"/>
      <c r="FDQ774" s="219"/>
      <c r="FDT774" s="92"/>
      <c r="FDU774" s="210"/>
      <c r="FEA774" s="219"/>
      <c r="FED774" s="92"/>
      <c r="FEE774" s="210"/>
      <c r="FEK774" s="219"/>
      <c r="FEN774" s="92"/>
      <c r="FEO774" s="210"/>
      <c r="FEU774" s="219"/>
      <c r="FEX774" s="92"/>
      <c r="FEY774" s="210"/>
      <c r="FFE774" s="219"/>
      <c r="FFH774" s="92"/>
      <c r="FFI774" s="210"/>
      <c r="FFO774" s="219"/>
      <c r="FFR774" s="92"/>
      <c r="FFS774" s="210"/>
      <c r="FFY774" s="219"/>
      <c r="FGB774" s="92"/>
      <c r="FGC774" s="210"/>
      <c r="FGI774" s="219"/>
      <c r="FGL774" s="92"/>
      <c r="FGM774" s="210"/>
      <c r="FGS774" s="219"/>
      <c r="FGV774" s="92"/>
      <c r="FGW774" s="210"/>
      <c r="FHC774" s="219"/>
      <c r="FHF774" s="92"/>
      <c r="FHG774" s="210"/>
      <c r="FHM774" s="219"/>
      <c r="FHP774" s="92"/>
      <c r="FHQ774" s="210"/>
      <c r="FHW774" s="219"/>
      <c r="FHZ774" s="92"/>
      <c r="FIA774" s="210"/>
      <c r="FIG774" s="219"/>
      <c r="FIJ774" s="92"/>
      <c r="FIK774" s="210"/>
      <c r="FIQ774" s="219"/>
      <c r="FIT774" s="92"/>
      <c r="FIU774" s="210"/>
      <c r="FJA774" s="219"/>
      <c r="FJD774" s="92"/>
      <c r="FJE774" s="210"/>
      <c r="FJK774" s="219"/>
      <c r="FJN774" s="92"/>
      <c r="FJO774" s="210"/>
      <c r="FJU774" s="219"/>
      <c r="FJX774" s="92"/>
      <c r="FJY774" s="210"/>
      <c r="FKE774" s="219"/>
      <c r="FKH774" s="92"/>
      <c r="FKI774" s="210"/>
      <c r="FKO774" s="219"/>
      <c r="FKR774" s="92"/>
      <c r="FKS774" s="210"/>
      <c r="FKY774" s="219"/>
      <c r="FLB774" s="92"/>
      <c r="FLC774" s="210"/>
      <c r="FLI774" s="219"/>
      <c r="FLL774" s="92"/>
      <c r="FLM774" s="210"/>
      <c r="FLS774" s="219"/>
      <c r="FLV774" s="92"/>
      <c r="FLW774" s="210"/>
      <c r="FMC774" s="219"/>
      <c r="FMF774" s="92"/>
      <c r="FMG774" s="210"/>
      <c r="FMM774" s="219"/>
      <c r="FMP774" s="92"/>
      <c r="FMQ774" s="210"/>
      <c r="FMW774" s="219"/>
      <c r="FMZ774" s="92"/>
      <c r="FNA774" s="210"/>
      <c r="FNG774" s="219"/>
      <c r="FNJ774" s="92"/>
      <c r="FNK774" s="210"/>
      <c r="FNQ774" s="219"/>
      <c r="FNT774" s="92"/>
      <c r="FNU774" s="210"/>
      <c r="FOA774" s="219"/>
      <c r="FOD774" s="92"/>
      <c r="FOE774" s="210"/>
      <c r="FOK774" s="219"/>
      <c r="FON774" s="92"/>
      <c r="FOO774" s="210"/>
      <c r="FOU774" s="219"/>
      <c r="FOX774" s="92"/>
      <c r="FOY774" s="210"/>
      <c r="FPE774" s="219"/>
      <c r="FPH774" s="92"/>
      <c r="FPI774" s="210"/>
      <c r="FPO774" s="219"/>
      <c r="FPR774" s="92"/>
      <c r="FPS774" s="210"/>
      <c r="FPY774" s="219"/>
      <c r="FQB774" s="92"/>
      <c r="FQC774" s="210"/>
      <c r="FQI774" s="219"/>
      <c r="FQL774" s="92"/>
      <c r="FQM774" s="210"/>
      <c r="FQS774" s="219"/>
      <c r="FQV774" s="92"/>
      <c r="FQW774" s="210"/>
      <c r="FRC774" s="219"/>
      <c r="FRF774" s="92"/>
      <c r="FRG774" s="210"/>
      <c r="FRM774" s="219"/>
      <c r="FRP774" s="92"/>
      <c r="FRQ774" s="210"/>
      <c r="FRW774" s="219"/>
      <c r="FRZ774" s="92"/>
      <c r="FSA774" s="210"/>
      <c r="FSG774" s="219"/>
      <c r="FSJ774" s="92"/>
      <c r="FSK774" s="210"/>
      <c r="FSQ774" s="219"/>
      <c r="FST774" s="92"/>
      <c r="FSU774" s="210"/>
      <c r="FTA774" s="219"/>
      <c r="FTD774" s="92"/>
      <c r="FTE774" s="210"/>
      <c r="FTK774" s="219"/>
      <c r="FTN774" s="92"/>
      <c r="FTO774" s="210"/>
      <c r="FTU774" s="219"/>
      <c r="FTX774" s="92"/>
      <c r="FTY774" s="210"/>
      <c r="FUE774" s="219"/>
      <c r="FUH774" s="92"/>
      <c r="FUI774" s="210"/>
      <c r="FUO774" s="219"/>
      <c r="FUR774" s="92"/>
      <c r="FUS774" s="210"/>
      <c r="FUY774" s="219"/>
      <c r="FVB774" s="92"/>
      <c r="FVC774" s="210"/>
      <c r="FVI774" s="219"/>
      <c r="FVL774" s="92"/>
      <c r="FVM774" s="210"/>
      <c r="FVS774" s="219"/>
      <c r="FVV774" s="92"/>
      <c r="FVW774" s="210"/>
      <c r="FWC774" s="219"/>
      <c r="FWF774" s="92"/>
      <c r="FWG774" s="210"/>
      <c r="FWM774" s="219"/>
      <c r="FWP774" s="92"/>
      <c r="FWQ774" s="210"/>
      <c r="FWW774" s="219"/>
      <c r="FWZ774" s="92"/>
      <c r="FXA774" s="210"/>
      <c r="FXG774" s="219"/>
      <c r="FXJ774" s="92"/>
      <c r="FXK774" s="210"/>
      <c r="FXQ774" s="219"/>
      <c r="FXT774" s="92"/>
      <c r="FXU774" s="210"/>
      <c r="FYA774" s="219"/>
      <c r="FYD774" s="92"/>
      <c r="FYE774" s="210"/>
      <c r="FYK774" s="219"/>
      <c r="FYN774" s="92"/>
      <c r="FYO774" s="210"/>
      <c r="FYU774" s="219"/>
      <c r="FYX774" s="92"/>
      <c r="FYY774" s="210"/>
      <c r="FZE774" s="219"/>
      <c r="FZH774" s="92"/>
      <c r="FZI774" s="210"/>
      <c r="FZO774" s="219"/>
      <c r="FZR774" s="92"/>
      <c r="FZS774" s="210"/>
      <c r="FZY774" s="219"/>
      <c r="GAB774" s="92"/>
      <c r="GAC774" s="210"/>
      <c r="GAI774" s="219"/>
      <c r="GAL774" s="92"/>
      <c r="GAM774" s="210"/>
      <c r="GAS774" s="219"/>
      <c r="GAV774" s="92"/>
      <c r="GAW774" s="210"/>
      <c r="GBC774" s="219"/>
      <c r="GBF774" s="92"/>
      <c r="GBG774" s="210"/>
      <c r="GBM774" s="219"/>
      <c r="GBP774" s="92"/>
      <c r="GBQ774" s="210"/>
      <c r="GBW774" s="219"/>
      <c r="GBZ774" s="92"/>
      <c r="GCA774" s="210"/>
      <c r="GCG774" s="219"/>
      <c r="GCJ774" s="92"/>
      <c r="GCK774" s="210"/>
      <c r="GCQ774" s="219"/>
      <c r="GCT774" s="92"/>
      <c r="GCU774" s="210"/>
      <c r="GDA774" s="219"/>
      <c r="GDD774" s="92"/>
      <c r="GDE774" s="210"/>
      <c r="GDK774" s="219"/>
      <c r="GDN774" s="92"/>
      <c r="GDO774" s="210"/>
      <c r="GDU774" s="219"/>
      <c r="GDX774" s="92"/>
      <c r="GDY774" s="210"/>
      <c r="GEE774" s="219"/>
      <c r="GEH774" s="92"/>
      <c r="GEI774" s="210"/>
      <c r="GEO774" s="219"/>
      <c r="GER774" s="92"/>
      <c r="GES774" s="210"/>
      <c r="GEY774" s="219"/>
      <c r="GFB774" s="92"/>
      <c r="GFC774" s="210"/>
      <c r="GFI774" s="219"/>
      <c r="GFL774" s="92"/>
      <c r="GFM774" s="210"/>
      <c r="GFS774" s="219"/>
      <c r="GFV774" s="92"/>
      <c r="GFW774" s="210"/>
      <c r="GGC774" s="219"/>
      <c r="GGF774" s="92"/>
      <c r="GGG774" s="210"/>
      <c r="GGM774" s="219"/>
      <c r="GGP774" s="92"/>
      <c r="GGQ774" s="210"/>
      <c r="GGW774" s="219"/>
      <c r="GGZ774" s="92"/>
      <c r="GHA774" s="210"/>
      <c r="GHG774" s="219"/>
      <c r="GHJ774" s="92"/>
      <c r="GHK774" s="210"/>
      <c r="GHQ774" s="219"/>
      <c r="GHT774" s="92"/>
      <c r="GHU774" s="210"/>
      <c r="GIA774" s="219"/>
      <c r="GID774" s="92"/>
      <c r="GIE774" s="210"/>
      <c r="GIK774" s="219"/>
      <c r="GIN774" s="92"/>
      <c r="GIO774" s="210"/>
      <c r="GIU774" s="219"/>
      <c r="GIX774" s="92"/>
      <c r="GIY774" s="210"/>
      <c r="GJE774" s="219"/>
      <c r="GJH774" s="92"/>
      <c r="GJI774" s="210"/>
      <c r="GJO774" s="219"/>
      <c r="GJR774" s="92"/>
      <c r="GJS774" s="210"/>
      <c r="GJY774" s="219"/>
      <c r="GKB774" s="92"/>
      <c r="GKC774" s="210"/>
      <c r="GKI774" s="219"/>
      <c r="GKL774" s="92"/>
      <c r="GKM774" s="210"/>
      <c r="GKS774" s="219"/>
      <c r="GKV774" s="92"/>
      <c r="GKW774" s="210"/>
      <c r="GLC774" s="219"/>
      <c r="GLF774" s="92"/>
      <c r="GLG774" s="210"/>
      <c r="GLM774" s="219"/>
      <c r="GLP774" s="92"/>
      <c r="GLQ774" s="210"/>
      <c r="GLW774" s="219"/>
      <c r="GLZ774" s="92"/>
      <c r="GMA774" s="210"/>
      <c r="GMG774" s="219"/>
      <c r="GMJ774" s="92"/>
      <c r="GMK774" s="210"/>
      <c r="GMQ774" s="219"/>
      <c r="GMT774" s="92"/>
      <c r="GMU774" s="210"/>
      <c r="GNA774" s="219"/>
      <c r="GND774" s="92"/>
      <c r="GNE774" s="210"/>
      <c r="GNK774" s="219"/>
      <c r="GNN774" s="92"/>
      <c r="GNO774" s="210"/>
      <c r="GNU774" s="219"/>
      <c r="GNX774" s="92"/>
      <c r="GNY774" s="210"/>
      <c r="GOE774" s="219"/>
      <c r="GOH774" s="92"/>
      <c r="GOI774" s="210"/>
      <c r="GOO774" s="219"/>
      <c r="GOR774" s="92"/>
      <c r="GOS774" s="210"/>
      <c r="GOY774" s="219"/>
      <c r="GPB774" s="92"/>
      <c r="GPC774" s="210"/>
      <c r="GPI774" s="219"/>
      <c r="GPL774" s="92"/>
      <c r="GPM774" s="210"/>
      <c r="GPS774" s="219"/>
      <c r="GPV774" s="92"/>
      <c r="GPW774" s="210"/>
      <c r="GQC774" s="219"/>
      <c r="GQF774" s="92"/>
      <c r="GQG774" s="210"/>
      <c r="GQM774" s="219"/>
      <c r="GQP774" s="92"/>
      <c r="GQQ774" s="210"/>
      <c r="GQW774" s="219"/>
      <c r="GQZ774" s="92"/>
      <c r="GRA774" s="210"/>
      <c r="GRG774" s="219"/>
      <c r="GRJ774" s="92"/>
      <c r="GRK774" s="210"/>
      <c r="GRQ774" s="219"/>
      <c r="GRT774" s="92"/>
      <c r="GRU774" s="210"/>
      <c r="GSA774" s="219"/>
      <c r="GSD774" s="92"/>
      <c r="GSE774" s="210"/>
      <c r="GSK774" s="219"/>
      <c r="GSN774" s="92"/>
      <c r="GSO774" s="210"/>
      <c r="GSU774" s="219"/>
      <c r="GSX774" s="92"/>
      <c r="GSY774" s="210"/>
      <c r="GTE774" s="219"/>
      <c r="GTH774" s="92"/>
      <c r="GTI774" s="210"/>
      <c r="GTO774" s="219"/>
      <c r="GTR774" s="92"/>
      <c r="GTS774" s="210"/>
      <c r="GTY774" s="219"/>
      <c r="GUB774" s="92"/>
      <c r="GUC774" s="210"/>
      <c r="GUI774" s="219"/>
      <c r="GUL774" s="92"/>
      <c r="GUM774" s="210"/>
      <c r="GUS774" s="219"/>
      <c r="GUV774" s="92"/>
      <c r="GUW774" s="210"/>
      <c r="GVC774" s="219"/>
      <c r="GVF774" s="92"/>
      <c r="GVG774" s="210"/>
      <c r="GVM774" s="219"/>
      <c r="GVP774" s="92"/>
      <c r="GVQ774" s="210"/>
      <c r="GVW774" s="219"/>
      <c r="GVZ774" s="92"/>
      <c r="GWA774" s="210"/>
      <c r="GWG774" s="219"/>
      <c r="GWJ774" s="92"/>
      <c r="GWK774" s="210"/>
      <c r="GWQ774" s="219"/>
      <c r="GWT774" s="92"/>
      <c r="GWU774" s="210"/>
      <c r="GXA774" s="219"/>
      <c r="GXD774" s="92"/>
      <c r="GXE774" s="210"/>
      <c r="GXK774" s="219"/>
      <c r="GXN774" s="92"/>
      <c r="GXO774" s="210"/>
      <c r="GXU774" s="219"/>
      <c r="GXX774" s="92"/>
      <c r="GXY774" s="210"/>
      <c r="GYE774" s="219"/>
      <c r="GYH774" s="92"/>
      <c r="GYI774" s="210"/>
      <c r="GYO774" s="219"/>
      <c r="GYR774" s="92"/>
      <c r="GYS774" s="210"/>
      <c r="GYY774" s="219"/>
      <c r="GZB774" s="92"/>
      <c r="GZC774" s="210"/>
      <c r="GZI774" s="219"/>
      <c r="GZL774" s="92"/>
      <c r="GZM774" s="210"/>
      <c r="GZS774" s="219"/>
      <c r="GZV774" s="92"/>
      <c r="GZW774" s="210"/>
      <c r="HAC774" s="219"/>
      <c r="HAF774" s="92"/>
      <c r="HAG774" s="210"/>
      <c r="HAM774" s="219"/>
      <c r="HAP774" s="92"/>
      <c r="HAQ774" s="210"/>
      <c r="HAW774" s="219"/>
      <c r="HAZ774" s="92"/>
      <c r="HBA774" s="210"/>
      <c r="HBG774" s="219"/>
      <c r="HBJ774" s="92"/>
      <c r="HBK774" s="210"/>
      <c r="HBQ774" s="219"/>
      <c r="HBT774" s="92"/>
      <c r="HBU774" s="210"/>
      <c r="HCA774" s="219"/>
      <c r="HCD774" s="92"/>
      <c r="HCE774" s="210"/>
      <c r="HCK774" s="219"/>
      <c r="HCN774" s="92"/>
      <c r="HCO774" s="210"/>
      <c r="HCU774" s="219"/>
      <c r="HCX774" s="92"/>
      <c r="HCY774" s="210"/>
      <c r="HDE774" s="219"/>
      <c r="HDH774" s="92"/>
      <c r="HDI774" s="210"/>
      <c r="HDO774" s="219"/>
      <c r="HDR774" s="92"/>
      <c r="HDS774" s="210"/>
      <c r="HDY774" s="219"/>
      <c r="HEB774" s="92"/>
      <c r="HEC774" s="210"/>
      <c r="HEI774" s="219"/>
      <c r="HEL774" s="92"/>
      <c r="HEM774" s="210"/>
      <c r="HES774" s="219"/>
      <c r="HEV774" s="92"/>
      <c r="HEW774" s="210"/>
      <c r="HFC774" s="219"/>
      <c r="HFF774" s="92"/>
      <c r="HFG774" s="210"/>
      <c r="HFM774" s="219"/>
      <c r="HFP774" s="92"/>
      <c r="HFQ774" s="210"/>
      <c r="HFW774" s="219"/>
      <c r="HFZ774" s="92"/>
      <c r="HGA774" s="210"/>
      <c r="HGG774" s="219"/>
      <c r="HGJ774" s="92"/>
      <c r="HGK774" s="210"/>
      <c r="HGQ774" s="219"/>
      <c r="HGT774" s="92"/>
      <c r="HGU774" s="210"/>
      <c r="HHA774" s="219"/>
      <c r="HHD774" s="92"/>
      <c r="HHE774" s="210"/>
      <c r="HHK774" s="219"/>
      <c r="HHN774" s="92"/>
      <c r="HHO774" s="210"/>
      <c r="HHU774" s="219"/>
      <c r="HHX774" s="92"/>
      <c r="HHY774" s="210"/>
      <c r="HIE774" s="219"/>
      <c r="HIH774" s="92"/>
      <c r="HII774" s="210"/>
      <c r="HIO774" s="219"/>
      <c r="HIR774" s="92"/>
      <c r="HIS774" s="210"/>
      <c r="HIY774" s="219"/>
      <c r="HJB774" s="92"/>
      <c r="HJC774" s="210"/>
      <c r="HJI774" s="219"/>
      <c r="HJL774" s="92"/>
      <c r="HJM774" s="210"/>
      <c r="HJS774" s="219"/>
      <c r="HJV774" s="92"/>
      <c r="HJW774" s="210"/>
      <c r="HKC774" s="219"/>
      <c r="HKF774" s="92"/>
      <c r="HKG774" s="210"/>
      <c r="HKM774" s="219"/>
      <c r="HKP774" s="92"/>
      <c r="HKQ774" s="210"/>
      <c r="HKW774" s="219"/>
      <c r="HKZ774" s="92"/>
      <c r="HLA774" s="210"/>
      <c r="HLG774" s="219"/>
      <c r="HLJ774" s="92"/>
      <c r="HLK774" s="210"/>
      <c r="HLQ774" s="219"/>
      <c r="HLT774" s="92"/>
      <c r="HLU774" s="210"/>
      <c r="HMA774" s="219"/>
      <c r="HMD774" s="92"/>
      <c r="HME774" s="210"/>
      <c r="HMK774" s="219"/>
      <c r="HMN774" s="92"/>
      <c r="HMO774" s="210"/>
      <c r="HMU774" s="219"/>
      <c r="HMX774" s="92"/>
      <c r="HMY774" s="210"/>
      <c r="HNE774" s="219"/>
      <c r="HNH774" s="92"/>
      <c r="HNI774" s="210"/>
      <c r="HNO774" s="219"/>
      <c r="HNR774" s="92"/>
      <c r="HNS774" s="210"/>
      <c r="HNY774" s="219"/>
      <c r="HOB774" s="92"/>
      <c r="HOC774" s="210"/>
      <c r="HOI774" s="219"/>
      <c r="HOL774" s="92"/>
      <c r="HOM774" s="210"/>
      <c r="HOS774" s="219"/>
      <c r="HOV774" s="92"/>
      <c r="HOW774" s="210"/>
      <c r="HPC774" s="219"/>
      <c r="HPF774" s="92"/>
      <c r="HPG774" s="210"/>
      <c r="HPM774" s="219"/>
      <c r="HPP774" s="92"/>
      <c r="HPQ774" s="210"/>
      <c r="HPW774" s="219"/>
      <c r="HPZ774" s="92"/>
      <c r="HQA774" s="210"/>
      <c r="HQG774" s="219"/>
      <c r="HQJ774" s="92"/>
      <c r="HQK774" s="210"/>
      <c r="HQQ774" s="219"/>
      <c r="HQT774" s="92"/>
      <c r="HQU774" s="210"/>
      <c r="HRA774" s="219"/>
      <c r="HRD774" s="92"/>
      <c r="HRE774" s="210"/>
      <c r="HRK774" s="219"/>
      <c r="HRN774" s="92"/>
      <c r="HRO774" s="210"/>
      <c r="HRU774" s="219"/>
      <c r="HRX774" s="92"/>
      <c r="HRY774" s="210"/>
      <c r="HSE774" s="219"/>
      <c r="HSH774" s="92"/>
      <c r="HSI774" s="210"/>
      <c r="HSO774" s="219"/>
      <c r="HSR774" s="92"/>
      <c r="HSS774" s="210"/>
      <c r="HSY774" s="219"/>
      <c r="HTB774" s="92"/>
      <c r="HTC774" s="210"/>
      <c r="HTI774" s="219"/>
      <c r="HTL774" s="92"/>
      <c r="HTM774" s="210"/>
      <c r="HTS774" s="219"/>
      <c r="HTV774" s="92"/>
      <c r="HTW774" s="210"/>
      <c r="HUC774" s="219"/>
      <c r="HUF774" s="92"/>
      <c r="HUG774" s="210"/>
      <c r="HUM774" s="219"/>
      <c r="HUP774" s="92"/>
      <c r="HUQ774" s="210"/>
      <c r="HUW774" s="219"/>
      <c r="HUZ774" s="92"/>
      <c r="HVA774" s="210"/>
      <c r="HVG774" s="219"/>
      <c r="HVJ774" s="92"/>
      <c r="HVK774" s="210"/>
      <c r="HVQ774" s="219"/>
      <c r="HVT774" s="92"/>
      <c r="HVU774" s="210"/>
      <c r="HWA774" s="219"/>
      <c r="HWD774" s="92"/>
      <c r="HWE774" s="210"/>
      <c r="HWK774" s="219"/>
      <c r="HWN774" s="92"/>
      <c r="HWO774" s="210"/>
      <c r="HWU774" s="219"/>
      <c r="HWX774" s="92"/>
      <c r="HWY774" s="210"/>
      <c r="HXE774" s="219"/>
      <c r="HXH774" s="92"/>
      <c r="HXI774" s="210"/>
      <c r="HXO774" s="219"/>
      <c r="HXR774" s="92"/>
      <c r="HXS774" s="210"/>
      <c r="HXY774" s="219"/>
      <c r="HYB774" s="92"/>
      <c r="HYC774" s="210"/>
      <c r="HYI774" s="219"/>
      <c r="HYL774" s="92"/>
      <c r="HYM774" s="210"/>
      <c r="HYS774" s="219"/>
      <c r="HYV774" s="92"/>
      <c r="HYW774" s="210"/>
      <c r="HZC774" s="219"/>
      <c r="HZF774" s="92"/>
      <c r="HZG774" s="210"/>
      <c r="HZM774" s="219"/>
      <c r="HZP774" s="92"/>
      <c r="HZQ774" s="210"/>
      <c r="HZW774" s="219"/>
      <c r="HZZ774" s="92"/>
      <c r="IAA774" s="210"/>
      <c r="IAG774" s="219"/>
      <c r="IAJ774" s="92"/>
      <c r="IAK774" s="210"/>
      <c r="IAQ774" s="219"/>
      <c r="IAT774" s="92"/>
      <c r="IAU774" s="210"/>
      <c r="IBA774" s="219"/>
      <c r="IBD774" s="92"/>
      <c r="IBE774" s="210"/>
      <c r="IBK774" s="219"/>
      <c r="IBN774" s="92"/>
      <c r="IBO774" s="210"/>
      <c r="IBU774" s="219"/>
      <c r="IBX774" s="92"/>
      <c r="IBY774" s="210"/>
      <c r="ICE774" s="219"/>
      <c r="ICH774" s="92"/>
      <c r="ICI774" s="210"/>
      <c r="ICO774" s="219"/>
      <c r="ICR774" s="92"/>
      <c r="ICS774" s="210"/>
      <c r="ICY774" s="219"/>
      <c r="IDB774" s="92"/>
      <c r="IDC774" s="210"/>
      <c r="IDI774" s="219"/>
      <c r="IDL774" s="92"/>
      <c r="IDM774" s="210"/>
      <c r="IDS774" s="219"/>
      <c r="IDV774" s="92"/>
      <c r="IDW774" s="210"/>
      <c r="IEC774" s="219"/>
      <c r="IEF774" s="92"/>
      <c r="IEG774" s="210"/>
      <c r="IEM774" s="219"/>
      <c r="IEP774" s="92"/>
      <c r="IEQ774" s="210"/>
      <c r="IEW774" s="219"/>
      <c r="IEZ774" s="92"/>
      <c r="IFA774" s="210"/>
      <c r="IFG774" s="219"/>
      <c r="IFJ774" s="92"/>
      <c r="IFK774" s="210"/>
      <c r="IFQ774" s="219"/>
      <c r="IFT774" s="92"/>
      <c r="IFU774" s="210"/>
      <c r="IGA774" s="219"/>
      <c r="IGD774" s="92"/>
      <c r="IGE774" s="210"/>
      <c r="IGK774" s="219"/>
      <c r="IGN774" s="92"/>
      <c r="IGO774" s="210"/>
      <c r="IGU774" s="219"/>
      <c r="IGX774" s="92"/>
      <c r="IGY774" s="210"/>
      <c r="IHE774" s="219"/>
      <c r="IHH774" s="92"/>
      <c r="IHI774" s="210"/>
      <c r="IHO774" s="219"/>
      <c r="IHR774" s="92"/>
      <c r="IHS774" s="210"/>
      <c r="IHY774" s="219"/>
      <c r="IIB774" s="92"/>
      <c r="IIC774" s="210"/>
      <c r="III774" s="219"/>
      <c r="IIL774" s="92"/>
      <c r="IIM774" s="210"/>
      <c r="IIS774" s="219"/>
      <c r="IIV774" s="92"/>
      <c r="IIW774" s="210"/>
      <c r="IJC774" s="219"/>
      <c r="IJF774" s="92"/>
      <c r="IJG774" s="210"/>
      <c r="IJM774" s="219"/>
      <c r="IJP774" s="92"/>
      <c r="IJQ774" s="210"/>
      <c r="IJW774" s="219"/>
      <c r="IJZ774" s="92"/>
      <c r="IKA774" s="210"/>
      <c r="IKG774" s="219"/>
      <c r="IKJ774" s="92"/>
      <c r="IKK774" s="210"/>
      <c r="IKQ774" s="219"/>
      <c r="IKT774" s="92"/>
      <c r="IKU774" s="210"/>
      <c r="ILA774" s="219"/>
      <c r="ILD774" s="92"/>
      <c r="ILE774" s="210"/>
      <c r="ILK774" s="219"/>
      <c r="ILN774" s="92"/>
      <c r="ILO774" s="210"/>
      <c r="ILU774" s="219"/>
      <c r="ILX774" s="92"/>
      <c r="ILY774" s="210"/>
      <c r="IME774" s="219"/>
      <c r="IMH774" s="92"/>
      <c r="IMI774" s="210"/>
      <c r="IMO774" s="219"/>
      <c r="IMR774" s="92"/>
      <c r="IMS774" s="210"/>
      <c r="IMY774" s="219"/>
      <c r="INB774" s="92"/>
      <c r="INC774" s="210"/>
      <c r="INI774" s="219"/>
      <c r="INL774" s="92"/>
      <c r="INM774" s="210"/>
      <c r="INS774" s="219"/>
      <c r="INV774" s="92"/>
      <c r="INW774" s="210"/>
      <c r="IOC774" s="219"/>
      <c r="IOF774" s="92"/>
      <c r="IOG774" s="210"/>
      <c r="IOM774" s="219"/>
      <c r="IOP774" s="92"/>
      <c r="IOQ774" s="210"/>
      <c r="IOW774" s="219"/>
      <c r="IOZ774" s="92"/>
      <c r="IPA774" s="210"/>
      <c r="IPG774" s="219"/>
      <c r="IPJ774" s="92"/>
      <c r="IPK774" s="210"/>
      <c r="IPQ774" s="219"/>
      <c r="IPT774" s="92"/>
      <c r="IPU774" s="210"/>
      <c r="IQA774" s="219"/>
      <c r="IQD774" s="92"/>
      <c r="IQE774" s="210"/>
      <c r="IQK774" s="219"/>
      <c r="IQN774" s="92"/>
      <c r="IQO774" s="210"/>
      <c r="IQU774" s="219"/>
      <c r="IQX774" s="92"/>
      <c r="IQY774" s="210"/>
      <c r="IRE774" s="219"/>
      <c r="IRH774" s="92"/>
      <c r="IRI774" s="210"/>
      <c r="IRO774" s="219"/>
      <c r="IRR774" s="92"/>
      <c r="IRS774" s="210"/>
      <c r="IRY774" s="219"/>
      <c r="ISB774" s="92"/>
      <c r="ISC774" s="210"/>
      <c r="ISI774" s="219"/>
      <c r="ISL774" s="92"/>
      <c r="ISM774" s="210"/>
      <c r="ISS774" s="219"/>
      <c r="ISV774" s="92"/>
      <c r="ISW774" s="210"/>
      <c r="ITC774" s="219"/>
      <c r="ITF774" s="92"/>
      <c r="ITG774" s="210"/>
      <c r="ITM774" s="219"/>
      <c r="ITP774" s="92"/>
      <c r="ITQ774" s="210"/>
      <c r="ITW774" s="219"/>
      <c r="ITZ774" s="92"/>
      <c r="IUA774" s="210"/>
      <c r="IUG774" s="219"/>
      <c r="IUJ774" s="92"/>
      <c r="IUK774" s="210"/>
      <c r="IUQ774" s="219"/>
      <c r="IUT774" s="92"/>
      <c r="IUU774" s="210"/>
      <c r="IVA774" s="219"/>
      <c r="IVD774" s="92"/>
      <c r="IVE774" s="210"/>
      <c r="IVK774" s="219"/>
      <c r="IVN774" s="92"/>
      <c r="IVO774" s="210"/>
      <c r="IVU774" s="219"/>
      <c r="IVX774" s="92"/>
      <c r="IVY774" s="210"/>
      <c r="IWE774" s="219"/>
      <c r="IWH774" s="92"/>
      <c r="IWI774" s="210"/>
      <c r="IWO774" s="219"/>
      <c r="IWR774" s="92"/>
      <c r="IWS774" s="210"/>
      <c r="IWY774" s="219"/>
      <c r="IXB774" s="92"/>
      <c r="IXC774" s="210"/>
      <c r="IXI774" s="219"/>
      <c r="IXL774" s="92"/>
      <c r="IXM774" s="210"/>
      <c r="IXS774" s="219"/>
      <c r="IXV774" s="92"/>
      <c r="IXW774" s="210"/>
      <c r="IYC774" s="219"/>
      <c r="IYF774" s="92"/>
      <c r="IYG774" s="210"/>
      <c r="IYM774" s="219"/>
      <c r="IYP774" s="92"/>
      <c r="IYQ774" s="210"/>
      <c r="IYW774" s="219"/>
      <c r="IYZ774" s="92"/>
      <c r="IZA774" s="210"/>
      <c r="IZG774" s="219"/>
      <c r="IZJ774" s="92"/>
      <c r="IZK774" s="210"/>
      <c r="IZQ774" s="219"/>
      <c r="IZT774" s="92"/>
      <c r="IZU774" s="210"/>
      <c r="JAA774" s="219"/>
      <c r="JAD774" s="92"/>
      <c r="JAE774" s="210"/>
      <c r="JAK774" s="219"/>
      <c r="JAN774" s="92"/>
      <c r="JAO774" s="210"/>
      <c r="JAU774" s="219"/>
      <c r="JAX774" s="92"/>
      <c r="JAY774" s="210"/>
      <c r="JBE774" s="219"/>
      <c r="JBH774" s="92"/>
      <c r="JBI774" s="210"/>
      <c r="JBO774" s="219"/>
      <c r="JBR774" s="92"/>
      <c r="JBS774" s="210"/>
      <c r="JBY774" s="219"/>
      <c r="JCB774" s="92"/>
      <c r="JCC774" s="210"/>
      <c r="JCI774" s="219"/>
      <c r="JCL774" s="92"/>
      <c r="JCM774" s="210"/>
      <c r="JCS774" s="219"/>
      <c r="JCV774" s="92"/>
      <c r="JCW774" s="210"/>
      <c r="JDC774" s="219"/>
      <c r="JDF774" s="92"/>
      <c r="JDG774" s="210"/>
      <c r="JDM774" s="219"/>
      <c r="JDP774" s="92"/>
      <c r="JDQ774" s="210"/>
      <c r="JDW774" s="219"/>
      <c r="JDZ774" s="92"/>
      <c r="JEA774" s="210"/>
      <c r="JEG774" s="219"/>
      <c r="JEJ774" s="92"/>
      <c r="JEK774" s="210"/>
      <c r="JEQ774" s="219"/>
      <c r="JET774" s="92"/>
      <c r="JEU774" s="210"/>
      <c r="JFA774" s="219"/>
      <c r="JFD774" s="92"/>
      <c r="JFE774" s="210"/>
      <c r="JFK774" s="219"/>
      <c r="JFN774" s="92"/>
      <c r="JFO774" s="210"/>
      <c r="JFU774" s="219"/>
      <c r="JFX774" s="92"/>
      <c r="JFY774" s="210"/>
      <c r="JGE774" s="219"/>
      <c r="JGH774" s="92"/>
      <c r="JGI774" s="210"/>
      <c r="JGO774" s="219"/>
      <c r="JGR774" s="92"/>
      <c r="JGS774" s="210"/>
      <c r="JGY774" s="219"/>
      <c r="JHB774" s="92"/>
      <c r="JHC774" s="210"/>
      <c r="JHI774" s="219"/>
      <c r="JHL774" s="92"/>
      <c r="JHM774" s="210"/>
      <c r="JHS774" s="219"/>
      <c r="JHV774" s="92"/>
      <c r="JHW774" s="210"/>
      <c r="JIC774" s="219"/>
      <c r="JIF774" s="92"/>
      <c r="JIG774" s="210"/>
      <c r="JIM774" s="219"/>
      <c r="JIP774" s="92"/>
      <c r="JIQ774" s="210"/>
      <c r="JIW774" s="219"/>
      <c r="JIZ774" s="92"/>
      <c r="JJA774" s="210"/>
      <c r="JJG774" s="219"/>
      <c r="JJJ774" s="92"/>
      <c r="JJK774" s="210"/>
      <c r="JJQ774" s="219"/>
      <c r="JJT774" s="92"/>
      <c r="JJU774" s="210"/>
      <c r="JKA774" s="219"/>
      <c r="JKD774" s="92"/>
      <c r="JKE774" s="210"/>
      <c r="JKK774" s="219"/>
      <c r="JKN774" s="92"/>
      <c r="JKO774" s="210"/>
      <c r="JKU774" s="219"/>
      <c r="JKX774" s="92"/>
      <c r="JKY774" s="210"/>
      <c r="JLE774" s="219"/>
      <c r="JLH774" s="92"/>
      <c r="JLI774" s="210"/>
      <c r="JLO774" s="219"/>
      <c r="JLR774" s="92"/>
      <c r="JLS774" s="210"/>
      <c r="JLY774" s="219"/>
      <c r="JMB774" s="92"/>
      <c r="JMC774" s="210"/>
      <c r="JMI774" s="219"/>
      <c r="JML774" s="92"/>
      <c r="JMM774" s="210"/>
      <c r="JMS774" s="219"/>
      <c r="JMV774" s="92"/>
      <c r="JMW774" s="210"/>
      <c r="JNC774" s="219"/>
      <c r="JNF774" s="92"/>
      <c r="JNG774" s="210"/>
      <c r="JNM774" s="219"/>
      <c r="JNP774" s="92"/>
      <c r="JNQ774" s="210"/>
      <c r="JNW774" s="219"/>
      <c r="JNZ774" s="92"/>
      <c r="JOA774" s="210"/>
      <c r="JOG774" s="219"/>
      <c r="JOJ774" s="92"/>
      <c r="JOK774" s="210"/>
      <c r="JOQ774" s="219"/>
      <c r="JOT774" s="92"/>
      <c r="JOU774" s="210"/>
      <c r="JPA774" s="219"/>
      <c r="JPD774" s="92"/>
      <c r="JPE774" s="210"/>
      <c r="JPK774" s="219"/>
      <c r="JPN774" s="92"/>
      <c r="JPO774" s="210"/>
      <c r="JPU774" s="219"/>
      <c r="JPX774" s="92"/>
      <c r="JPY774" s="210"/>
      <c r="JQE774" s="219"/>
      <c r="JQH774" s="92"/>
      <c r="JQI774" s="210"/>
      <c r="JQO774" s="219"/>
      <c r="JQR774" s="92"/>
      <c r="JQS774" s="210"/>
      <c r="JQY774" s="219"/>
      <c r="JRB774" s="92"/>
      <c r="JRC774" s="210"/>
      <c r="JRI774" s="219"/>
      <c r="JRL774" s="92"/>
      <c r="JRM774" s="210"/>
      <c r="JRS774" s="219"/>
      <c r="JRV774" s="92"/>
      <c r="JRW774" s="210"/>
      <c r="JSC774" s="219"/>
      <c r="JSF774" s="92"/>
      <c r="JSG774" s="210"/>
      <c r="JSM774" s="219"/>
      <c r="JSP774" s="92"/>
      <c r="JSQ774" s="210"/>
      <c r="JSW774" s="219"/>
      <c r="JSZ774" s="92"/>
      <c r="JTA774" s="210"/>
      <c r="JTG774" s="219"/>
      <c r="JTJ774" s="92"/>
      <c r="JTK774" s="210"/>
      <c r="JTQ774" s="219"/>
      <c r="JTT774" s="92"/>
      <c r="JTU774" s="210"/>
      <c r="JUA774" s="219"/>
      <c r="JUD774" s="92"/>
      <c r="JUE774" s="210"/>
      <c r="JUK774" s="219"/>
      <c r="JUN774" s="92"/>
      <c r="JUO774" s="210"/>
      <c r="JUU774" s="219"/>
      <c r="JUX774" s="92"/>
      <c r="JUY774" s="210"/>
      <c r="JVE774" s="219"/>
      <c r="JVH774" s="92"/>
      <c r="JVI774" s="210"/>
      <c r="JVO774" s="219"/>
      <c r="JVR774" s="92"/>
      <c r="JVS774" s="210"/>
      <c r="JVY774" s="219"/>
      <c r="JWB774" s="92"/>
      <c r="JWC774" s="210"/>
      <c r="JWI774" s="219"/>
      <c r="JWL774" s="92"/>
      <c r="JWM774" s="210"/>
      <c r="JWS774" s="219"/>
      <c r="JWV774" s="92"/>
      <c r="JWW774" s="210"/>
      <c r="JXC774" s="219"/>
      <c r="JXF774" s="92"/>
      <c r="JXG774" s="210"/>
      <c r="JXM774" s="219"/>
      <c r="JXP774" s="92"/>
      <c r="JXQ774" s="210"/>
      <c r="JXW774" s="219"/>
      <c r="JXZ774" s="92"/>
      <c r="JYA774" s="210"/>
      <c r="JYG774" s="219"/>
      <c r="JYJ774" s="92"/>
      <c r="JYK774" s="210"/>
      <c r="JYQ774" s="219"/>
      <c r="JYT774" s="92"/>
      <c r="JYU774" s="210"/>
      <c r="JZA774" s="219"/>
      <c r="JZD774" s="92"/>
      <c r="JZE774" s="210"/>
      <c r="JZK774" s="219"/>
      <c r="JZN774" s="92"/>
      <c r="JZO774" s="210"/>
      <c r="JZU774" s="219"/>
      <c r="JZX774" s="92"/>
      <c r="JZY774" s="210"/>
      <c r="KAE774" s="219"/>
      <c r="KAH774" s="92"/>
      <c r="KAI774" s="210"/>
      <c r="KAO774" s="219"/>
      <c r="KAR774" s="92"/>
      <c r="KAS774" s="210"/>
      <c r="KAY774" s="219"/>
      <c r="KBB774" s="92"/>
      <c r="KBC774" s="210"/>
      <c r="KBI774" s="219"/>
      <c r="KBL774" s="92"/>
      <c r="KBM774" s="210"/>
      <c r="KBS774" s="219"/>
      <c r="KBV774" s="92"/>
      <c r="KBW774" s="210"/>
      <c r="KCC774" s="219"/>
      <c r="KCF774" s="92"/>
      <c r="KCG774" s="210"/>
      <c r="KCM774" s="219"/>
      <c r="KCP774" s="92"/>
      <c r="KCQ774" s="210"/>
      <c r="KCW774" s="219"/>
      <c r="KCZ774" s="92"/>
      <c r="KDA774" s="210"/>
      <c r="KDG774" s="219"/>
      <c r="KDJ774" s="92"/>
      <c r="KDK774" s="210"/>
      <c r="KDQ774" s="219"/>
      <c r="KDT774" s="92"/>
      <c r="KDU774" s="210"/>
      <c r="KEA774" s="219"/>
      <c r="KED774" s="92"/>
      <c r="KEE774" s="210"/>
      <c r="KEK774" s="219"/>
      <c r="KEN774" s="92"/>
      <c r="KEO774" s="210"/>
      <c r="KEU774" s="219"/>
      <c r="KEX774" s="92"/>
      <c r="KEY774" s="210"/>
      <c r="KFE774" s="219"/>
      <c r="KFH774" s="92"/>
      <c r="KFI774" s="210"/>
      <c r="KFO774" s="219"/>
      <c r="KFR774" s="92"/>
      <c r="KFS774" s="210"/>
      <c r="KFY774" s="219"/>
      <c r="KGB774" s="92"/>
      <c r="KGC774" s="210"/>
      <c r="KGI774" s="219"/>
      <c r="KGL774" s="92"/>
      <c r="KGM774" s="210"/>
      <c r="KGS774" s="219"/>
      <c r="KGV774" s="92"/>
      <c r="KGW774" s="210"/>
      <c r="KHC774" s="219"/>
      <c r="KHF774" s="92"/>
      <c r="KHG774" s="210"/>
      <c r="KHM774" s="219"/>
      <c r="KHP774" s="92"/>
      <c r="KHQ774" s="210"/>
      <c r="KHW774" s="219"/>
      <c r="KHZ774" s="92"/>
      <c r="KIA774" s="210"/>
      <c r="KIG774" s="219"/>
      <c r="KIJ774" s="92"/>
      <c r="KIK774" s="210"/>
      <c r="KIQ774" s="219"/>
      <c r="KIT774" s="92"/>
      <c r="KIU774" s="210"/>
      <c r="KJA774" s="219"/>
      <c r="KJD774" s="92"/>
      <c r="KJE774" s="210"/>
      <c r="KJK774" s="219"/>
      <c r="KJN774" s="92"/>
      <c r="KJO774" s="210"/>
      <c r="KJU774" s="219"/>
      <c r="KJX774" s="92"/>
      <c r="KJY774" s="210"/>
      <c r="KKE774" s="219"/>
      <c r="KKH774" s="92"/>
      <c r="KKI774" s="210"/>
      <c r="KKO774" s="219"/>
      <c r="KKR774" s="92"/>
      <c r="KKS774" s="210"/>
      <c r="KKY774" s="219"/>
      <c r="KLB774" s="92"/>
      <c r="KLC774" s="210"/>
      <c r="KLI774" s="219"/>
      <c r="KLL774" s="92"/>
      <c r="KLM774" s="210"/>
      <c r="KLS774" s="219"/>
      <c r="KLV774" s="92"/>
      <c r="KLW774" s="210"/>
      <c r="KMC774" s="219"/>
      <c r="KMF774" s="92"/>
      <c r="KMG774" s="210"/>
      <c r="KMM774" s="219"/>
      <c r="KMP774" s="92"/>
      <c r="KMQ774" s="210"/>
      <c r="KMW774" s="219"/>
      <c r="KMZ774" s="92"/>
      <c r="KNA774" s="210"/>
      <c r="KNG774" s="219"/>
      <c r="KNJ774" s="92"/>
      <c r="KNK774" s="210"/>
      <c r="KNQ774" s="219"/>
      <c r="KNT774" s="92"/>
      <c r="KNU774" s="210"/>
      <c r="KOA774" s="219"/>
      <c r="KOD774" s="92"/>
      <c r="KOE774" s="210"/>
      <c r="KOK774" s="219"/>
      <c r="KON774" s="92"/>
      <c r="KOO774" s="210"/>
      <c r="KOU774" s="219"/>
      <c r="KOX774" s="92"/>
      <c r="KOY774" s="210"/>
      <c r="KPE774" s="219"/>
      <c r="KPH774" s="92"/>
      <c r="KPI774" s="210"/>
      <c r="KPO774" s="219"/>
      <c r="KPR774" s="92"/>
      <c r="KPS774" s="210"/>
      <c r="KPY774" s="219"/>
      <c r="KQB774" s="92"/>
      <c r="KQC774" s="210"/>
      <c r="KQI774" s="219"/>
      <c r="KQL774" s="92"/>
      <c r="KQM774" s="210"/>
      <c r="KQS774" s="219"/>
      <c r="KQV774" s="92"/>
      <c r="KQW774" s="210"/>
      <c r="KRC774" s="219"/>
      <c r="KRF774" s="92"/>
      <c r="KRG774" s="210"/>
      <c r="KRM774" s="219"/>
      <c r="KRP774" s="92"/>
      <c r="KRQ774" s="210"/>
      <c r="KRW774" s="219"/>
      <c r="KRZ774" s="92"/>
      <c r="KSA774" s="210"/>
      <c r="KSG774" s="219"/>
      <c r="KSJ774" s="92"/>
      <c r="KSK774" s="210"/>
      <c r="KSQ774" s="219"/>
      <c r="KST774" s="92"/>
      <c r="KSU774" s="210"/>
      <c r="KTA774" s="219"/>
      <c r="KTD774" s="92"/>
      <c r="KTE774" s="210"/>
      <c r="KTK774" s="219"/>
      <c r="KTN774" s="92"/>
      <c r="KTO774" s="210"/>
      <c r="KTU774" s="219"/>
      <c r="KTX774" s="92"/>
      <c r="KTY774" s="210"/>
      <c r="KUE774" s="219"/>
      <c r="KUH774" s="92"/>
      <c r="KUI774" s="210"/>
      <c r="KUO774" s="219"/>
      <c r="KUR774" s="92"/>
      <c r="KUS774" s="210"/>
      <c r="KUY774" s="219"/>
      <c r="KVB774" s="92"/>
      <c r="KVC774" s="210"/>
      <c r="KVI774" s="219"/>
      <c r="KVL774" s="92"/>
      <c r="KVM774" s="210"/>
      <c r="KVS774" s="219"/>
      <c r="KVV774" s="92"/>
      <c r="KVW774" s="210"/>
      <c r="KWC774" s="219"/>
      <c r="KWF774" s="92"/>
      <c r="KWG774" s="210"/>
      <c r="KWM774" s="219"/>
      <c r="KWP774" s="92"/>
      <c r="KWQ774" s="210"/>
      <c r="KWW774" s="219"/>
      <c r="KWZ774" s="92"/>
      <c r="KXA774" s="210"/>
      <c r="KXG774" s="219"/>
      <c r="KXJ774" s="92"/>
      <c r="KXK774" s="210"/>
      <c r="KXQ774" s="219"/>
      <c r="KXT774" s="92"/>
      <c r="KXU774" s="210"/>
      <c r="KYA774" s="219"/>
      <c r="KYD774" s="92"/>
      <c r="KYE774" s="210"/>
      <c r="KYK774" s="219"/>
      <c r="KYN774" s="92"/>
      <c r="KYO774" s="210"/>
      <c r="KYU774" s="219"/>
      <c r="KYX774" s="92"/>
      <c r="KYY774" s="210"/>
      <c r="KZE774" s="219"/>
      <c r="KZH774" s="92"/>
      <c r="KZI774" s="210"/>
      <c r="KZO774" s="219"/>
      <c r="KZR774" s="92"/>
      <c r="KZS774" s="210"/>
      <c r="KZY774" s="219"/>
      <c r="LAB774" s="92"/>
      <c r="LAC774" s="210"/>
      <c r="LAI774" s="219"/>
      <c r="LAL774" s="92"/>
      <c r="LAM774" s="210"/>
      <c r="LAS774" s="219"/>
      <c r="LAV774" s="92"/>
      <c r="LAW774" s="210"/>
      <c r="LBC774" s="219"/>
      <c r="LBF774" s="92"/>
      <c r="LBG774" s="210"/>
      <c r="LBM774" s="219"/>
      <c r="LBP774" s="92"/>
      <c r="LBQ774" s="210"/>
      <c r="LBW774" s="219"/>
      <c r="LBZ774" s="92"/>
      <c r="LCA774" s="210"/>
      <c r="LCG774" s="219"/>
      <c r="LCJ774" s="92"/>
      <c r="LCK774" s="210"/>
      <c r="LCQ774" s="219"/>
      <c r="LCT774" s="92"/>
      <c r="LCU774" s="210"/>
      <c r="LDA774" s="219"/>
      <c r="LDD774" s="92"/>
      <c r="LDE774" s="210"/>
      <c r="LDK774" s="219"/>
      <c r="LDN774" s="92"/>
      <c r="LDO774" s="210"/>
      <c r="LDU774" s="219"/>
      <c r="LDX774" s="92"/>
      <c r="LDY774" s="210"/>
      <c r="LEE774" s="219"/>
      <c r="LEH774" s="92"/>
      <c r="LEI774" s="210"/>
      <c r="LEO774" s="219"/>
      <c r="LER774" s="92"/>
      <c r="LES774" s="210"/>
      <c r="LEY774" s="219"/>
      <c r="LFB774" s="92"/>
      <c r="LFC774" s="210"/>
      <c r="LFI774" s="219"/>
      <c r="LFL774" s="92"/>
      <c r="LFM774" s="210"/>
      <c r="LFS774" s="219"/>
      <c r="LFV774" s="92"/>
      <c r="LFW774" s="210"/>
      <c r="LGC774" s="219"/>
      <c r="LGF774" s="92"/>
      <c r="LGG774" s="210"/>
      <c r="LGM774" s="219"/>
      <c r="LGP774" s="92"/>
      <c r="LGQ774" s="210"/>
      <c r="LGW774" s="219"/>
      <c r="LGZ774" s="92"/>
      <c r="LHA774" s="210"/>
      <c r="LHG774" s="219"/>
      <c r="LHJ774" s="92"/>
      <c r="LHK774" s="210"/>
      <c r="LHQ774" s="219"/>
      <c r="LHT774" s="92"/>
      <c r="LHU774" s="210"/>
      <c r="LIA774" s="219"/>
      <c r="LID774" s="92"/>
      <c r="LIE774" s="210"/>
      <c r="LIK774" s="219"/>
      <c r="LIN774" s="92"/>
      <c r="LIO774" s="210"/>
      <c r="LIU774" s="219"/>
      <c r="LIX774" s="92"/>
      <c r="LIY774" s="210"/>
      <c r="LJE774" s="219"/>
      <c r="LJH774" s="92"/>
      <c r="LJI774" s="210"/>
      <c r="LJO774" s="219"/>
      <c r="LJR774" s="92"/>
      <c r="LJS774" s="210"/>
      <c r="LJY774" s="219"/>
      <c r="LKB774" s="92"/>
      <c r="LKC774" s="210"/>
      <c r="LKI774" s="219"/>
      <c r="LKL774" s="92"/>
      <c r="LKM774" s="210"/>
      <c r="LKS774" s="219"/>
      <c r="LKV774" s="92"/>
      <c r="LKW774" s="210"/>
      <c r="LLC774" s="219"/>
      <c r="LLF774" s="92"/>
      <c r="LLG774" s="210"/>
      <c r="LLM774" s="219"/>
      <c r="LLP774" s="92"/>
      <c r="LLQ774" s="210"/>
      <c r="LLW774" s="219"/>
      <c r="LLZ774" s="92"/>
      <c r="LMA774" s="210"/>
      <c r="LMG774" s="219"/>
      <c r="LMJ774" s="92"/>
      <c r="LMK774" s="210"/>
      <c r="LMQ774" s="219"/>
      <c r="LMT774" s="92"/>
      <c r="LMU774" s="210"/>
      <c r="LNA774" s="219"/>
      <c r="LND774" s="92"/>
      <c r="LNE774" s="210"/>
      <c r="LNK774" s="219"/>
      <c r="LNN774" s="92"/>
      <c r="LNO774" s="210"/>
      <c r="LNU774" s="219"/>
      <c r="LNX774" s="92"/>
      <c r="LNY774" s="210"/>
      <c r="LOE774" s="219"/>
      <c r="LOH774" s="92"/>
      <c r="LOI774" s="210"/>
      <c r="LOO774" s="219"/>
      <c r="LOR774" s="92"/>
      <c r="LOS774" s="210"/>
      <c r="LOY774" s="219"/>
      <c r="LPB774" s="92"/>
      <c r="LPC774" s="210"/>
      <c r="LPI774" s="219"/>
      <c r="LPL774" s="92"/>
      <c r="LPM774" s="210"/>
      <c r="LPS774" s="219"/>
      <c r="LPV774" s="92"/>
      <c r="LPW774" s="210"/>
      <c r="LQC774" s="219"/>
      <c r="LQF774" s="92"/>
      <c r="LQG774" s="210"/>
      <c r="LQM774" s="219"/>
      <c r="LQP774" s="92"/>
      <c r="LQQ774" s="210"/>
      <c r="LQW774" s="219"/>
      <c r="LQZ774" s="92"/>
      <c r="LRA774" s="210"/>
      <c r="LRG774" s="219"/>
      <c r="LRJ774" s="92"/>
      <c r="LRK774" s="210"/>
      <c r="LRQ774" s="219"/>
      <c r="LRT774" s="92"/>
      <c r="LRU774" s="210"/>
      <c r="LSA774" s="219"/>
      <c r="LSD774" s="92"/>
      <c r="LSE774" s="210"/>
      <c r="LSK774" s="219"/>
      <c r="LSN774" s="92"/>
      <c r="LSO774" s="210"/>
      <c r="LSU774" s="219"/>
      <c r="LSX774" s="92"/>
      <c r="LSY774" s="210"/>
      <c r="LTE774" s="219"/>
      <c r="LTH774" s="92"/>
      <c r="LTI774" s="210"/>
      <c r="LTO774" s="219"/>
      <c r="LTR774" s="92"/>
      <c r="LTS774" s="210"/>
      <c r="LTY774" s="219"/>
      <c r="LUB774" s="92"/>
      <c r="LUC774" s="210"/>
      <c r="LUI774" s="219"/>
      <c r="LUL774" s="92"/>
      <c r="LUM774" s="210"/>
      <c r="LUS774" s="219"/>
      <c r="LUV774" s="92"/>
      <c r="LUW774" s="210"/>
      <c r="LVC774" s="219"/>
      <c r="LVF774" s="92"/>
      <c r="LVG774" s="210"/>
      <c r="LVM774" s="219"/>
      <c r="LVP774" s="92"/>
      <c r="LVQ774" s="210"/>
      <c r="LVW774" s="219"/>
      <c r="LVZ774" s="92"/>
      <c r="LWA774" s="210"/>
      <c r="LWG774" s="219"/>
      <c r="LWJ774" s="92"/>
      <c r="LWK774" s="210"/>
      <c r="LWQ774" s="219"/>
      <c r="LWT774" s="92"/>
      <c r="LWU774" s="210"/>
      <c r="LXA774" s="219"/>
      <c r="LXD774" s="92"/>
      <c r="LXE774" s="210"/>
      <c r="LXK774" s="219"/>
      <c r="LXN774" s="92"/>
      <c r="LXO774" s="210"/>
      <c r="LXU774" s="219"/>
      <c r="LXX774" s="92"/>
      <c r="LXY774" s="210"/>
      <c r="LYE774" s="219"/>
      <c r="LYH774" s="92"/>
      <c r="LYI774" s="210"/>
      <c r="LYO774" s="219"/>
      <c r="LYR774" s="92"/>
      <c r="LYS774" s="210"/>
      <c r="LYY774" s="219"/>
      <c r="LZB774" s="92"/>
      <c r="LZC774" s="210"/>
      <c r="LZI774" s="219"/>
      <c r="LZL774" s="92"/>
      <c r="LZM774" s="210"/>
      <c r="LZS774" s="219"/>
      <c r="LZV774" s="92"/>
      <c r="LZW774" s="210"/>
      <c r="MAC774" s="219"/>
      <c r="MAF774" s="92"/>
      <c r="MAG774" s="210"/>
      <c r="MAM774" s="219"/>
      <c r="MAP774" s="92"/>
      <c r="MAQ774" s="210"/>
      <c r="MAW774" s="219"/>
      <c r="MAZ774" s="92"/>
      <c r="MBA774" s="210"/>
      <c r="MBG774" s="219"/>
      <c r="MBJ774" s="92"/>
      <c r="MBK774" s="210"/>
      <c r="MBQ774" s="219"/>
      <c r="MBT774" s="92"/>
      <c r="MBU774" s="210"/>
      <c r="MCA774" s="219"/>
      <c r="MCD774" s="92"/>
      <c r="MCE774" s="210"/>
      <c r="MCK774" s="219"/>
      <c r="MCN774" s="92"/>
      <c r="MCO774" s="210"/>
      <c r="MCU774" s="219"/>
      <c r="MCX774" s="92"/>
      <c r="MCY774" s="210"/>
      <c r="MDE774" s="219"/>
      <c r="MDH774" s="92"/>
      <c r="MDI774" s="210"/>
      <c r="MDO774" s="219"/>
      <c r="MDR774" s="92"/>
      <c r="MDS774" s="210"/>
      <c r="MDY774" s="219"/>
      <c r="MEB774" s="92"/>
      <c r="MEC774" s="210"/>
      <c r="MEI774" s="219"/>
      <c r="MEL774" s="92"/>
      <c r="MEM774" s="210"/>
      <c r="MES774" s="219"/>
      <c r="MEV774" s="92"/>
      <c r="MEW774" s="210"/>
      <c r="MFC774" s="219"/>
      <c r="MFF774" s="92"/>
      <c r="MFG774" s="210"/>
      <c r="MFM774" s="219"/>
      <c r="MFP774" s="92"/>
      <c r="MFQ774" s="210"/>
      <c r="MFW774" s="219"/>
      <c r="MFZ774" s="92"/>
      <c r="MGA774" s="210"/>
      <c r="MGG774" s="219"/>
      <c r="MGJ774" s="92"/>
      <c r="MGK774" s="210"/>
      <c r="MGQ774" s="219"/>
      <c r="MGT774" s="92"/>
      <c r="MGU774" s="210"/>
      <c r="MHA774" s="219"/>
      <c r="MHD774" s="92"/>
      <c r="MHE774" s="210"/>
      <c r="MHK774" s="219"/>
      <c r="MHN774" s="92"/>
      <c r="MHO774" s="210"/>
      <c r="MHU774" s="219"/>
      <c r="MHX774" s="92"/>
      <c r="MHY774" s="210"/>
      <c r="MIE774" s="219"/>
      <c r="MIH774" s="92"/>
      <c r="MII774" s="210"/>
      <c r="MIO774" s="219"/>
      <c r="MIR774" s="92"/>
      <c r="MIS774" s="210"/>
      <c r="MIY774" s="219"/>
      <c r="MJB774" s="92"/>
      <c r="MJC774" s="210"/>
      <c r="MJI774" s="219"/>
      <c r="MJL774" s="92"/>
      <c r="MJM774" s="210"/>
      <c r="MJS774" s="219"/>
      <c r="MJV774" s="92"/>
      <c r="MJW774" s="210"/>
      <c r="MKC774" s="219"/>
      <c r="MKF774" s="92"/>
      <c r="MKG774" s="210"/>
      <c r="MKM774" s="219"/>
      <c r="MKP774" s="92"/>
      <c r="MKQ774" s="210"/>
      <c r="MKW774" s="219"/>
      <c r="MKZ774" s="92"/>
      <c r="MLA774" s="210"/>
      <c r="MLG774" s="219"/>
      <c r="MLJ774" s="92"/>
      <c r="MLK774" s="210"/>
      <c r="MLQ774" s="219"/>
      <c r="MLT774" s="92"/>
      <c r="MLU774" s="210"/>
      <c r="MMA774" s="219"/>
      <c r="MMD774" s="92"/>
      <c r="MME774" s="210"/>
      <c r="MMK774" s="219"/>
      <c r="MMN774" s="92"/>
      <c r="MMO774" s="210"/>
      <c r="MMU774" s="219"/>
      <c r="MMX774" s="92"/>
      <c r="MMY774" s="210"/>
      <c r="MNE774" s="219"/>
      <c r="MNH774" s="92"/>
      <c r="MNI774" s="210"/>
      <c r="MNO774" s="219"/>
      <c r="MNR774" s="92"/>
      <c r="MNS774" s="210"/>
      <c r="MNY774" s="219"/>
      <c r="MOB774" s="92"/>
      <c r="MOC774" s="210"/>
      <c r="MOI774" s="219"/>
      <c r="MOL774" s="92"/>
      <c r="MOM774" s="210"/>
      <c r="MOS774" s="219"/>
      <c r="MOV774" s="92"/>
      <c r="MOW774" s="210"/>
      <c r="MPC774" s="219"/>
      <c r="MPF774" s="92"/>
      <c r="MPG774" s="210"/>
      <c r="MPM774" s="219"/>
      <c r="MPP774" s="92"/>
      <c r="MPQ774" s="210"/>
      <c r="MPW774" s="219"/>
      <c r="MPZ774" s="92"/>
      <c r="MQA774" s="210"/>
      <c r="MQG774" s="219"/>
      <c r="MQJ774" s="92"/>
      <c r="MQK774" s="210"/>
      <c r="MQQ774" s="219"/>
      <c r="MQT774" s="92"/>
      <c r="MQU774" s="210"/>
      <c r="MRA774" s="219"/>
      <c r="MRD774" s="92"/>
      <c r="MRE774" s="210"/>
      <c r="MRK774" s="219"/>
      <c r="MRN774" s="92"/>
      <c r="MRO774" s="210"/>
      <c r="MRU774" s="219"/>
      <c r="MRX774" s="92"/>
      <c r="MRY774" s="210"/>
      <c r="MSE774" s="219"/>
      <c r="MSH774" s="92"/>
      <c r="MSI774" s="210"/>
      <c r="MSO774" s="219"/>
      <c r="MSR774" s="92"/>
      <c r="MSS774" s="210"/>
      <c r="MSY774" s="219"/>
      <c r="MTB774" s="92"/>
      <c r="MTC774" s="210"/>
      <c r="MTI774" s="219"/>
      <c r="MTL774" s="92"/>
      <c r="MTM774" s="210"/>
      <c r="MTS774" s="219"/>
      <c r="MTV774" s="92"/>
      <c r="MTW774" s="210"/>
      <c r="MUC774" s="219"/>
      <c r="MUF774" s="92"/>
      <c r="MUG774" s="210"/>
      <c r="MUM774" s="219"/>
      <c r="MUP774" s="92"/>
      <c r="MUQ774" s="210"/>
      <c r="MUW774" s="219"/>
      <c r="MUZ774" s="92"/>
      <c r="MVA774" s="210"/>
      <c r="MVG774" s="219"/>
      <c r="MVJ774" s="92"/>
      <c r="MVK774" s="210"/>
      <c r="MVQ774" s="219"/>
      <c r="MVT774" s="92"/>
      <c r="MVU774" s="210"/>
      <c r="MWA774" s="219"/>
      <c r="MWD774" s="92"/>
      <c r="MWE774" s="210"/>
      <c r="MWK774" s="219"/>
      <c r="MWN774" s="92"/>
      <c r="MWO774" s="210"/>
      <c r="MWU774" s="219"/>
      <c r="MWX774" s="92"/>
      <c r="MWY774" s="210"/>
      <c r="MXE774" s="219"/>
      <c r="MXH774" s="92"/>
      <c r="MXI774" s="210"/>
      <c r="MXO774" s="219"/>
      <c r="MXR774" s="92"/>
      <c r="MXS774" s="210"/>
      <c r="MXY774" s="219"/>
      <c r="MYB774" s="92"/>
      <c r="MYC774" s="210"/>
      <c r="MYI774" s="219"/>
      <c r="MYL774" s="92"/>
      <c r="MYM774" s="210"/>
      <c r="MYS774" s="219"/>
      <c r="MYV774" s="92"/>
      <c r="MYW774" s="210"/>
      <c r="MZC774" s="219"/>
      <c r="MZF774" s="92"/>
      <c r="MZG774" s="210"/>
      <c r="MZM774" s="219"/>
      <c r="MZP774" s="92"/>
      <c r="MZQ774" s="210"/>
      <c r="MZW774" s="219"/>
      <c r="MZZ774" s="92"/>
      <c r="NAA774" s="210"/>
      <c r="NAG774" s="219"/>
      <c r="NAJ774" s="92"/>
      <c r="NAK774" s="210"/>
      <c r="NAQ774" s="219"/>
      <c r="NAT774" s="92"/>
      <c r="NAU774" s="210"/>
      <c r="NBA774" s="219"/>
      <c r="NBD774" s="92"/>
      <c r="NBE774" s="210"/>
      <c r="NBK774" s="219"/>
      <c r="NBN774" s="92"/>
      <c r="NBO774" s="210"/>
      <c r="NBU774" s="219"/>
      <c r="NBX774" s="92"/>
      <c r="NBY774" s="210"/>
      <c r="NCE774" s="219"/>
      <c r="NCH774" s="92"/>
      <c r="NCI774" s="210"/>
      <c r="NCO774" s="219"/>
      <c r="NCR774" s="92"/>
      <c r="NCS774" s="210"/>
      <c r="NCY774" s="219"/>
      <c r="NDB774" s="92"/>
      <c r="NDC774" s="210"/>
      <c r="NDI774" s="219"/>
      <c r="NDL774" s="92"/>
      <c r="NDM774" s="210"/>
      <c r="NDS774" s="219"/>
      <c r="NDV774" s="92"/>
      <c r="NDW774" s="210"/>
      <c r="NEC774" s="219"/>
      <c r="NEF774" s="92"/>
      <c r="NEG774" s="210"/>
      <c r="NEM774" s="219"/>
      <c r="NEP774" s="92"/>
      <c r="NEQ774" s="210"/>
      <c r="NEW774" s="219"/>
      <c r="NEZ774" s="92"/>
      <c r="NFA774" s="210"/>
      <c r="NFG774" s="219"/>
      <c r="NFJ774" s="92"/>
      <c r="NFK774" s="210"/>
      <c r="NFQ774" s="219"/>
      <c r="NFT774" s="92"/>
      <c r="NFU774" s="210"/>
      <c r="NGA774" s="219"/>
      <c r="NGD774" s="92"/>
      <c r="NGE774" s="210"/>
      <c r="NGK774" s="219"/>
      <c r="NGN774" s="92"/>
      <c r="NGO774" s="210"/>
      <c r="NGU774" s="219"/>
      <c r="NGX774" s="92"/>
      <c r="NGY774" s="210"/>
      <c r="NHE774" s="219"/>
      <c r="NHH774" s="92"/>
      <c r="NHI774" s="210"/>
      <c r="NHO774" s="219"/>
      <c r="NHR774" s="92"/>
      <c r="NHS774" s="210"/>
      <c r="NHY774" s="219"/>
      <c r="NIB774" s="92"/>
      <c r="NIC774" s="210"/>
      <c r="NII774" s="219"/>
      <c r="NIL774" s="92"/>
      <c r="NIM774" s="210"/>
      <c r="NIS774" s="219"/>
      <c r="NIV774" s="92"/>
      <c r="NIW774" s="210"/>
      <c r="NJC774" s="219"/>
      <c r="NJF774" s="92"/>
      <c r="NJG774" s="210"/>
      <c r="NJM774" s="219"/>
      <c r="NJP774" s="92"/>
      <c r="NJQ774" s="210"/>
      <c r="NJW774" s="219"/>
      <c r="NJZ774" s="92"/>
      <c r="NKA774" s="210"/>
      <c r="NKG774" s="219"/>
      <c r="NKJ774" s="92"/>
      <c r="NKK774" s="210"/>
      <c r="NKQ774" s="219"/>
      <c r="NKT774" s="92"/>
      <c r="NKU774" s="210"/>
      <c r="NLA774" s="219"/>
      <c r="NLD774" s="92"/>
      <c r="NLE774" s="210"/>
      <c r="NLK774" s="219"/>
      <c r="NLN774" s="92"/>
      <c r="NLO774" s="210"/>
      <c r="NLU774" s="219"/>
      <c r="NLX774" s="92"/>
      <c r="NLY774" s="210"/>
      <c r="NME774" s="219"/>
      <c r="NMH774" s="92"/>
      <c r="NMI774" s="210"/>
      <c r="NMO774" s="219"/>
      <c r="NMR774" s="92"/>
      <c r="NMS774" s="210"/>
      <c r="NMY774" s="219"/>
      <c r="NNB774" s="92"/>
      <c r="NNC774" s="210"/>
      <c r="NNI774" s="219"/>
      <c r="NNL774" s="92"/>
      <c r="NNM774" s="210"/>
      <c r="NNS774" s="219"/>
      <c r="NNV774" s="92"/>
      <c r="NNW774" s="210"/>
      <c r="NOC774" s="219"/>
      <c r="NOF774" s="92"/>
      <c r="NOG774" s="210"/>
      <c r="NOM774" s="219"/>
      <c r="NOP774" s="92"/>
      <c r="NOQ774" s="210"/>
      <c r="NOW774" s="219"/>
      <c r="NOZ774" s="92"/>
      <c r="NPA774" s="210"/>
      <c r="NPG774" s="219"/>
      <c r="NPJ774" s="92"/>
      <c r="NPK774" s="210"/>
      <c r="NPQ774" s="219"/>
      <c r="NPT774" s="92"/>
      <c r="NPU774" s="210"/>
      <c r="NQA774" s="219"/>
      <c r="NQD774" s="92"/>
      <c r="NQE774" s="210"/>
      <c r="NQK774" s="219"/>
      <c r="NQN774" s="92"/>
      <c r="NQO774" s="210"/>
      <c r="NQU774" s="219"/>
      <c r="NQX774" s="92"/>
      <c r="NQY774" s="210"/>
      <c r="NRE774" s="219"/>
      <c r="NRH774" s="92"/>
      <c r="NRI774" s="210"/>
      <c r="NRO774" s="219"/>
      <c r="NRR774" s="92"/>
      <c r="NRS774" s="210"/>
      <c r="NRY774" s="219"/>
      <c r="NSB774" s="92"/>
      <c r="NSC774" s="210"/>
      <c r="NSI774" s="219"/>
      <c r="NSL774" s="92"/>
      <c r="NSM774" s="210"/>
      <c r="NSS774" s="219"/>
      <c r="NSV774" s="92"/>
      <c r="NSW774" s="210"/>
      <c r="NTC774" s="219"/>
      <c r="NTF774" s="92"/>
      <c r="NTG774" s="210"/>
      <c r="NTM774" s="219"/>
      <c r="NTP774" s="92"/>
      <c r="NTQ774" s="210"/>
      <c r="NTW774" s="219"/>
      <c r="NTZ774" s="92"/>
      <c r="NUA774" s="210"/>
      <c r="NUG774" s="219"/>
      <c r="NUJ774" s="92"/>
      <c r="NUK774" s="210"/>
      <c r="NUQ774" s="219"/>
      <c r="NUT774" s="92"/>
      <c r="NUU774" s="210"/>
      <c r="NVA774" s="219"/>
      <c r="NVD774" s="92"/>
      <c r="NVE774" s="210"/>
      <c r="NVK774" s="219"/>
      <c r="NVN774" s="92"/>
      <c r="NVO774" s="210"/>
      <c r="NVU774" s="219"/>
      <c r="NVX774" s="92"/>
      <c r="NVY774" s="210"/>
      <c r="NWE774" s="219"/>
      <c r="NWH774" s="92"/>
      <c r="NWI774" s="210"/>
      <c r="NWO774" s="219"/>
      <c r="NWR774" s="92"/>
      <c r="NWS774" s="210"/>
      <c r="NWY774" s="219"/>
      <c r="NXB774" s="92"/>
      <c r="NXC774" s="210"/>
      <c r="NXI774" s="219"/>
      <c r="NXL774" s="92"/>
      <c r="NXM774" s="210"/>
      <c r="NXS774" s="219"/>
      <c r="NXV774" s="92"/>
      <c r="NXW774" s="210"/>
      <c r="NYC774" s="219"/>
      <c r="NYF774" s="92"/>
      <c r="NYG774" s="210"/>
      <c r="NYM774" s="219"/>
      <c r="NYP774" s="92"/>
      <c r="NYQ774" s="210"/>
      <c r="NYW774" s="219"/>
      <c r="NYZ774" s="92"/>
      <c r="NZA774" s="210"/>
      <c r="NZG774" s="219"/>
      <c r="NZJ774" s="92"/>
      <c r="NZK774" s="210"/>
      <c r="NZQ774" s="219"/>
      <c r="NZT774" s="92"/>
      <c r="NZU774" s="210"/>
      <c r="OAA774" s="219"/>
      <c r="OAD774" s="92"/>
      <c r="OAE774" s="210"/>
      <c r="OAK774" s="219"/>
      <c r="OAN774" s="92"/>
      <c r="OAO774" s="210"/>
      <c r="OAU774" s="219"/>
      <c r="OAX774" s="92"/>
      <c r="OAY774" s="210"/>
      <c r="OBE774" s="219"/>
      <c r="OBH774" s="92"/>
      <c r="OBI774" s="210"/>
      <c r="OBO774" s="219"/>
      <c r="OBR774" s="92"/>
      <c r="OBS774" s="210"/>
      <c r="OBY774" s="219"/>
      <c r="OCB774" s="92"/>
      <c r="OCC774" s="210"/>
      <c r="OCI774" s="219"/>
      <c r="OCL774" s="92"/>
      <c r="OCM774" s="210"/>
      <c r="OCS774" s="219"/>
      <c r="OCV774" s="92"/>
      <c r="OCW774" s="210"/>
      <c r="ODC774" s="219"/>
      <c r="ODF774" s="92"/>
      <c r="ODG774" s="210"/>
      <c r="ODM774" s="219"/>
      <c r="ODP774" s="92"/>
      <c r="ODQ774" s="210"/>
      <c r="ODW774" s="219"/>
      <c r="ODZ774" s="92"/>
      <c r="OEA774" s="210"/>
      <c r="OEG774" s="219"/>
      <c r="OEJ774" s="92"/>
      <c r="OEK774" s="210"/>
      <c r="OEQ774" s="219"/>
      <c r="OET774" s="92"/>
      <c r="OEU774" s="210"/>
      <c r="OFA774" s="219"/>
      <c r="OFD774" s="92"/>
      <c r="OFE774" s="210"/>
      <c r="OFK774" s="219"/>
      <c r="OFN774" s="92"/>
      <c r="OFO774" s="210"/>
      <c r="OFU774" s="219"/>
      <c r="OFX774" s="92"/>
      <c r="OFY774" s="210"/>
      <c r="OGE774" s="219"/>
      <c r="OGH774" s="92"/>
      <c r="OGI774" s="210"/>
      <c r="OGO774" s="219"/>
      <c r="OGR774" s="92"/>
      <c r="OGS774" s="210"/>
      <c r="OGY774" s="219"/>
      <c r="OHB774" s="92"/>
      <c r="OHC774" s="210"/>
      <c r="OHI774" s="219"/>
      <c r="OHL774" s="92"/>
      <c r="OHM774" s="210"/>
      <c r="OHS774" s="219"/>
      <c r="OHV774" s="92"/>
      <c r="OHW774" s="210"/>
      <c r="OIC774" s="219"/>
      <c r="OIF774" s="92"/>
      <c r="OIG774" s="210"/>
      <c r="OIM774" s="219"/>
      <c r="OIP774" s="92"/>
      <c r="OIQ774" s="210"/>
      <c r="OIW774" s="219"/>
      <c r="OIZ774" s="92"/>
      <c r="OJA774" s="210"/>
      <c r="OJG774" s="219"/>
      <c r="OJJ774" s="92"/>
      <c r="OJK774" s="210"/>
      <c r="OJQ774" s="219"/>
      <c r="OJT774" s="92"/>
      <c r="OJU774" s="210"/>
      <c r="OKA774" s="219"/>
      <c r="OKD774" s="92"/>
      <c r="OKE774" s="210"/>
      <c r="OKK774" s="219"/>
      <c r="OKN774" s="92"/>
      <c r="OKO774" s="210"/>
      <c r="OKU774" s="219"/>
      <c r="OKX774" s="92"/>
      <c r="OKY774" s="210"/>
      <c r="OLE774" s="219"/>
      <c r="OLH774" s="92"/>
      <c r="OLI774" s="210"/>
      <c r="OLO774" s="219"/>
      <c r="OLR774" s="92"/>
      <c r="OLS774" s="210"/>
      <c r="OLY774" s="219"/>
      <c r="OMB774" s="92"/>
      <c r="OMC774" s="210"/>
      <c r="OMI774" s="219"/>
      <c r="OML774" s="92"/>
      <c r="OMM774" s="210"/>
      <c r="OMS774" s="219"/>
      <c r="OMV774" s="92"/>
      <c r="OMW774" s="210"/>
      <c r="ONC774" s="219"/>
      <c r="ONF774" s="92"/>
      <c r="ONG774" s="210"/>
      <c r="ONM774" s="219"/>
      <c r="ONP774" s="92"/>
      <c r="ONQ774" s="210"/>
      <c r="ONW774" s="219"/>
      <c r="ONZ774" s="92"/>
      <c r="OOA774" s="210"/>
      <c r="OOG774" s="219"/>
      <c r="OOJ774" s="92"/>
      <c r="OOK774" s="210"/>
      <c r="OOQ774" s="219"/>
      <c r="OOT774" s="92"/>
      <c r="OOU774" s="210"/>
      <c r="OPA774" s="219"/>
      <c r="OPD774" s="92"/>
      <c r="OPE774" s="210"/>
      <c r="OPK774" s="219"/>
      <c r="OPN774" s="92"/>
      <c r="OPO774" s="210"/>
      <c r="OPU774" s="219"/>
      <c r="OPX774" s="92"/>
      <c r="OPY774" s="210"/>
      <c r="OQE774" s="219"/>
      <c r="OQH774" s="92"/>
      <c r="OQI774" s="210"/>
      <c r="OQO774" s="219"/>
      <c r="OQR774" s="92"/>
      <c r="OQS774" s="210"/>
      <c r="OQY774" s="219"/>
      <c r="ORB774" s="92"/>
      <c r="ORC774" s="210"/>
      <c r="ORI774" s="219"/>
      <c r="ORL774" s="92"/>
      <c r="ORM774" s="210"/>
      <c r="ORS774" s="219"/>
      <c r="ORV774" s="92"/>
      <c r="ORW774" s="210"/>
      <c r="OSC774" s="219"/>
      <c r="OSF774" s="92"/>
      <c r="OSG774" s="210"/>
      <c r="OSM774" s="219"/>
      <c r="OSP774" s="92"/>
      <c r="OSQ774" s="210"/>
      <c r="OSW774" s="219"/>
      <c r="OSZ774" s="92"/>
      <c r="OTA774" s="210"/>
      <c r="OTG774" s="219"/>
      <c r="OTJ774" s="92"/>
      <c r="OTK774" s="210"/>
      <c r="OTQ774" s="219"/>
      <c r="OTT774" s="92"/>
      <c r="OTU774" s="210"/>
      <c r="OUA774" s="219"/>
      <c r="OUD774" s="92"/>
      <c r="OUE774" s="210"/>
      <c r="OUK774" s="219"/>
      <c r="OUN774" s="92"/>
      <c r="OUO774" s="210"/>
      <c r="OUU774" s="219"/>
      <c r="OUX774" s="92"/>
      <c r="OUY774" s="210"/>
      <c r="OVE774" s="219"/>
      <c r="OVH774" s="92"/>
      <c r="OVI774" s="210"/>
      <c r="OVO774" s="219"/>
      <c r="OVR774" s="92"/>
      <c r="OVS774" s="210"/>
      <c r="OVY774" s="219"/>
      <c r="OWB774" s="92"/>
      <c r="OWC774" s="210"/>
      <c r="OWI774" s="219"/>
      <c r="OWL774" s="92"/>
      <c r="OWM774" s="210"/>
      <c r="OWS774" s="219"/>
      <c r="OWV774" s="92"/>
      <c r="OWW774" s="210"/>
      <c r="OXC774" s="219"/>
      <c r="OXF774" s="92"/>
      <c r="OXG774" s="210"/>
      <c r="OXM774" s="219"/>
      <c r="OXP774" s="92"/>
      <c r="OXQ774" s="210"/>
      <c r="OXW774" s="219"/>
      <c r="OXZ774" s="92"/>
      <c r="OYA774" s="210"/>
      <c r="OYG774" s="219"/>
      <c r="OYJ774" s="92"/>
      <c r="OYK774" s="210"/>
      <c r="OYQ774" s="219"/>
      <c r="OYT774" s="92"/>
      <c r="OYU774" s="210"/>
      <c r="OZA774" s="219"/>
      <c r="OZD774" s="92"/>
      <c r="OZE774" s="210"/>
      <c r="OZK774" s="219"/>
      <c r="OZN774" s="92"/>
      <c r="OZO774" s="210"/>
      <c r="OZU774" s="219"/>
      <c r="OZX774" s="92"/>
      <c r="OZY774" s="210"/>
      <c r="PAE774" s="219"/>
      <c r="PAH774" s="92"/>
      <c r="PAI774" s="210"/>
      <c r="PAO774" s="219"/>
      <c r="PAR774" s="92"/>
      <c r="PAS774" s="210"/>
      <c r="PAY774" s="219"/>
      <c r="PBB774" s="92"/>
      <c r="PBC774" s="210"/>
      <c r="PBI774" s="219"/>
      <c r="PBL774" s="92"/>
      <c r="PBM774" s="210"/>
      <c r="PBS774" s="219"/>
      <c r="PBV774" s="92"/>
      <c r="PBW774" s="210"/>
      <c r="PCC774" s="219"/>
      <c r="PCF774" s="92"/>
      <c r="PCG774" s="210"/>
      <c r="PCM774" s="219"/>
      <c r="PCP774" s="92"/>
      <c r="PCQ774" s="210"/>
      <c r="PCW774" s="219"/>
      <c r="PCZ774" s="92"/>
      <c r="PDA774" s="210"/>
      <c r="PDG774" s="219"/>
      <c r="PDJ774" s="92"/>
      <c r="PDK774" s="210"/>
      <c r="PDQ774" s="219"/>
      <c r="PDT774" s="92"/>
      <c r="PDU774" s="210"/>
      <c r="PEA774" s="219"/>
      <c r="PED774" s="92"/>
      <c r="PEE774" s="210"/>
      <c r="PEK774" s="219"/>
      <c r="PEN774" s="92"/>
      <c r="PEO774" s="210"/>
      <c r="PEU774" s="219"/>
      <c r="PEX774" s="92"/>
      <c r="PEY774" s="210"/>
      <c r="PFE774" s="219"/>
      <c r="PFH774" s="92"/>
      <c r="PFI774" s="210"/>
      <c r="PFO774" s="219"/>
      <c r="PFR774" s="92"/>
      <c r="PFS774" s="210"/>
      <c r="PFY774" s="219"/>
      <c r="PGB774" s="92"/>
      <c r="PGC774" s="210"/>
      <c r="PGI774" s="219"/>
      <c r="PGL774" s="92"/>
      <c r="PGM774" s="210"/>
      <c r="PGS774" s="219"/>
      <c r="PGV774" s="92"/>
      <c r="PGW774" s="210"/>
      <c r="PHC774" s="219"/>
      <c r="PHF774" s="92"/>
      <c r="PHG774" s="210"/>
      <c r="PHM774" s="219"/>
      <c r="PHP774" s="92"/>
      <c r="PHQ774" s="210"/>
      <c r="PHW774" s="219"/>
      <c r="PHZ774" s="92"/>
      <c r="PIA774" s="210"/>
      <c r="PIG774" s="219"/>
      <c r="PIJ774" s="92"/>
      <c r="PIK774" s="210"/>
      <c r="PIQ774" s="219"/>
      <c r="PIT774" s="92"/>
      <c r="PIU774" s="210"/>
      <c r="PJA774" s="219"/>
      <c r="PJD774" s="92"/>
      <c r="PJE774" s="210"/>
      <c r="PJK774" s="219"/>
      <c r="PJN774" s="92"/>
      <c r="PJO774" s="210"/>
      <c r="PJU774" s="219"/>
      <c r="PJX774" s="92"/>
      <c r="PJY774" s="210"/>
      <c r="PKE774" s="219"/>
      <c r="PKH774" s="92"/>
      <c r="PKI774" s="210"/>
      <c r="PKO774" s="219"/>
      <c r="PKR774" s="92"/>
      <c r="PKS774" s="210"/>
      <c r="PKY774" s="219"/>
      <c r="PLB774" s="92"/>
      <c r="PLC774" s="210"/>
      <c r="PLI774" s="219"/>
      <c r="PLL774" s="92"/>
      <c r="PLM774" s="210"/>
      <c r="PLS774" s="219"/>
      <c r="PLV774" s="92"/>
      <c r="PLW774" s="210"/>
      <c r="PMC774" s="219"/>
      <c r="PMF774" s="92"/>
      <c r="PMG774" s="210"/>
      <c r="PMM774" s="219"/>
      <c r="PMP774" s="92"/>
      <c r="PMQ774" s="210"/>
      <c r="PMW774" s="219"/>
      <c r="PMZ774" s="92"/>
      <c r="PNA774" s="210"/>
      <c r="PNG774" s="219"/>
      <c r="PNJ774" s="92"/>
      <c r="PNK774" s="210"/>
      <c r="PNQ774" s="219"/>
      <c r="PNT774" s="92"/>
      <c r="PNU774" s="210"/>
      <c r="POA774" s="219"/>
      <c r="POD774" s="92"/>
      <c r="POE774" s="210"/>
      <c r="POK774" s="219"/>
      <c r="PON774" s="92"/>
      <c r="POO774" s="210"/>
      <c r="POU774" s="219"/>
      <c r="POX774" s="92"/>
      <c r="POY774" s="210"/>
      <c r="PPE774" s="219"/>
      <c r="PPH774" s="92"/>
      <c r="PPI774" s="210"/>
      <c r="PPO774" s="219"/>
      <c r="PPR774" s="92"/>
      <c r="PPS774" s="210"/>
      <c r="PPY774" s="219"/>
      <c r="PQB774" s="92"/>
      <c r="PQC774" s="210"/>
      <c r="PQI774" s="219"/>
      <c r="PQL774" s="92"/>
      <c r="PQM774" s="210"/>
      <c r="PQS774" s="219"/>
      <c r="PQV774" s="92"/>
      <c r="PQW774" s="210"/>
      <c r="PRC774" s="219"/>
      <c r="PRF774" s="92"/>
      <c r="PRG774" s="210"/>
      <c r="PRM774" s="219"/>
      <c r="PRP774" s="92"/>
      <c r="PRQ774" s="210"/>
      <c r="PRW774" s="219"/>
      <c r="PRZ774" s="92"/>
      <c r="PSA774" s="210"/>
      <c r="PSG774" s="219"/>
      <c r="PSJ774" s="92"/>
      <c r="PSK774" s="210"/>
      <c r="PSQ774" s="219"/>
      <c r="PST774" s="92"/>
      <c r="PSU774" s="210"/>
      <c r="PTA774" s="219"/>
      <c r="PTD774" s="92"/>
      <c r="PTE774" s="210"/>
      <c r="PTK774" s="219"/>
      <c r="PTN774" s="92"/>
      <c r="PTO774" s="210"/>
      <c r="PTU774" s="219"/>
      <c r="PTX774" s="92"/>
      <c r="PTY774" s="210"/>
      <c r="PUE774" s="219"/>
      <c r="PUH774" s="92"/>
      <c r="PUI774" s="210"/>
      <c r="PUO774" s="219"/>
      <c r="PUR774" s="92"/>
      <c r="PUS774" s="210"/>
      <c r="PUY774" s="219"/>
      <c r="PVB774" s="92"/>
      <c r="PVC774" s="210"/>
      <c r="PVI774" s="219"/>
      <c r="PVL774" s="92"/>
      <c r="PVM774" s="210"/>
      <c r="PVS774" s="219"/>
      <c r="PVV774" s="92"/>
      <c r="PVW774" s="210"/>
      <c r="PWC774" s="219"/>
      <c r="PWF774" s="92"/>
      <c r="PWG774" s="210"/>
      <c r="PWM774" s="219"/>
      <c r="PWP774" s="92"/>
      <c r="PWQ774" s="210"/>
      <c r="PWW774" s="219"/>
      <c r="PWZ774" s="92"/>
      <c r="PXA774" s="210"/>
      <c r="PXG774" s="219"/>
      <c r="PXJ774" s="92"/>
      <c r="PXK774" s="210"/>
      <c r="PXQ774" s="219"/>
      <c r="PXT774" s="92"/>
      <c r="PXU774" s="210"/>
      <c r="PYA774" s="219"/>
      <c r="PYD774" s="92"/>
      <c r="PYE774" s="210"/>
      <c r="PYK774" s="219"/>
      <c r="PYN774" s="92"/>
      <c r="PYO774" s="210"/>
      <c r="PYU774" s="219"/>
      <c r="PYX774" s="92"/>
      <c r="PYY774" s="210"/>
      <c r="PZE774" s="219"/>
      <c r="PZH774" s="92"/>
      <c r="PZI774" s="210"/>
      <c r="PZO774" s="219"/>
      <c r="PZR774" s="92"/>
      <c r="PZS774" s="210"/>
      <c r="PZY774" s="219"/>
      <c r="QAB774" s="92"/>
      <c r="QAC774" s="210"/>
      <c r="QAI774" s="219"/>
      <c r="QAL774" s="92"/>
      <c r="QAM774" s="210"/>
      <c r="QAS774" s="219"/>
      <c r="QAV774" s="92"/>
      <c r="QAW774" s="210"/>
      <c r="QBC774" s="219"/>
      <c r="QBF774" s="92"/>
      <c r="QBG774" s="210"/>
      <c r="QBM774" s="219"/>
      <c r="QBP774" s="92"/>
      <c r="QBQ774" s="210"/>
      <c r="QBW774" s="219"/>
      <c r="QBZ774" s="92"/>
      <c r="QCA774" s="210"/>
      <c r="QCG774" s="219"/>
      <c r="QCJ774" s="92"/>
      <c r="QCK774" s="210"/>
      <c r="QCQ774" s="219"/>
      <c r="QCT774" s="92"/>
      <c r="QCU774" s="210"/>
      <c r="QDA774" s="219"/>
      <c r="QDD774" s="92"/>
      <c r="QDE774" s="210"/>
      <c r="QDK774" s="219"/>
      <c r="QDN774" s="92"/>
      <c r="QDO774" s="210"/>
      <c r="QDU774" s="219"/>
      <c r="QDX774" s="92"/>
      <c r="QDY774" s="210"/>
      <c r="QEE774" s="219"/>
      <c r="QEH774" s="92"/>
      <c r="QEI774" s="210"/>
      <c r="QEO774" s="219"/>
      <c r="QER774" s="92"/>
      <c r="QES774" s="210"/>
      <c r="QEY774" s="219"/>
      <c r="QFB774" s="92"/>
      <c r="QFC774" s="210"/>
      <c r="QFI774" s="219"/>
      <c r="QFL774" s="92"/>
      <c r="QFM774" s="210"/>
      <c r="QFS774" s="219"/>
      <c r="QFV774" s="92"/>
      <c r="QFW774" s="210"/>
      <c r="QGC774" s="219"/>
      <c r="QGF774" s="92"/>
      <c r="QGG774" s="210"/>
      <c r="QGM774" s="219"/>
      <c r="QGP774" s="92"/>
      <c r="QGQ774" s="210"/>
      <c r="QGW774" s="219"/>
      <c r="QGZ774" s="92"/>
      <c r="QHA774" s="210"/>
      <c r="QHG774" s="219"/>
      <c r="QHJ774" s="92"/>
      <c r="QHK774" s="210"/>
      <c r="QHQ774" s="219"/>
      <c r="QHT774" s="92"/>
      <c r="QHU774" s="210"/>
      <c r="QIA774" s="219"/>
      <c r="QID774" s="92"/>
      <c r="QIE774" s="210"/>
      <c r="QIK774" s="219"/>
      <c r="QIN774" s="92"/>
      <c r="QIO774" s="210"/>
      <c r="QIU774" s="219"/>
      <c r="QIX774" s="92"/>
      <c r="QIY774" s="210"/>
      <c r="QJE774" s="219"/>
      <c r="QJH774" s="92"/>
      <c r="QJI774" s="210"/>
      <c r="QJO774" s="219"/>
      <c r="QJR774" s="92"/>
      <c r="QJS774" s="210"/>
      <c r="QJY774" s="219"/>
      <c r="QKB774" s="92"/>
      <c r="QKC774" s="210"/>
      <c r="QKI774" s="219"/>
      <c r="QKL774" s="92"/>
      <c r="QKM774" s="210"/>
      <c r="QKS774" s="219"/>
      <c r="QKV774" s="92"/>
      <c r="QKW774" s="210"/>
      <c r="QLC774" s="219"/>
      <c r="QLF774" s="92"/>
      <c r="QLG774" s="210"/>
      <c r="QLM774" s="219"/>
      <c r="QLP774" s="92"/>
      <c r="QLQ774" s="210"/>
      <c r="QLW774" s="219"/>
      <c r="QLZ774" s="92"/>
      <c r="QMA774" s="210"/>
      <c r="QMG774" s="219"/>
      <c r="QMJ774" s="92"/>
      <c r="QMK774" s="210"/>
      <c r="QMQ774" s="219"/>
      <c r="QMT774" s="92"/>
      <c r="QMU774" s="210"/>
      <c r="QNA774" s="219"/>
      <c r="QND774" s="92"/>
      <c r="QNE774" s="210"/>
      <c r="QNK774" s="219"/>
      <c r="QNN774" s="92"/>
      <c r="QNO774" s="210"/>
      <c r="QNU774" s="219"/>
      <c r="QNX774" s="92"/>
      <c r="QNY774" s="210"/>
      <c r="QOE774" s="219"/>
      <c r="QOH774" s="92"/>
      <c r="QOI774" s="210"/>
      <c r="QOO774" s="219"/>
      <c r="QOR774" s="92"/>
      <c r="QOS774" s="210"/>
      <c r="QOY774" s="219"/>
      <c r="QPB774" s="92"/>
      <c r="QPC774" s="210"/>
      <c r="QPI774" s="219"/>
      <c r="QPL774" s="92"/>
      <c r="QPM774" s="210"/>
      <c r="QPS774" s="219"/>
      <c r="QPV774" s="92"/>
      <c r="QPW774" s="210"/>
      <c r="QQC774" s="219"/>
      <c r="QQF774" s="92"/>
      <c r="QQG774" s="210"/>
      <c r="QQM774" s="219"/>
      <c r="QQP774" s="92"/>
      <c r="QQQ774" s="210"/>
      <c r="QQW774" s="219"/>
      <c r="QQZ774" s="92"/>
      <c r="QRA774" s="210"/>
      <c r="QRG774" s="219"/>
      <c r="QRJ774" s="92"/>
      <c r="QRK774" s="210"/>
      <c r="QRQ774" s="219"/>
      <c r="QRT774" s="92"/>
      <c r="QRU774" s="210"/>
      <c r="QSA774" s="219"/>
      <c r="QSD774" s="92"/>
      <c r="QSE774" s="210"/>
      <c r="QSK774" s="219"/>
      <c r="QSN774" s="92"/>
      <c r="QSO774" s="210"/>
      <c r="QSU774" s="219"/>
      <c r="QSX774" s="92"/>
      <c r="QSY774" s="210"/>
      <c r="QTE774" s="219"/>
      <c r="QTH774" s="92"/>
      <c r="QTI774" s="210"/>
      <c r="QTO774" s="219"/>
      <c r="QTR774" s="92"/>
      <c r="QTS774" s="210"/>
      <c r="QTY774" s="219"/>
      <c r="QUB774" s="92"/>
      <c r="QUC774" s="210"/>
      <c r="QUI774" s="219"/>
      <c r="QUL774" s="92"/>
      <c r="QUM774" s="210"/>
      <c r="QUS774" s="219"/>
      <c r="QUV774" s="92"/>
      <c r="QUW774" s="210"/>
      <c r="QVC774" s="219"/>
      <c r="QVF774" s="92"/>
      <c r="QVG774" s="210"/>
      <c r="QVM774" s="219"/>
      <c r="QVP774" s="92"/>
      <c r="QVQ774" s="210"/>
      <c r="QVW774" s="219"/>
      <c r="QVZ774" s="92"/>
      <c r="QWA774" s="210"/>
      <c r="QWG774" s="219"/>
      <c r="QWJ774" s="92"/>
      <c r="QWK774" s="210"/>
      <c r="QWQ774" s="219"/>
      <c r="QWT774" s="92"/>
      <c r="QWU774" s="210"/>
      <c r="QXA774" s="219"/>
      <c r="QXD774" s="92"/>
      <c r="QXE774" s="210"/>
      <c r="QXK774" s="219"/>
      <c r="QXN774" s="92"/>
      <c r="QXO774" s="210"/>
      <c r="QXU774" s="219"/>
      <c r="QXX774" s="92"/>
      <c r="QXY774" s="210"/>
      <c r="QYE774" s="219"/>
      <c r="QYH774" s="92"/>
      <c r="QYI774" s="210"/>
      <c r="QYO774" s="219"/>
      <c r="QYR774" s="92"/>
      <c r="QYS774" s="210"/>
      <c r="QYY774" s="219"/>
      <c r="QZB774" s="92"/>
      <c r="QZC774" s="210"/>
      <c r="QZI774" s="219"/>
      <c r="QZL774" s="92"/>
      <c r="QZM774" s="210"/>
      <c r="QZS774" s="219"/>
      <c r="QZV774" s="92"/>
      <c r="QZW774" s="210"/>
      <c r="RAC774" s="219"/>
      <c r="RAF774" s="92"/>
      <c r="RAG774" s="210"/>
      <c r="RAM774" s="219"/>
      <c r="RAP774" s="92"/>
      <c r="RAQ774" s="210"/>
      <c r="RAW774" s="219"/>
      <c r="RAZ774" s="92"/>
      <c r="RBA774" s="210"/>
      <c r="RBG774" s="219"/>
      <c r="RBJ774" s="92"/>
      <c r="RBK774" s="210"/>
      <c r="RBQ774" s="219"/>
      <c r="RBT774" s="92"/>
      <c r="RBU774" s="210"/>
      <c r="RCA774" s="219"/>
      <c r="RCD774" s="92"/>
      <c r="RCE774" s="210"/>
      <c r="RCK774" s="219"/>
      <c r="RCN774" s="92"/>
      <c r="RCO774" s="210"/>
      <c r="RCU774" s="219"/>
      <c r="RCX774" s="92"/>
      <c r="RCY774" s="210"/>
      <c r="RDE774" s="219"/>
      <c r="RDH774" s="92"/>
      <c r="RDI774" s="210"/>
      <c r="RDO774" s="219"/>
      <c r="RDR774" s="92"/>
      <c r="RDS774" s="210"/>
      <c r="RDY774" s="219"/>
      <c r="REB774" s="92"/>
      <c r="REC774" s="210"/>
      <c r="REI774" s="219"/>
      <c r="REL774" s="92"/>
      <c r="REM774" s="210"/>
      <c r="RES774" s="219"/>
      <c r="REV774" s="92"/>
      <c r="REW774" s="210"/>
      <c r="RFC774" s="219"/>
      <c r="RFF774" s="92"/>
      <c r="RFG774" s="210"/>
      <c r="RFM774" s="219"/>
      <c r="RFP774" s="92"/>
      <c r="RFQ774" s="210"/>
      <c r="RFW774" s="219"/>
      <c r="RFZ774" s="92"/>
      <c r="RGA774" s="210"/>
      <c r="RGG774" s="219"/>
      <c r="RGJ774" s="92"/>
      <c r="RGK774" s="210"/>
      <c r="RGQ774" s="219"/>
      <c r="RGT774" s="92"/>
      <c r="RGU774" s="210"/>
      <c r="RHA774" s="219"/>
      <c r="RHD774" s="92"/>
      <c r="RHE774" s="210"/>
      <c r="RHK774" s="219"/>
      <c r="RHN774" s="92"/>
      <c r="RHO774" s="210"/>
      <c r="RHU774" s="219"/>
      <c r="RHX774" s="92"/>
      <c r="RHY774" s="210"/>
      <c r="RIE774" s="219"/>
      <c r="RIH774" s="92"/>
      <c r="RII774" s="210"/>
      <c r="RIO774" s="219"/>
      <c r="RIR774" s="92"/>
      <c r="RIS774" s="210"/>
      <c r="RIY774" s="219"/>
      <c r="RJB774" s="92"/>
      <c r="RJC774" s="210"/>
      <c r="RJI774" s="219"/>
      <c r="RJL774" s="92"/>
      <c r="RJM774" s="210"/>
      <c r="RJS774" s="219"/>
      <c r="RJV774" s="92"/>
      <c r="RJW774" s="210"/>
      <c r="RKC774" s="219"/>
      <c r="RKF774" s="92"/>
      <c r="RKG774" s="210"/>
      <c r="RKM774" s="219"/>
      <c r="RKP774" s="92"/>
      <c r="RKQ774" s="210"/>
      <c r="RKW774" s="219"/>
      <c r="RKZ774" s="92"/>
      <c r="RLA774" s="210"/>
      <c r="RLG774" s="219"/>
      <c r="RLJ774" s="92"/>
      <c r="RLK774" s="210"/>
      <c r="RLQ774" s="219"/>
      <c r="RLT774" s="92"/>
      <c r="RLU774" s="210"/>
      <c r="RMA774" s="219"/>
      <c r="RMD774" s="92"/>
      <c r="RME774" s="210"/>
      <c r="RMK774" s="219"/>
      <c r="RMN774" s="92"/>
      <c r="RMO774" s="210"/>
      <c r="RMU774" s="219"/>
      <c r="RMX774" s="92"/>
      <c r="RMY774" s="210"/>
      <c r="RNE774" s="219"/>
      <c r="RNH774" s="92"/>
      <c r="RNI774" s="210"/>
      <c r="RNO774" s="219"/>
      <c r="RNR774" s="92"/>
      <c r="RNS774" s="210"/>
      <c r="RNY774" s="219"/>
      <c r="ROB774" s="92"/>
      <c r="ROC774" s="210"/>
      <c r="ROI774" s="219"/>
      <c r="ROL774" s="92"/>
      <c r="ROM774" s="210"/>
      <c r="ROS774" s="219"/>
      <c r="ROV774" s="92"/>
      <c r="ROW774" s="210"/>
      <c r="RPC774" s="219"/>
      <c r="RPF774" s="92"/>
      <c r="RPG774" s="210"/>
      <c r="RPM774" s="219"/>
      <c r="RPP774" s="92"/>
      <c r="RPQ774" s="210"/>
      <c r="RPW774" s="219"/>
      <c r="RPZ774" s="92"/>
      <c r="RQA774" s="210"/>
      <c r="RQG774" s="219"/>
      <c r="RQJ774" s="92"/>
      <c r="RQK774" s="210"/>
      <c r="RQQ774" s="219"/>
      <c r="RQT774" s="92"/>
      <c r="RQU774" s="210"/>
      <c r="RRA774" s="219"/>
      <c r="RRD774" s="92"/>
      <c r="RRE774" s="210"/>
      <c r="RRK774" s="219"/>
      <c r="RRN774" s="92"/>
      <c r="RRO774" s="210"/>
      <c r="RRU774" s="219"/>
      <c r="RRX774" s="92"/>
      <c r="RRY774" s="210"/>
      <c r="RSE774" s="219"/>
      <c r="RSH774" s="92"/>
      <c r="RSI774" s="210"/>
      <c r="RSO774" s="219"/>
      <c r="RSR774" s="92"/>
      <c r="RSS774" s="210"/>
      <c r="RSY774" s="219"/>
      <c r="RTB774" s="92"/>
      <c r="RTC774" s="210"/>
      <c r="RTI774" s="219"/>
      <c r="RTL774" s="92"/>
      <c r="RTM774" s="210"/>
      <c r="RTS774" s="219"/>
      <c r="RTV774" s="92"/>
      <c r="RTW774" s="210"/>
      <c r="RUC774" s="219"/>
      <c r="RUF774" s="92"/>
      <c r="RUG774" s="210"/>
      <c r="RUM774" s="219"/>
      <c r="RUP774" s="92"/>
      <c r="RUQ774" s="210"/>
      <c r="RUW774" s="219"/>
      <c r="RUZ774" s="92"/>
      <c r="RVA774" s="210"/>
      <c r="RVG774" s="219"/>
      <c r="RVJ774" s="92"/>
      <c r="RVK774" s="210"/>
      <c r="RVQ774" s="219"/>
      <c r="RVT774" s="92"/>
      <c r="RVU774" s="210"/>
      <c r="RWA774" s="219"/>
      <c r="RWD774" s="92"/>
      <c r="RWE774" s="210"/>
      <c r="RWK774" s="219"/>
      <c r="RWN774" s="92"/>
      <c r="RWO774" s="210"/>
      <c r="RWU774" s="219"/>
      <c r="RWX774" s="92"/>
      <c r="RWY774" s="210"/>
      <c r="RXE774" s="219"/>
      <c r="RXH774" s="92"/>
      <c r="RXI774" s="210"/>
      <c r="RXO774" s="219"/>
      <c r="RXR774" s="92"/>
      <c r="RXS774" s="210"/>
      <c r="RXY774" s="219"/>
      <c r="RYB774" s="92"/>
      <c r="RYC774" s="210"/>
      <c r="RYI774" s="219"/>
      <c r="RYL774" s="92"/>
      <c r="RYM774" s="210"/>
      <c r="RYS774" s="219"/>
      <c r="RYV774" s="92"/>
      <c r="RYW774" s="210"/>
      <c r="RZC774" s="219"/>
      <c r="RZF774" s="92"/>
      <c r="RZG774" s="210"/>
      <c r="RZM774" s="219"/>
      <c r="RZP774" s="92"/>
      <c r="RZQ774" s="210"/>
      <c r="RZW774" s="219"/>
      <c r="RZZ774" s="92"/>
      <c r="SAA774" s="210"/>
      <c r="SAG774" s="219"/>
      <c r="SAJ774" s="92"/>
      <c r="SAK774" s="210"/>
      <c r="SAQ774" s="219"/>
      <c r="SAT774" s="92"/>
      <c r="SAU774" s="210"/>
      <c r="SBA774" s="219"/>
      <c r="SBD774" s="92"/>
      <c r="SBE774" s="210"/>
      <c r="SBK774" s="219"/>
      <c r="SBN774" s="92"/>
      <c r="SBO774" s="210"/>
      <c r="SBU774" s="219"/>
      <c r="SBX774" s="92"/>
      <c r="SBY774" s="210"/>
      <c r="SCE774" s="219"/>
      <c r="SCH774" s="92"/>
      <c r="SCI774" s="210"/>
      <c r="SCO774" s="219"/>
      <c r="SCR774" s="92"/>
      <c r="SCS774" s="210"/>
      <c r="SCY774" s="219"/>
      <c r="SDB774" s="92"/>
      <c r="SDC774" s="210"/>
      <c r="SDI774" s="219"/>
      <c r="SDL774" s="92"/>
      <c r="SDM774" s="210"/>
      <c r="SDS774" s="219"/>
      <c r="SDV774" s="92"/>
      <c r="SDW774" s="210"/>
      <c r="SEC774" s="219"/>
      <c r="SEF774" s="92"/>
      <c r="SEG774" s="210"/>
      <c r="SEM774" s="219"/>
      <c r="SEP774" s="92"/>
      <c r="SEQ774" s="210"/>
      <c r="SEW774" s="219"/>
      <c r="SEZ774" s="92"/>
      <c r="SFA774" s="210"/>
      <c r="SFG774" s="219"/>
      <c r="SFJ774" s="92"/>
      <c r="SFK774" s="210"/>
      <c r="SFQ774" s="219"/>
      <c r="SFT774" s="92"/>
      <c r="SFU774" s="210"/>
      <c r="SGA774" s="219"/>
      <c r="SGD774" s="92"/>
      <c r="SGE774" s="210"/>
      <c r="SGK774" s="219"/>
      <c r="SGN774" s="92"/>
      <c r="SGO774" s="210"/>
      <c r="SGU774" s="219"/>
      <c r="SGX774" s="92"/>
      <c r="SGY774" s="210"/>
      <c r="SHE774" s="219"/>
      <c r="SHH774" s="92"/>
      <c r="SHI774" s="210"/>
      <c r="SHO774" s="219"/>
      <c r="SHR774" s="92"/>
      <c r="SHS774" s="210"/>
      <c r="SHY774" s="219"/>
      <c r="SIB774" s="92"/>
      <c r="SIC774" s="210"/>
      <c r="SII774" s="219"/>
      <c r="SIL774" s="92"/>
      <c r="SIM774" s="210"/>
      <c r="SIS774" s="219"/>
      <c r="SIV774" s="92"/>
      <c r="SIW774" s="210"/>
      <c r="SJC774" s="219"/>
      <c r="SJF774" s="92"/>
      <c r="SJG774" s="210"/>
      <c r="SJM774" s="219"/>
      <c r="SJP774" s="92"/>
      <c r="SJQ774" s="210"/>
      <c r="SJW774" s="219"/>
      <c r="SJZ774" s="92"/>
      <c r="SKA774" s="210"/>
      <c r="SKG774" s="219"/>
      <c r="SKJ774" s="92"/>
      <c r="SKK774" s="210"/>
      <c r="SKQ774" s="219"/>
      <c r="SKT774" s="92"/>
      <c r="SKU774" s="210"/>
      <c r="SLA774" s="219"/>
      <c r="SLD774" s="92"/>
      <c r="SLE774" s="210"/>
      <c r="SLK774" s="219"/>
      <c r="SLN774" s="92"/>
      <c r="SLO774" s="210"/>
      <c r="SLU774" s="219"/>
      <c r="SLX774" s="92"/>
      <c r="SLY774" s="210"/>
      <c r="SME774" s="219"/>
      <c r="SMH774" s="92"/>
      <c r="SMI774" s="210"/>
      <c r="SMO774" s="219"/>
      <c r="SMR774" s="92"/>
      <c r="SMS774" s="210"/>
      <c r="SMY774" s="219"/>
      <c r="SNB774" s="92"/>
      <c r="SNC774" s="210"/>
      <c r="SNI774" s="219"/>
      <c r="SNL774" s="92"/>
      <c r="SNM774" s="210"/>
      <c r="SNS774" s="219"/>
      <c r="SNV774" s="92"/>
      <c r="SNW774" s="210"/>
      <c r="SOC774" s="219"/>
      <c r="SOF774" s="92"/>
      <c r="SOG774" s="210"/>
      <c r="SOM774" s="219"/>
      <c r="SOP774" s="92"/>
      <c r="SOQ774" s="210"/>
      <c r="SOW774" s="219"/>
      <c r="SOZ774" s="92"/>
      <c r="SPA774" s="210"/>
      <c r="SPG774" s="219"/>
      <c r="SPJ774" s="92"/>
      <c r="SPK774" s="210"/>
      <c r="SPQ774" s="219"/>
      <c r="SPT774" s="92"/>
      <c r="SPU774" s="210"/>
      <c r="SQA774" s="219"/>
      <c r="SQD774" s="92"/>
      <c r="SQE774" s="210"/>
      <c r="SQK774" s="219"/>
      <c r="SQN774" s="92"/>
      <c r="SQO774" s="210"/>
      <c r="SQU774" s="219"/>
      <c r="SQX774" s="92"/>
      <c r="SQY774" s="210"/>
      <c r="SRE774" s="219"/>
      <c r="SRH774" s="92"/>
      <c r="SRI774" s="210"/>
      <c r="SRO774" s="219"/>
      <c r="SRR774" s="92"/>
      <c r="SRS774" s="210"/>
      <c r="SRY774" s="219"/>
      <c r="SSB774" s="92"/>
      <c r="SSC774" s="210"/>
      <c r="SSI774" s="219"/>
      <c r="SSL774" s="92"/>
      <c r="SSM774" s="210"/>
      <c r="SSS774" s="219"/>
      <c r="SSV774" s="92"/>
      <c r="SSW774" s="210"/>
      <c r="STC774" s="219"/>
      <c r="STF774" s="92"/>
      <c r="STG774" s="210"/>
      <c r="STM774" s="219"/>
      <c r="STP774" s="92"/>
      <c r="STQ774" s="210"/>
      <c r="STW774" s="219"/>
      <c r="STZ774" s="92"/>
      <c r="SUA774" s="210"/>
      <c r="SUG774" s="219"/>
      <c r="SUJ774" s="92"/>
      <c r="SUK774" s="210"/>
      <c r="SUQ774" s="219"/>
      <c r="SUT774" s="92"/>
      <c r="SUU774" s="210"/>
      <c r="SVA774" s="219"/>
      <c r="SVD774" s="92"/>
      <c r="SVE774" s="210"/>
      <c r="SVK774" s="219"/>
      <c r="SVN774" s="92"/>
      <c r="SVO774" s="210"/>
      <c r="SVU774" s="219"/>
      <c r="SVX774" s="92"/>
      <c r="SVY774" s="210"/>
      <c r="SWE774" s="219"/>
      <c r="SWH774" s="92"/>
      <c r="SWI774" s="210"/>
      <c r="SWO774" s="219"/>
      <c r="SWR774" s="92"/>
      <c r="SWS774" s="210"/>
      <c r="SWY774" s="219"/>
      <c r="SXB774" s="92"/>
      <c r="SXC774" s="210"/>
      <c r="SXI774" s="219"/>
      <c r="SXL774" s="92"/>
      <c r="SXM774" s="210"/>
      <c r="SXS774" s="219"/>
      <c r="SXV774" s="92"/>
      <c r="SXW774" s="210"/>
      <c r="SYC774" s="219"/>
      <c r="SYF774" s="92"/>
      <c r="SYG774" s="210"/>
      <c r="SYM774" s="219"/>
      <c r="SYP774" s="92"/>
      <c r="SYQ774" s="210"/>
      <c r="SYW774" s="219"/>
      <c r="SYZ774" s="92"/>
      <c r="SZA774" s="210"/>
      <c r="SZG774" s="219"/>
      <c r="SZJ774" s="92"/>
      <c r="SZK774" s="210"/>
      <c r="SZQ774" s="219"/>
      <c r="SZT774" s="92"/>
      <c r="SZU774" s="210"/>
      <c r="TAA774" s="219"/>
      <c r="TAD774" s="92"/>
      <c r="TAE774" s="210"/>
      <c r="TAK774" s="219"/>
      <c r="TAN774" s="92"/>
      <c r="TAO774" s="210"/>
      <c r="TAU774" s="219"/>
      <c r="TAX774" s="92"/>
      <c r="TAY774" s="210"/>
      <c r="TBE774" s="219"/>
      <c r="TBH774" s="92"/>
      <c r="TBI774" s="210"/>
      <c r="TBO774" s="219"/>
      <c r="TBR774" s="92"/>
      <c r="TBS774" s="210"/>
      <c r="TBY774" s="219"/>
      <c r="TCB774" s="92"/>
      <c r="TCC774" s="210"/>
      <c r="TCI774" s="219"/>
      <c r="TCL774" s="92"/>
      <c r="TCM774" s="210"/>
      <c r="TCS774" s="219"/>
      <c r="TCV774" s="92"/>
      <c r="TCW774" s="210"/>
      <c r="TDC774" s="219"/>
      <c r="TDF774" s="92"/>
      <c r="TDG774" s="210"/>
      <c r="TDM774" s="219"/>
      <c r="TDP774" s="92"/>
      <c r="TDQ774" s="210"/>
      <c r="TDW774" s="219"/>
      <c r="TDZ774" s="92"/>
      <c r="TEA774" s="210"/>
      <c r="TEG774" s="219"/>
      <c r="TEJ774" s="92"/>
      <c r="TEK774" s="210"/>
      <c r="TEQ774" s="219"/>
      <c r="TET774" s="92"/>
      <c r="TEU774" s="210"/>
      <c r="TFA774" s="219"/>
      <c r="TFD774" s="92"/>
      <c r="TFE774" s="210"/>
      <c r="TFK774" s="219"/>
      <c r="TFN774" s="92"/>
      <c r="TFO774" s="210"/>
      <c r="TFU774" s="219"/>
      <c r="TFX774" s="92"/>
      <c r="TFY774" s="210"/>
      <c r="TGE774" s="219"/>
      <c r="TGH774" s="92"/>
      <c r="TGI774" s="210"/>
      <c r="TGO774" s="219"/>
      <c r="TGR774" s="92"/>
      <c r="TGS774" s="210"/>
      <c r="TGY774" s="219"/>
      <c r="THB774" s="92"/>
      <c r="THC774" s="210"/>
      <c r="THI774" s="219"/>
      <c r="THL774" s="92"/>
      <c r="THM774" s="210"/>
      <c r="THS774" s="219"/>
      <c r="THV774" s="92"/>
      <c r="THW774" s="210"/>
      <c r="TIC774" s="219"/>
      <c r="TIF774" s="92"/>
      <c r="TIG774" s="210"/>
      <c r="TIM774" s="219"/>
      <c r="TIP774" s="92"/>
      <c r="TIQ774" s="210"/>
      <c r="TIW774" s="219"/>
      <c r="TIZ774" s="92"/>
      <c r="TJA774" s="210"/>
      <c r="TJG774" s="219"/>
      <c r="TJJ774" s="92"/>
      <c r="TJK774" s="210"/>
      <c r="TJQ774" s="219"/>
      <c r="TJT774" s="92"/>
      <c r="TJU774" s="210"/>
      <c r="TKA774" s="219"/>
      <c r="TKD774" s="92"/>
      <c r="TKE774" s="210"/>
      <c r="TKK774" s="219"/>
      <c r="TKN774" s="92"/>
      <c r="TKO774" s="210"/>
      <c r="TKU774" s="219"/>
      <c r="TKX774" s="92"/>
      <c r="TKY774" s="210"/>
      <c r="TLE774" s="219"/>
      <c r="TLH774" s="92"/>
      <c r="TLI774" s="210"/>
      <c r="TLO774" s="219"/>
      <c r="TLR774" s="92"/>
      <c r="TLS774" s="210"/>
      <c r="TLY774" s="219"/>
      <c r="TMB774" s="92"/>
      <c r="TMC774" s="210"/>
      <c r="TMI774" s="219"/>
      <c r="TML774" s="92"/>
      <c r="TMM774" s="210"/>
      <c r="TMS774" s="219"/>
      <c r="TMV774" s="92"/>
      <c r="TMW774" s="210"/>
      <c r="TNC774" s="219"/>
      <c r="TNF774" s="92"/>
      <c r="TNG774" s="210"/>
      <c r="TNM774" s="219"/>
      <c r="TNP774" s="92"/>
      <c r="TNQ774" s="210"/>
      <c r="TNW774" s="219"/>
      <c r="TNZ774" s="92"/>
      <c r="TOA774" s="210"/>
      <c r="TOG774" s="219"/>
      <c r="TOJ774" s="92"/>
      <c r="TOK774" s="210"/>
      <c r="TOQ774" s="219"/>
      <c r="TOT774" s="92"/>
      <c r="TOU774" s="210"/>
      <c r="TPA774" s="219"/>
      <c r="TPD774" s="92"/>
      <c r="TPE774" s="210"/>
      <c r="TPK774" s="219"/>
      <c r="TPN774" s="92"/>
      <c r="TPO774" s="210"/>
      <c r="TPU774" s="219"/>
      <c r="TPX774" s="92"/>
      <c r="TPY774" s="210"/>
      <c r="TQE774" s="219"/>
      <c r="TQH774" s="92"/>
      <c r="TQI774" s="210"/>
      <c r="TQO774" s="219"/>
      <c r="TQR774" s="92"/>
      <c r="TQS774" s="210"/>
      <c r="TQY774" s="219"/>
      <c r="TRB774" s="92"/>
      <c r="TRC774" s="210"/>
      <c r="TRI774" s="219"/>
      <c r="TRL774" s="92"/>
      <c r="TRM774" s="210"/>
      <c r="TRS774" s="219"/>
      <c r="TRV774" s="92"/>
      <c r="TRW774" s="210"/>
      <c r="TSC774" s="219"/>
      <c r="TSF774" s="92"/>
      <c r="TSG774" s="210"/>
      <c r="TSM774" s="219"/>
      <c r="TSP774" s="92"/>
      <c r="TSQ774" s="210"/>
      <c r="TSW774" s="219"/>
      <c r="TSZ774" s="92"/>
      <c r="TTA774" s="210"/>
      <c r="TTG774" s="219"/>
      <c r="TTJ774" s="92"/>
      <c r="TTK774" s="210"/>
      <c r="TTQ774" s="219"/>
      <c r="TTT774" s="92"/>
      <c r="TTU774" s="210"/>
      <c r="TUA774" s="219"/>
      <c r="TUD774" s="92"/>
      <c r="TUE774" s="210"/>
      <c r="TUK774" s="219"/>
      <c r="TUN774" s="92"/>
      <c r="TUO774" s="210"/>
      <c r="TUU774" s="219"/>
      <c r="TUX774" s="92"/>
      <c r="TUY774" s="210"/>
      <c r="TVE774" s="219"/>
      <c r="TVH774" s="92"/>
      <c r="TVI774" s="210"/>
      <c r="TVO774" s="219"/>
      <c r="TVR774" s="92"/>
      <c r="TVS774" s="210"/>
      <c r="TVY774" s="219"/>
      <c r="TWB774" s="92"/>
      <c r="TWC774" s="210"/>
      <c r="TWI774" s="219"/>
      <c r="TWL774" s="92"/>
      <c r="TWM774" s="210"/>
      <c r="TWS774" s="219"/>
      <c r="TWV774" s="92"/>
      <c r="TWW774" s="210"/>
      <c r="TXC774" s="219"/>
      <c r="TXF774" s="92"/>
      <c r="TXG774" s="210"/>
      <c r="TXM774" s="219"/>
      <c r="TXP774" s="92"/>
      <c r="TXQ774" s="210"/>
      <c r="TXW774" s="219"/>
      <c r="TXZ774" s="92"/>
      <c r="TYA774" s="210"/>
      <c r="TYG774" s="219"/>
      <c r="TYJ774" s="92"/>
      <c r="TYK774" s="210"/>
      <c r="TYQ774" s="219"/>
      <c r="TYT774" s="92"/>
      <c r="TYU774" s="210"/>
      <c r="TZA774" s="219"/>
      <c r="TZD774" s="92"/>
      <c r="TZE774" s="210"/>
      <c r="TZK774" s="219"/>
      <c r="TZN774" s="92"/>
      <c r="TZO774" s="210"/>
      <c r="TZU774" s="219"/>
      <c r="TZX774" s="92"/>
      <c r="TZY774" s="210"/>
      <c r="UAE774" s="219"/>
      <c r="UAH774" s="92"/>
      <c r="UAI774" s="210"/>
      <c r="UAO774" s="219"/>
      <c r="UAR774" s="92"/>
      <c r="UAS774" s="210"/>
      <c r="UAY774" s="219"/>
      <c r="UBB774" s="92"/>
      <c r="UBC774" s="210"/>
      <c r="UBI774" s="219"/>
      <c r="UBL774" s="92"/>
      <c r="UBM774" s="210"/>
      <c r="UBS774" s="219"/>
      <c r="UBV774" s="92"/>
      <c r="UBW774" s="210"/>
      <c r="UCC774" s="219"/>
      <c r="UCF774" s="92"/>
      <c r="UCG774" s="210"/>
      <c r="UCM774" s="219"/>
      <c r="UCP774" s="92"/>
      <c r="UCQ774" s="210"/>
      <c r="UCW774" s="219"/>
      <c r="UCZ774" s="92"/>
      <c r="UDA774" s="210"/>
      <c r="UDG774" s="219"/>
      <c r="UDJ774" s="92"/>
      <c r="UDK774" s="210"/>
      <c r="UDQ774" s="219"/>
      <c r="UDT774" s="92"/>
      <c r="UDU774" s="210"/>
      <c r="UEA774" s="219"/>
      <c r="UED774" s="92"/>
      <c r="UEE774" s="210"/>
      <c r="UEK774" s="219"/>
      <c r="UEN774" s="92"/>
      <c r="UEO774" s="210"/>
      <c r="UEU774" s="219"/>
      <c r="UEX774" s="92"/>
      <c r="UEY774" s="210"/>
      <c r="UFE774" s="219"/>
      <c r="UFH774" s="92"/>
      <c r="UFI774" s="210"/>
      <c r="UFO774" s="219"/>
      <c r="UFR774" s="92"/>
      <c r="UFS774" s="210"/>
      <c r="UFY774" s="219"/>
      <c r="UGB774" s="92"/>
      <c r="UGC774" s="210"/>
      <c r="UGI774" s="219"/>
      <c r="UGL774" s="92"/>
      <c r="UGM774" s="210"/>
      <c r="UGS774" s="219"/>
      <c r="UGV774" s="92"/>
      <c r="UGW774" s="210"/>
      <c r="UHC774" s="219"/>
      <c r="UHF774" s="92"/>
      <c r="UHG774" s="210"/>
      <c r="UHM774" s="219"/>
      <c r="UHP774" s="92"/>
      <c r="UHQ774" s="210"/>
      <c r="UHW774" s="219"/>
      <c r="UHZ774" s="92"/>
      <c r="UIA774" s="210"/>
      <c r="UIG774" s="219"/>
      <c r="UIJ774" s="92"/>
      <c r="UIK774" s="210"/>
      <c r="UIQ774" s="219"/>
      <c r="UIT774" s="92"/>
      <c r="UIU774" s="210"/>
      <c r="UJA774" s="219"/>
      <c r="UJD774" s="92"/>
      <c r="UJE774" s="210"/>
      <c r="UJK774" s="219"/>
      <c r="UJN774" s="92"/>
      <c r="UJO774" s="210"/>
      <c r="UJU774" s="219"/>
      <c r="UJX774" s="92"/>
      <c r="UJY774" s="210"/>
      <c r="UKE774" s="219"/>
      <c r="UKH774" s="92"/>
      <c r="UKI774" s="210"/>
      <c r="UKO774" s="219"/>
      <c r="UKR774" s="92"/>
      <c r="UKS774" s="210"/>
      <c r="UKY774" s="219"/>
      <c r="ULB774" s="92"/>
      <c r="ULC774" s="210"/>
      <c r="ULI774" s="219"/>
      <c r="ULL774" s="92"/>
      <c r="ULM774" s="210"/>
      <c r="ULS774" s="219"/>
      <c r="ULV774" s="92"/>
      <c r="ULW774" s="210"/>
      <c r="UMC774" s="219"/>
      <c r="UMF774" s="92"/>
      <c r="UMG774" s="210"/>
      <c r="UMM774" s="219"/>
      <c r="UMP774" s="92"/>
      <c r="UMQ774" s="210"/>
      <c r="UMW774" s="219"/>
      <c r="UMZ774" s="92"/>
      <c r="UNA774" s="210"/>
      <c r="UNG774" s="219"/>
      <c r="UNJ774" s="92"/>
      <c r="UNK774" s="210"/>
      <c r="UNQ774" s="219"/>
      <c r="UNT774" s="92"/>
      <c r="UNU774" s="210"/>
      <c r="UOA774" s="219"/>
      <c r="UOD774" s="92"/>
      <c r="UOE774" s="210"/>
      <c r="UOK774" s="219"/>
      <c r="UON774" s="92"/>
      <c r="UOO774" s="210"/>
      <c r="UOU774" s="219"/>
      <c r="UOX774" s="92"/>
      <c r="UOY774" s="210"/>
      <c r="UPE774" s="219"/>
      <c r="UPH774" s="92"/>
      <c r="UPI774" s="210"/>
      <c r="UPO774" s="219"/>
      <c r="UPR774" s="92"/>
      <c r="UPS774" s="210"/>
      <c r="UPY774" s="219"/>
      <c r="UQB774" s="92"/>
      <c r="UQC774" s="210"/>
      <c r="UQI774" s="219"/>
      <c r="UQL774" s="92"/>
      <c r="UQM774" s="210"/>
      <c r="UQS774" s="219"/>
      <c r="UQV774" s="92"/>
      <c r="UQW774" s="210"/>
      <c r="URC774" s="219"/>
      <c r="URF774" s="92"/>
      <c r="URG774" s="210"/>
      <c r="URM774" s="219"/>
      <c r="URP774" s="92"/>
      <c r="URQ774" s="210"/>
      <c r="URW774" s="219"/>
      <c r="URZ774" s="92"/>
      <c r="USA774" s="210"/>
      <c r="USG774" s="219"/>
      <c r="USJ774" s="92"/>
      <c r="USK774" s="210"/>
      <c r="USQ774" s="219"/>
      <c r="UST774" s="92"/>
      <c r="USU774" s="210"/>
      <c r="UTA774" s="219"/>
      <c r="UTD774" s="92"/>
      <c r="UTE774" s="210"/>
      <c r="UTK774" s="219"/>
      <c r="UTN774" s="92"/>
      <c r="UTO774" s="210"/>
      <c r="UTU774" s="219"/>
      <c r="UTX774" s="92"/>
      <c r="UTY774" s="210"/>
      <c r="UUE774" s="219"/>
      <c r="UUH774" s="92"/>
      <c r="UUI774" s="210"/>
      <c r="UUO774" s="219"/>
      <c r="UUR774" s="92"/>
      <c r="UUS774" s="210"/>
      <c r="UUY774" s="219"/>
      <c r="UVB774" s="92"/>
      <c r="UVC774" s="210"/>
      <c r="UVI774" s="219"/>
      <c r="UVL774" s="92"/>
      <c r="UVM774" s="210"/>
      <c r="UVS774" s="219"/>
      <c r="UVV774" s="92"/>
      <c r="UVW774" s="210"/>
      <c r="UWC774" s="219"/>
      <c r="UWF774" s="92"/>
      <c r="UWG774" s="210"/>
      <c r="UWM774" s="219"/>
      <c r="UWP774" s="92"/>
      <c r="UWQ774" s="210"/>
      <c r="UWW774" s="219"/>
      <c r="UWZ774" s="92"/>
      <c r="UXA774" s="210"/>
      <c r="UXG774" s="219"/>
      <c r="UXJ774" s="92"/>
      <c r="UXK774" s="210"/>
      <c r="UXQ774" s="219"/>
      <c r="UXT774" s="92"/>
      <c r="UXU774" s="210"/>
      <c r="UYA774" s="219"/>
      <c r="UYD774" s="92"/>
      <c r="UYE774" s="210"/>
      <c r="UYK774" s="219"/>
      <c r="UYN774" s="92"/>
      <c r="UYO774" s="210"/>
      <c r="UYU774" s="219"/>
      <c r="UYX774" s="92"/>
      <c r="UYY774" s="210"/>
      <c r="UZE774" s="219"/>
      <c r="UZH774" s="92"/>
      <c r="UZI774" s="210"/>
      <c r="UZO774" s="219"/>
      <c r="UZR774" s="92"/>
      <c r="UZS774" s="210"/>
      <c r="UZY774" s="219"/>
      <c r="VAB774" s="92"/>
      <c r="VAC774" s="210"/>
      <c r="VAI774" s="219"/>
      <c r="VAL774" s="92"/>
      <c r="VAM774" s="210"/>
      <c r="VAS774" s="219"/>
      <c r="VAV774" s="92"/>
      <c r="VAW774" s="210"/>
      <c r="VBC774" s="219"/>
      <c r="VBF774" s="92"/>
      <c r="VBG774" s="210"/>
      <c r="VBM774" s="219"/>
      <c r="VBP774" s="92"/>
      <c r="VBQ774" s="210"/>
      <c r="VBW774" s="219"/>
      <c r="VBZ774" s="92"/>
      <c r="VCA774" s="210"/>
      <c r="VCG774" s="219"/>
      <c r="VCJ774" s="92"/>
      <c r="VCK774" s="210"/>
      <c r="VCQ774" s="219"/>
      <c r="VCT774" s="92"/>
      <c r="VCU774" s="210"/>
      <c r="VDA774" s="219"/>
      <c r="VDD774" s="92"/>
      <c r="VDE774" s="210"/>
      <c r="VDK774" s="219"/>
      <c r="VDN774" s="92"/>
      <c r="VDO774" s="210"/>
      <c r="VDU774" s="219"/>
      <c r="VDX774" s="92"/>
      <c r="VDY774" s="210"/>
      <c r="VEE774" s="219"/>
      <c r="VEH774" s="92"/>
      <c r="VEI774" s="210"/>
      <c r="VEO774" s="219"/>
      <c r="VER774" s="92"/>
      <c r="VES774" s="210"/>
      <c r="VEY774" s="219"/>
      <c r="VFB774" s="92"/>
      <c r="VFC774" s="210"/>
      <c r="VFI774" s="219"/>
      <c r="VFL774" s="92"/>
      <c r="VFM774" s="210"/>
      <c r="VFS774" s="219"/>
      <c r="VFV774" s="92"/>
      <c r="VFW774" s="210"/>
      <c r="VGC774" s="219"/>
      <c r="VGF774" s="92"/>
      <c r="VGG774" s="210"/>
      <c r="VGM774" s="219"/>
      <c r="VGP774" s="92"/>
      <c r="VGQ774" s="210"/>
      <c r="VGW774" s="219"/>
      <c r="VGZ774" s="92"/>
      <c r="VHA774" s="210"/>
      <c r="VHG774" s="219"/>
      <c r="VHJ774" s="92"/>
      <c r="VHK774" s="210"/>
      <c r="VHQ774" s="219"/>
      <c r="VHT774" s="92"/>
      <c r="VHU774" s="210"/>
      <c r="VIA774" s="219"/>
      <c r="VID774" s="92"/>
      <c r="VIE774" s="210"/>
      <c r="VIK774" s="219"/>
      <c r="VIN774" s="92"/>
      <c r="VIO774" s="210"/>
      <c r="VIU774" s="219"/>
      <c r="VIX774" s="92"/>
      <c r="VIY774" s="210"/>
      <c r="VJE774" s="219"/>
      <c r="VJH774" s="92"/>
      <c r="VJI774" s="210"/>
      <c r="VJO774" s="219"/>
      <c r="VJR774" s="92"/>
      <c r="VJS774" s="210"/>
      <c r="VJY774" s="219"/>
      <c r="VKB774" s="92"/>
      <c r="VKC774" s="210"/>
      <c r="VKI774" s="219"/>
      <c r="VKL774" s="92"/>
      <c r="VKM774" s="210"/>
      <c r="VKS774" s="219"/>
      <c r="VKV774" s="92"/>
      <c r="VKW774" s="210"/>
      <c r="VLC774" s="219"/>
      <c r="VLF774" s="92"/>
      <c r="VLG774" s="210"/>
      <c r="VLM774" s="219"/>
      <c r="VLP774" s="92"/>
      <c r="VLQ774" s="210"/>
      <c r="VLW774" s="219"/>
      <c r="VLZ774" s="92"/>
      <c r="VMA774" s="210"/>
      <c r="VMG774" s="219"/>
      <c r="VMJ774" s="92"/>
      <c r="VMK774" s="210"/>
      <c r="VMQ774" s="219"/>
      <c r="VMT774" s="92"/>
      <c r="VMU774" s="210"/>
      <c r="VNA774" s="219"/>
      <c r="VND774" s="92"/>
      <c r="VNE774" s="210"/>
      <c r="VNK774" s="219"/>
      <c r="VNN774" s="92"/>
      <c r="VNO774" s="210"/>
      <c r="VNU774" s="219"/>
      <c r="VNX774" s="92"/>
      <c r="VNY774" s="210"/>
      <c r="VOE774" s="219"/>
      <c r="VOH774" s="92"/>
      <c r="VOI774" s="210"/>
      <c r="VOO774" s="219"/>
      <c r="VOR774" s="92"/>
      <c r="VOS774" s="210"/>
      <c r="VOY774" s="219"/>
      <c r="VPB774" s="92"/>
      <c r="VPC774" s="210"/>
      <c r="VPI774" s="219"/>
      <c r="VPL774" s="92"/>
      <c r="VPM774" s="210"/>
      <c r="VPS774" s="219"/>
      <c r="VPV774" s="92"/>
      <c r="VPW774" s="210"/>
      <c r="VQC774" s="219"/>
      <c r="VQF774" s="92"/>
      <c r="VQG774" s="210"/>
      <c r="VQM774" s="219"/>
      <c r="VQP774" s="92"/>
      <c r="VQQ774" s="210"/>
      <c r="VQW774" s="219"/>
      <c r="VQZ774" s="92"/>
      <c r="VRA774" s="210"/>
      <c r="VRG774" s="219"/>
      <c r="VRJ774" s="92"/>
      <c r="VRK774" s="210"/>
      <c r="VRQ774" s="219"/>
      <c r="VRT774" s="92"/>
      <c r="VRU774" s="210"/>
      <c r="VSA774" s="219"/>
      <c r="VSD774" s="92"/>
      <c r="VSE774" s="210"/>
      <c r="VSK774" s="219"/>
      <c r="VSN774" s="92"/>
      <c r="VSO774" s="210"/>
      <c r="VSU774" s="219"/>
      <c r="VSX774" s="92"/>
      <c r="VSY774" s="210"/>
      <c r="VTE774" s="219"/>
      <c r="VTH774" s="92"/>
      <c r="VTI774" s="210"/>
      <c r="VTO774" s="219"/>
      <c r="VTR774" s="92"/>
      <c r="VTS774" s="210"/>
      <c r="VTY774" s="219"/>
      <c r="VUB774" s="92"/>
      <c r="VUC774" s="210"/>
      <c r="VUI774" s="219"/>
      <c r="VUL774" s="92"/>
      <c r="VUM774" s="210"/>
      <c r="VUS774" s="219"/>
      <c r="VUV774" s="92"/>
      <c r="VUW774" s="210"/>
      <c r="VVC774" s="219"/>
      <c r="VVF774" s="92"/>
      <c r="VVG774" s="210"/>
      <c r="VVM774" s="219"/>
      <c r="VVP774" s="92"/>
      <c r="VVQ774" s="210"/>
      <c r="VVW774" s="219"/>
      <c r="VVZ774" s="92"/>
      <c r="VWA774" s="210"/>
      <c r="VWG774" s="219"/>
      <c r="VWJ774" s="92"/>
      <c r="VWK774" s="210"/>
      <c r="VWQ774" s="219"/>
      <c r="VWT774" s="92"/>
      <c r="VWU774" s="210"/>
      <c r="VXA774" s="219"/>
      <c r="VXD774" s="92"/>
      <c r="VXE774" s="210"/>
      <c r="VXK774" s="219"/>
      <c r="VXN774" s="92"/>
      <c r="VXO774" s="210"/>
      <c r="VXU774" s="219"/>
      <c r="VXX774" s="92"/>
      <c r="VXY774" s="210"/>
      <c r="VYE774" s="219"/>
      <c r="VYH774" s="92"/>
      <c r="VYI774" s="210"/>
      <c r="VYO774" s="219"/>
      <c r="VYR774" s="92"/>
      <c r="VYS774" s="210"/>
      <c r="VYY774" s="219"/>
      <c r="VZB774" s="92"/>
      <c r="VZC774" s="210"/>
      <c r="VZI774" s="219"/>
      <c r="VZL774" s="92"/>
      <c r="VZM774" s="210"/>
      <c r="VZS774" s="219"/>
      <c r="VZV774" s="92"/>
      <c r="VZW774" s="210"/>
      <c r="WAC774" s="219"/>
      <c r="WAF774" s="92"/>
      <c r="WAG774" s="210"/>
      <c r="WAM774" s="219"/>
      <c r="WAP774" s="92"/>
      <c r="WAQ774" s="210"/>
      <c r="WAW774" s="219"/>
      <c r="WAZ774" s="92"/>
      <c r="WBA774" s="210"/>
      <c r="WBG774" s="219"/>
      <c r="WBJ774" s="92"/>
      <c r="WBK774" s="210"/>
      <c r="WBQ774" s="219"/>
      <c r="WBT774" s="92"/>
      <c r="WBU774" s="210"/>
      <c r="WCA774" s="219"/>
      <c r="WCD774" s="92"/>
      <c r="WCE774" s="210"/>
      <c r="WCK774" s="219"/>
      <c r="WCN774" s="92"/>
      <c r="WCO774" s="210"/>
      <c r="WCU774" s="219"/>
      <c r="WCX774" s="92"/>
      <c r="WCY774" s="210"/>
      <c r="WDE774" s="219"/>
      <c r="WDH774" s="92"/>
      <c r="WDI774" s="210"/>
      <c r="WDO774" s="219"/>
      <c r="WDR774" s="92"/>
      <c r="WDS774" s="210"/>
      <c r="WDY774" s="219"/>
      <c r="WEB774" s="92"/>
      <c r="WEC774" s="210"/>
      <c r="WEI774" s="219"/>
      <c r="WEL774" s="92"/>
      <c r="WEM774" s="210"/>
      <c r="WES774" s="219"/>
      <c r="WEV774" s="92"/>
      <c r="WEW774" s="210"/>
      <c r="WFC774" s="219"/>
      <c r="WFF774" s="92"/>
      <c r="WFG774" s="210"/>
      <c r="WFM774" s="219"/>
      <c r="WFP774" s="92"/>
      <c r="WFQ774" s="210"/>
      <c r="WFW774" s="219"/>
      <c r="WFZ774" s="92"/>
      <c r="WGA774" s="210"/>
      <c r="WGG774" s="219"/>
      <c r="WGJ774" s="92"/>
      <c r="WGK774" s="210"/>
      <c r="WGQ774" s="219"/>
      <c r="WGT774" s="92"/>
      <c r="WGU774" s="210"/>
      <c r="WHA774" s="219"/>
      <c r="WHD774" s="92"/>
      <c r="WHE774" s="210"/>
      <c r="WHK774" s="219"/>
      <c r="WHN774" s="92"/>
      <c r="WHO774" s="210"/>
      <c r="WHU774" s="219"/>
      <c r="WHX774" s="92"/>
      <c r="WHY774" s="210"/>
      <c r="WIE774" s="219"/>
      <c r="WIH774" s="92"/>
      <c r="WII774" s="210"/>
      <c r="WIO774" s="219"/>
      <c r="WIR774" s="92"/>
      <c r="WIS774" s="210"/>
      <c r="WIY774" s="219"/>
      <c r="WJB774" s="92"/>
      <c r="WJC774" s="210"/>
      <c r="WJI774" s="219"/>
      <c r="WJL774" s="92"/>
      <c r="WJM774" s="210"/>
      <c r="WJS774" s="219"/>
      <c r="WJV774" s="92"/>
      <c r="WJW774" s="210"/>
      <c r="WKC774" s="219"/>
      <c r="WKF774" s="92"/>
      <c r="WKG774" s="210"/>
      <c r="WKM774" s="219"/>
      <c r="WKP774" s="92"/>
      <c r="WKQ774" s="210"/>
      <c r="WKW774" s="219"/>
      <c r="WKZ774" s="92"/>
      <c r="WLA774" s="210"/>
      <c r="WLG774" s="219"/>
      <c r="WLJ774" s="92"/>
      <c r="WLK774" s="210"/>
      <c r="WLQ774" s="219"/>
      <c r="WLT774" s="92"/>
      <c r="WLU774" s="210"/>
      <c r="WMA774" s="219"/>
      <c r="WMD774" s="92"/>
      <c r="WME774" s="210"/>
      <c r="WMK774" s="219"/>
      <c r="WMN774" s="92"/>
      <c r="WMO774" s="210"/>
      <c r="WMU774" s="219"/>
      <c r="WMX774" s="92"/>
      <c r="WMY774" s="210"/>
      <c r="WNE774" s="219"/>
      <c r="WNH774" s="92"/>
      <c r="WNI774" s="210"/>
      <c r="WNO774" s="219"/>
      <c r="WNR774" s="92"/>
      <c r="WNS774" s="210"/>
      <c r="WNY774" s="219"/>
      <c r="WOB774" s="92"/>
      <c r="WOC774" s="210"/>
      <c r="WOI774" s="219"/>
      <c r="WOL774" s="92"/>
      <c r="WOM774" s="210"/>
      <c r="WOS774" s="219"/>
      <c r="WOV774" s="92"/>
      <c r="WOW774" s="210"/>
      <c r="WPC774" s="219"/>
      <c r="WPF774" s="92"/>
      <c r="WPG774" s="210"/>
      <c r="WPM774" s="219"/>
      <c r="WPP774" s="92"/>
      <c r="WPQ774" s="210"/>
      <c r="WPW774" s="219"/>
      <c r="WPZ774" s="92"/>
      <c r="WQA774" s="210"/>
      <c r="WQG774" s="219"/>
      <c r="WQJ774" s="92"/>
      <c r="WQK774" s="210"/>
      <c r="WQQ774" s="219"/>
      <c r="WQT774" s="92"/>
      <c r="WQU774" s="210"/>
      <c r="WRA774" s="219"/>
      <c r="WRD774" s="92"/>
      <c r="WRE774" s="210"/>
      <c r="WRK774" s="219"/>
      <c r="WRN774" s="92"/>
      <c r="WRO774" s="210"/>
      <c r="WRU774" s="219"/>
      <c r="WRX774" s="92"/>
      <c r="WRY774" s="210"/>
      <c r="WSE774" s="219"/>
      <c r="WSH774" s="92"/>
      <c r="WSI774" s="210"/>
      <c r="WSO774" s="219"/>
      <c r="WSR774" s="92"/>
      <c r="WSS774" s="210"/>
      <c r="WSY774" s="219"/>
      <c r="WTB774" s="92"/>
      <c r="WTC774" s="210"/>
      <c r="WTI774" s="219"/>
      <c r="WTL774" s="92"/>
      <c r="WTM774" s="210"/>
      <c r="WTS774" s="219"/>
      <c r="WTV774" s="92"/>
      <c r="WTW774" s="210"/>
      <c r="WUC774" s="219"/>
      <c r="WUF774" s="92"/>
      <c r="WUG774" s="210"/>
      <c r="WUM774" s="219"/>
      <c r="WUP774" s="92"/>
      <c r="WUQ774" s="210"/>
      <c r="WUW774" s="219"/>
      <c r="WUZ774" s="92"/>
      <c r="WVA774" s="210"/>
      <c r="WVG774" s="219"/>
      <c r="WVJ774" s="92"/>
      <c r="WVK774" s="210"/>
      <c r="WVQ774" s="219"/>
      <c r="WVT774" s="92"/>
      <c r="WVU774" s="210"/>
      <c r="WWA774" s="219"/>
      <c r="WWD774" s="92"/>
      <c r="WWE774" s="210"/>
      <c r="WWK774" s="219"/>
      <c r="WWN774" s="92"/>
      <c r="WWO774" s="210"/>
      <c r="WWU774" s="219"/>
      <c r="WWX774" s="92"/>
      <c r="WWY774" s="210"/>
      <c r="WXE774" s="219"/>
      <c r="WXH774" s="92"/>
      <c r="WXI774" s="210"/>
      <c r="WXO774" s="219"/>
      <c r="WXR774" s="92"/>
      <c r="WXS774" s="210"/>
      <c r="WXY774" s="219"/>
      <c r="WYB774" s="92"/>
      <c r="WYC774" s="210"/>
      <c r="WYI774" s="219"/>
      <c r="WYL774" s="92"/>
      <c r="WYM774" s="210"/>
      <c r="WYS774" s="219"/>
      <c r="WYV774" s="92"/>
      <c r="WYW774" s="210"/>
      <c r="WZC774" s="219"/>
      <c r="WZF774" s="92"/>
      <c r="WZG774" s="210"/>
      <c r="WZM774" s="219"/>
      <c r="WZP774" s="92"/>
      <c r="WZQ774" s="210"/>
      <c r="WZW774" s="219"/>
      <c r="WZZ774" s="92"/>
      <c r="XAA774" s="210"/>
      <c r="XAG774" s="219"/>
      <c r="XAJ774" s="92"/>
      <c r="XAK774" s="210"/>
      <c r="XAQ774" s="219"/>
      <c r="XAT774" s="92"/>
      <c r="XAU774" s="210"/>
      <c r="XBA774" s="219"/>
      <c r="XBD774" s="92"/>
      <c r="XBE774" s="210"/>
      <c r="XBK774" s="219"/>
      <c r="XBN774" s="92"/>
      <c r="XBO774" s="210"/>
      <c r="XBU774" s="219"/>
      <c r="XBX774" s="92"/>
      <c r="XBY774" s="210"/>
      <c r="XCE774" s="219"/>
      <c r="XCH774" s="92"/>
      <c r="XCI774" s="210"/>
      <c r="XCO774" s="219"/>
      <c r="XCR774" s="92"/>
      <c r="XCS774" s="210"/>
      <c r="XCY774" s="219"/>
      <c r="XDB774" s="92"/>
      <c r="XDC774" s="210"/>
      <c r="XDI774" s="219"/>
      <c r="XDL774" s="92"/>
      <c r="XDM774" s="210"/>
      <c r="XDS774" s="219"/>
      <c r="XDV774" s="92"/>
      <c r="XDW774" s="210"/>
      <c r="XEC774" s="219"/>
      <c r="XEF774" s="92"/>
      <c r="XEG774" s="210"/>
      <c r="XEM774" s="219"/>
      <c r="XEP774" s="92"/>
      <c r="XEQ774" s="210"/>
      <c r="XEW774" s="219"/>
      <c r="XEZ774" s="92"/>
      <c r="XFA774" s="210"/>
    </row>
    <row r="775" spans="1:1021 1027:2047 2050:3071 3077:4091 4097:6141 6147:7167 7170:8191 8197:9211 9217:11261 11267:12287 12290:13311 13317:14331 14337:16381">
      <c r="A775" s="448" t="s">
        <v>638</v>
      </c>
      <c r="B775" s="448" t="s">
        <v>639</v>
      </c>
      <c r="C775" s="448" t="s">
        <v>640</v>
      </c>
      <c r="D775" s="448" t="s">
        <v>641</v>
      </c>
      <c r="E775" s="448" t="s">
        <v>642</v>
      </c>
      <c r="F775" s="448" t="s">
        <v>643</v>
      </c>
      <c r="G775" s="448" t="s">
        <v>644</v>
      </c>
      <c r="H775" s="451">
        <v>0.1</v>
      </c>
      <c r="J775" s="92"/>
    </row>
    <row r="776" spans="1:1021 1027:2047 2050:3071 3077:4091 4097:6141 6147:7167 7170:8191 8197:9211 9217:11261 11267:12287 12290:13311 13317:14331 14337:16381" s="174" customFormat="1">
      <c r="A776" s="448" t="s">
        <v>645</v>
      </c>
      <c r="B776" s="448" t="s">
        <v>646</v>
      </c>
      <c r="C776" s="448" t="s">
        <v>647</v>
      </c>
      <c r="D776" s="448" t="s">
        <v>611</v>
      </c>
      <c r="E776" s="448" t="s">
        <v>648</v>
      </c>
      <c r="F776" s="448" t="s">
        <v>649</v>
      </c>
      <c r="G776" s="448" t="s">
        <v>650</v>
      </c>
      <c r="H776" s="451">
        <v>-0.09</v>
      </c>
      <c r="I776"/>
      <c r="J776" s="92"/>
      <c r="Q776" s="219"/>
      <c r="T776" s="92"/>
      <c r="U776" s="210"/>
      <c r="AA776" s="219"/>
      <c r="AD776" s="92"/>
      <c r="AE776" s="210"/>
      <c r="AK776" s="219"/>
      <c r="AN776" s="92"/>
      <c r="AO776" s="210"/>
      <c r="AU776" s="219"/>
      <c r="AX776" s="92"/>
      <c r="AY776" s="210"/>
      <c r="BE776" s="219"/>
      <c r="BH776" s="92"/>
      <c r="BI776" s="210"/>
      <c r="BO776" s="219"/>
      <c r="BR776" s="92"/>
      <c r="BS776" s="210"/>
      <c r="BY776" s="219"/>
      <c r="CB776" s="92"/>
      <c r="CC776" s="210"/>
      <c r="CI776" s="219"/>
      <c r="CL776" s="92"/>
      <c r="CM776" s="210"/>
      <c r="CS776" s="219"/>
      <c r="CV776" s="92"/>
      <c r="CW776" s="210"/>
      <c r="DC776" s="219"/>
      <c r="DF776" s="92"/>
      <c r="DG776" s="210"/>
      <c r="DM776" s="219"/>
      <c r="DP776" s="92"/>
      <c r="DQ776" s="210"/>
      <c r="DW776" s="219"/>
      <c r="DZ776" s="92"/>
      <c r="EA776" s="210"/>
      <c r="EG776" s="219"/>
      <c r="EJ776" s="92"/>
      <c r="EK776" s="210"/>
      <c r="EQ776" s="219"/>
      <c r="ET776" s="92"/>
      <c r="EU776" s="210"/>
      <c r="FA776" s="219"/>
      <c r="FD776" s="92"/>
      <c r="FE776" s="210"/>
      <c r="FK776" s="219"/>
      <c r="FN776" s="92"/>
      <c r="FO776" s="210"/>
      <c r="FU776" s="219"/>
      <c r="FX776" s="92"/>
      <c r="FY776" s="210"/>
      <c r="GE776" s="219"/>
      <c r="GH776" s="92"/>
      <c r="GI776" s="210"/>
      <c r="GO776" s="219"/>
      <c r="GR776" s="92"/>
      <c r="GS776" s="210"/>
      <c r="GY776" s="219"/>
      <c r="HB776" s="92"/>
      <c r="HC776" s="210"/>
      <c r="HI776" s="219"/>
      <c r="HL776" s="92"/>
      <c r="HM776" s="210"/>
      <c r="HS776" s="219"/>
      <c r="HV776" s="92"/>
      <c r="HW776" s="210"/>
      <c r="IC776" s="219"/>
      <c r="IF776" s="92"/>
      <c r="IG776" s="210"/>
      <c r="IM776" s="219"/>
      <c r="IP776" s="92"/>
      <c r="IQ776" s="210"/>
      <c r="IW776" s="219"/>
      <c r="IZ776" s="92"/>
      <c r="JA776" s="210"/>
      <c r="JG776" s="219"/>
      <c r="JJ776" s="92"/>
      <c r="JK776" s="210"/>
      <c r="JQ776" s="219"/>
      <c r="JT776" s="92"/>
      <c r="JU776" s="210"/>
      <c r="KA776" s="219"/>
      <c r="KD776" s="92"/>
      <c r="KE776" s="210"/>
      <c r="KK776" s="219"/>
      <c r="KN776" s="92"/>
      <c r="KO776" s="210"/>
      <c r="KU776" s="219"/>
      <c r="KX776" s="92"/>
      <c r="KY776" s="210"/>
      <c r="LE776" s="219"/>
      <c r="LH776" s="92"/>
      <c r="LI776" s="210"/>
      <c r="LO776" s="219"/>
      <c r="LR776" s="92"/>
      <c r="LS776" s="210"/>
      <c r="LY776" s="219"/>
      <c r="MB776" s="92"/>
      <c r="MC776" s="210"/>
      <c r="MI776" s="219"/>
      <c r="ML776" s="92"/>
      <c r="MM776" s="210"/>
      <c r="MS776" s="219"/>
      <c r="MV776" s="92"/>
      <c r="MW776" s="210"/>
      <c r="NC776" s="219"/>
      <c r="NF776" s="92"/>
      <c r="NG776" s="210"/>
      <c r="NM776" s="219"/>
      <c r="NP776" s="92"/>
      <c r="NQ776" s="210"/>
      <c r="NW776" s="219"/>
      <c r="NZ776" s="92"/>
      <c r="OA776" s="210"/>
      <c r="OG776" s="219"/>
      <c r="OJ776" s="92"/>
      <c r="OK776" s="210"/>
      <c r="OQ776" s="219"/>
      <c r="OT776" s="92"/>
      <c r="OU776" s="210"/>
      <c r="PA776" s="219"/>
      <c r="PD776" s="92"/>
      <c r="PE776" s="210"/>
      <c r="PK776" s="219"/>
      <c r="PN776" s="92"/>
      <c r="PO776" s="210"/>
      <c r="PU776" s="219"/>
      <c r="PX776" s="92"/>
      <c r="PY776" s="210"/>
      <c r="QE776" s="219"/>
      <c r="QH776" s="92"/>
      <c r="QI776" s="210"/>
      <c r="QO776" s="219"/>
      <c r="QR776" s="92"/>
      <c r="QS776" s="210"/>
      <c r="QY776" s="219"/>
      <c r="RB776" s="92"/>
      <c r="RC776" s="210"/>
      <c r="RI776" s="219"/>
      <c r="RL776" s="92"/>
      <c r="RM776" s="210"/>
      <c r="RS776" s="219"/>
      <c r="RV776" s="92"/>
      <c r="RW776" s="210"/>
      <c r="SC776" s="219"/>
      <c r="SF776" s="92"/>
      <c r="SG776" s="210"/>
      <c r="SM776" s="219"/>
      <c r="SP776" s="92"/>
      <c r="SQ776" s="210"/>
      <c r="SW776" s="219"/>
      <c r="SZ776" s="92"/>
      <c r="TA776" s="210"/>
      <c r="TG776" s="219"/>
      <c r="TJ776" s="92"/>
      <c r="TK776" s="210"/>
      <c r="TQ776" s="219"/>
      <c r="TT776" s="92"/>
      <c r="TU776" s="210"/>
      <c r="UA776" s="219"/>
      <c r="UD776" s="92"/>
      <c r="UE776" s="210"/>
      <c r="UK776" s="219"/>
      <c r="UN776" s="92"/>
      <c r="UO776" s="210"/>
      <c r="UU776" s="219"/>
      <c r="UX776" s="92"/>
      <c r="UY776" s="210"/>
      <c r="VE776" s="219"/>
      <c r="VH776" s="92"/>
      <c r="VI776" s="210"/>
      <c r="VO776" s="219"/>
      <c r="VR776" s="92"/>
      <c r="VS776" s="210"/>
      <c r="VY776" s="219"/>
      <c r="WB776" s="92"/>
      <c r="WC776" s="210"/>
      <c r="WI776" s="219"/>
      <c r="WL776" s="92"/>
      <c r="WM776" s="210"/>
      <c r="WS776" s="219"/>
      <c r="WV776" s="92"/>
      <c r="WW776" s="210"/>
      <c r="XC776" s="219"/>
      <c r="XF776" s="92"/>
      <c r="XG776" s="210"/>
      <c r="XM776" s="219"/>
      <c r="XP776" s="92"/>
      <c r="XQ776" s="210"/>
      <c r="XW776" s="219"/>
      <c r="XZ776" s="92"/>
      <c r="YA776" s="210"/>
      <c r="YG776" s="219"/>
      <c r="YJ776" s="92"/>
      <c r="YK776" s="210"/>
      <c r="YQ776" s="219"/>
      <c r="YT776" s="92"/>
      <c r="YU776" s="210"/>
      <c r="ZA776" s="219"/>
      <c r="ZD776" s="92"/>
      <c r="ZE776" s="210"/>
      <c r="ZK776" s="219"/>
      <c r="ZN776" s="92"/>
      <c r="ZO776" s="210"/>
      <c r="ZU776" s="219"/>
      <c r="ZX776" s="92"/>
      <c r="ZY776" s="210"/>
      <c r="AAE776" s="219"/>
      <c r="AAH776" s="92"/>
      <c r="AAI776" s="210"/>
      <c r="AAO776" s="219"/>
      <c r="AAR776" s="92"/>
      <c r="AAS776" s="210"/>
      <c r="AAY776" s="219"/>
      <c r="ABB776" s="92"/>
      <c r="ABC776" s="210"/>
      <c r="ABI776" s="219"/>
      <c r="ABL776" s="92"/>
      <c r="ABM776" s="210"/>
      <c r="ABS776" s="219"/>
      <c r="ABV776" s="92"/>
      <c r="ABW776" s="210"/>
      <c r="ACC776" s="219"/>
      <c r="ACF776" s="92"/>
      <c r="ACG776" s="210"/>
      <c r="ACM776" s="219"/>
      <c r="ACP776" s="92"/>
      <c r="ACQ776" s="210"/>
      <c r="ACW776" s="219"/>
      <c r="ACZ776" s="92"/>
      <c r="ADA776" s="210"/>
      <c r="ADG776" s="219"/>
      <c r="ADJ776" s="92"/>
      <c r="ADK776" s="210"/>
      <c r="ADQ776" s="219"/>
      <c r="ADT776" s="92"/>
      <c r="ADU776" s="210"/>
      <c r="AEA776" s="219"/>
      <c r="AED776" s="92"/>
      <c r="AEE776" s="210"/>
      <c r="AEK776" s="219"/>
      <c r="AEN776" s="92"/>
      <c r="AEO776" s="210"/>
      <c r="AEU776" s="219"/>
      <c r="AEX776" s="92"/>
      <c r="AEY776" s="210"/>
      <c r="AFE776" s="219"/>
      <c r="AFH776" s="92"/>
      <c r="AFI776" s="210"/>
      <c r="AFO776" s="219"/>
      <c r="AFR776" s="92"/>
      <c r="AFS776" s="210"/>
      <c r="AFY776" s="219"/>
      <c r="AGB776" s="92"/>
      <c r="AGC776" s="210"/>
      <c r="AGI776" s="219"/>
      <c r="AGL776" s="92"/>
      <c r="AGM776" s="210"/>
      <c r="AGS776" s="219"/>
      <c r="AGV776" s="92"/>
      <c r="AGW776" s="210"/>
      <c r="AHC776" s="219"/>
      <c r="AHF776" s="92"/>
      <c r="AHG776" s="210"/>
      <c r="AHM776" s="219"/>
      <c r="AHP776" s="92"/>
      <c r="AHQ776" s="210"/>
      <c r="AHW776" s="219"/>
      <c r="AHZ776" s="92"/>
      <c r="AIA776" s="210"/>
      <c r="AIG776" s="219"/>
      <c r="AIJ776" s="92"/>
      <c r="AIK776" s="210"/>
      <c r="AIQ776" s="219"/>
      <c r="AIT776" s="92"/>
      <c r="AIU776" s="210"/>
      <c r="AJA776" s="219"/>
      <c r="AJD776" s="92"/>
      <c r="AJE776" s="210"/>
      <c r="AJK776" s="219"/>
      <c r="AJN776" s="92"/>
      <c r="AJO776" s="210"/>
      <c r="AJU776" s="219"/>
      <c r="AJX776" s="92"/>
      <c r="AJY776" s="210"/>
      <c r="AKE776" s="219"/>
      <c r="AKH776" s="92"/>
      <c r="AKI776" s="210"/>
      <c r="AKO776" s="219"/>
      <c r="AKR776" s="92"/>
      <c r="AKS776" s="210"/>
      <c r="AKY776" s="219"/>
      <c r="ALB776" s="92"/>
      <c r="ALC776" s="210"/>
      <c r="ALI776" s="219"/>
      <c r="ALL776" s="92"/>
      <c r="ALM776" s="210"/>
      <c r="ALS776" s="219"/>
      <c r="ALV776" s="92"/>
      <c r="ALW776" s="210"/>
      <c r="AMC776" s="219"/>
      <c r="AMF776" s="92"/>
      <c r="AMG776" s="210"/>
      <c r="AMM776" s="219"/>
      <c r="AMP776" s="92"/>
      <c r="AMQ776" s="210"/>
      <c r="AMW776" s="219"/>
      <c r="AMZ776" s="92"/>
      <c r="ANA776" s="210"/>
      <c r="ANG776" s="219"/>
      <c r="ANJ776" s="92"/>
      <c r="ANK776" s="210"/>
      <c r="ANQ776" s="219"/>
      <c r="ANT776" s="92"/>
      <c r="ANU776" s="210"/>
      <c r="AOA776" s="219"/>
      <c r="AOD776" s="92"/>
      <c r="AOE776" s="210"/>
      <c r="AOK776" s="219"/>
      <c r="AON776" s="92"/>
      <c r="AOO776" s="210"/>
      <c r="AOU776" s="219"/>
      <c r="AOX776" s="92"/>
      <c r="AOY776" s="210"/>
      <c r="APE776" s="219"/>
      <c r="APH776" s="92"/>
      <c r="API776" s="210"/>
      <c r="APO776" s="219"/>
      <c r="APR776" s="92"/>
      <c r="APS776" s="210"/>
      <c r="APY776" s="219"/>
      <c r="AQB776" s="92"/>
      <c r="AQC776" s="210"/>
      <c r="AQI776" s="219"/>
      <c r="AQL776" s="92"/>
      <c r="AQM776" s="210"/>
      <c r="AQS776" s="219"/>
      <c r="AQV776" s="92"/>
      <c r="AQW776" s="210"/>
      <c r="ARC776" s="219"/>
      <c r="ARF776" s="92"/>
      <c r="ARG776" s="210"/>
      <c r="ARM776" s="219"/>
      <c r="ARP776" s="92"/>
      <c r="ARQ776" s="210"/>
      <c r="ARW776" s="219"/>
      <c r="ARZ776" s="92"/>
      <c r="ASA776" s="210"/>
      <c r="ASG776" s="219"/>
      <c r="ASJ776" s="92"/>
      <c r="ASK776" s="210"/>
      <c r="ASQ776" s="219"/>
      <c r="AST776" s="92"/>
      <c r="ASU776" s="210"/>
      <c r="ATA776" s="219"/>
      <c r="ATD776" s="92"/>
      <c r="ATE776" s="210"/>
      <c r="ATK776" s="219"/>
      <c r="ATN776" s="92"/>
      <c r="ATO776" s="210"/>
      <c r="ATU776" s="219"/>
      <c r="ATX776" s="92"/>
      <c r="ATY776" s="210"/>
      <c r="AUE776" s="219"/>
      <c r="AUH776" s="92"/>
      <c r="AUI776" s="210"/>
      <c r="AUO776" s="219"/>
      <c r="AUR776" s="92"/>
      <c r="AUS776" s="210"/>
      <c r="AUY776" s="219"/>
      <c r="AVB776" s="92"/>
      <c r="AVC776" s="210"/>
      <c r="AVI776" s="219"/>
      <c r="AVL776" s="92"/>
      <c r="AVM776" s="210"/>
      <c r="AVS776" s="219"/>
      <c r="AVV776" s="92"/>
      <c r="AVW776" s="210"/>
      <c r="AWC776" s="219"/>
      <c r="AWF776" s="92"/>
      <c r="AWG776" s="210"/>
      <c r="AWM776" s="219"/>
      <c r="AWP776" s="92"/>
      <c r="AWQ776" s="210"/>
      <c r="AWW776" s="219"/>
      <c r="AWZ776" s="92"/>
      <c r="AXA776" s="210"/>
      <c r="AXG776" s="219"/>
      <c r="AXJ776" s="92"/>
      <c r="AXK776" s="210"/>
      <c r="AXQ776" s="219"/>
      <c r="AXT776" s="92"/>
      <c r="AXU776" s="210"/>
      <c r="AYA776" s="219"/>
      <c r="AYD776" s="92"/>
      <c r="AYE776" s="210"/>
      <c r="AYK776" s="219"/>
      <c r="AYN776" s="92"/>
      <c r="AYO776" s="210"/>
      <c r="AYU776" s="219"/>
      <c r="AYX776" s="92"/>
      <c r="AYY776" s="210"/>
      <c r="AZE776" s="219"/>
      <c r="AZH776" s="92"/>
      <c r="AZI776" s="210"/>
      <c r="AZO776" s="219"/>
      <c r="AZR776" s="92"/>
      <c r="AZS776" s="210"/>
      <c r="AZY776" s="219"/>
      <c r="BAB776" s="92"/>
      <c r="BAC776" s="210"/>
      <c r="BAI776" s="219"/>
      <c r="BAL776" s="92"/>
      <c r="BAM776" s="210"/>
      <c r="BAS776" s="219"/>
      <c r="BAV776" s="92"/>
      <c r="BAW776" s="210"/>
      <c r="BBC776" s="219"/>
      <c r="BBF776" s="92"/>
      <c r="BBG776" s="210"/>
      <c r="BBM776" s="219"/>
      <c r="BBP776" s="92"/>
      <c r="BBQ776" s="210"/>
      <c r="BBW776" s="219"/>
      <c r="BBZ776" s="92"/>
      <c r="BCA776" s="210"/>
      <c r="BCG776" s="219"/>
      <c r="BCJ776" s="92"/>
      <c r="BCK776" s="210"/>
      <c r="BCQ776" s="219"/>
      <c r="BCT776" s="92"/>
      <c r="BCU776" s="210"/>
      <c r="BDA776" s="219"/>
      <c r="BDD776" s="92"/>
      <c r="BDE776" s="210"/>
      <c r="BDK776" s="219"/>
      <c r="BDN776" s="92"/>
      <c r="BDO776" s="210"/>
      <c r="BDU776" s="219"/>
      <c r="BDX776" s="92"/>
      <c r="BDY776" s="210"/>
      <c r="BEE776" s="219"/>
      <c r="BEH776" s="92"/>
      <c r="BEI776" s="210"/>
      <c r="BEO776" s="219"/>
      <c r="BER776" s="92"/>
      <c r="BES776" s="210"/>
      <c r="BEY776" s="219"/>
      <c r="BFB776" s="92"/>
      <c r="BFC776" s="210"/>
      <c r="BFI776" s="219"/>
      <c r="BFL776" s="92"/>
      <c r="BFM776" s="210"/>
      <c r="BFS776" s="219"/>
      <c r="BFV776" s="92"/>
      <c r="BFW776" s="210"/>
      <c r="BGC776" s="219"/>
      <c r="BGF776" s="92"/>
      <c r="BGG776" s="210"/>
      <c r="BGM776" s="219"/>
      <c r="BGP776" s="92"/>
      <c r="BGQ776" s="210"/>
      <c r="BGW776" s="219"/>
      <c r="BGZ776" s="92"/>
      <c r="BHA776" s="210"/>
      <c r="BHG776" s="219"/>
      <c r="BHJ776" s="92"/>
      <c r="BHK776" s="210"/>
      <c r="BHQ776" s="219"/>
      <c r="BHT776" s="92"/>
      <c r="BHU776" s="210"/>
      <c r="BIA776" s="219"/>
      <c r="BID776" s="92"/>
      <c r="BIE776" s="210"/>
      <c r="BIK776" s="219"/>
      <c r="BIN776" s="92"/>
      <c r="BIO776" s="210"/>
      <c r="BIU776" s="219"/>
      <c r="BIX776" s="92"/>
      <c r="BIY776" s="210"/>
      <c r="BJE776" s="219"/>
      <c r="BJH776" s="92"/>
      <c r="BJI776" s="210"/>
      <c r="BJO776" s="219"/>
      <c r="BJR776" s="92"/>
      <c r="BJS776" s="210"/>
      <c r="BJY776" s="219"/>
      <c r="BKB776" s="92"/>
      <c r="BKC776" s="210"/>
      <c r="BKI776" s="219"/>
      <c r="BKL776" s="92"/>
      <c r="BKM776" s="210"/>
      <c r="BKS776" s="219"/>
      <c r="BKV776" s="92"/>
      <c r="BKW776" s="210"/>
      <c r="BLC776" s="219"/>
      <c r="BLF776" s="92"/>
      <c r="BLG776" s="210"/>
      <c r="BLM776" s="219"/>
      <c r="BLP776" s="92"/>
      <c r="BLQ776" s="210"/>
      <c r="BLW776" s="219"/>
      <c r="BLZ776" s="92"/>
      <c r="BMA776" s="210"/>
      <c r="BMG776" s="219"/>
      <c r="BMJ776" s="92"/>
      <c r="BMK776" s="210"/>
      <c r="BMQ776" s="219"/>
      <c r="BMT776" s="92"/>
      <c r="BMU776" s="210"/>
      <c r="BNA776" s="219"/>
      <c r="BND776" s="92"/>
      <c r="BNE776" s="210"/>
      <c r="BNK776" s="219"/>
      <c r="BNN776" s="92"/>
      <c r="BNO776" s="210"/>
      <c r="BNU776" s="219"/>
      <c r="BNX776" s="92"/>
      <c r="BNY776" s="210"/>
      <c r="BOE776" s="219"/>
      <c r="BOH776" s="92"/>
      <c r="BOI776" s="210"/>
      <c r="BOO776" s="219"/>
      <c r="BOR776" s="92"/>
      <c r="BOS776" s="210"/>
      <c r="BOY776" s="219"/>
      <c r="BPB776" s="92"/>
      <c r="BPC776" s="210"/>
      <c r="BPI776" s="219"/>
      <c r="BPL776" s="92"/>
      <c r="BPM776" s="210"/>
      <c r="BPS776" s="219"/>
      <c r="BPV776" s="92"/>
      <c r="BPW776" s="210"/>
      <c r="BQC776" s="219"/>
      <c r="BQF776" s="92"/>
      <c r="BQG776" s="210"/>
      <c r="BQM776" s="219"/>
      <c r="BQP776" s="92"/>
      <c r="BQQ776" s="210"/>
      <c r="BQW776" s="219"/>
      <c r="BQZ776" s="92"/>
      <c r="BRA776" s="210"/>
      <c r="BRG776" s="219"/>
      <c r="BRJ776" s="92"/>
      <c r="BRK776" s="210"/>
      <c r="BRQ776" s="219"/>
      <c r="BRT776" s="92"/>
      <c r="BRU776" s="210"/>
      <c r="BSA776" s="219"/>
      <c r="BSD776" s="92"/>
      <c r="BSE776" s="210"/>
      <c r="BSK776" s="219"/>
      <c r="BSN776" s="92"/>
      <c r="BSO776" s="210"/>
      <c r="BSU776" s="219"/>
      <c r="BSX776" s="92"/>
      <c r="BSY776" s="210"/>
      <c r="BTE776" s="219"/>
      <c r="BTH776" s="92"/>
      <c r="BTI776" s="210"/>
      <c r="BTO776" s="219"/>
      <c r="BTR776" s="92"/>
      <c r="BTS776" s="210"/>
      <c r="BTY776" s="219"/>
      <c r="BUB776" s="92"/>
      <c r="BUC776" s="210"/>
      <c r="BUI776" s="219"/>
      <c r="BUL776" s="92"/>
      <c r="BUM776" s="210"/>
      <c r="BUS776" s="219"/>
      <c r="BUV776" s="92"/>
      <c r="BUW776" s="210"/>
      <c r="BVC776" s="219"/>
      <c r="BVF776" s="92"/>
      <c r="BVG776" s="210"/>
      <c r="BVM776" s="219"/>
      <c r="BVP776" s="92"/>
      <c r="BVQ776" s="210"/>
      <c r="BVW776" s="219"/>
      <c r="BVZ776" s="92"/>
      <c r="BWA776" s="210"/>
      <c r="BWG776" s="219"/>
      <c r="BWJ776" s="92"/>
      <c r="BWK776" s="210"/>
      <c r="BWQ776" s="219"/>
      <c r="BWT776" s="92"/>
      <c r="BWU776" s="210"/>
      <c r="BXA776" s="219"/>
      <c r="BXD776" s="92"/>
      <c r="BXE776" s="210"/>
      <c r="BXK776" s="219"/>
      <c r="BXN776" s="92"/>
      <c r="BXO776" s="210"/>
      <c r="BXU776" s="219"/>
      <c r="BXX776" s="92"/>
      <c r="BXY776" s="210"/>
      <c r="BYE776" s="219"/>
      <c r="BYH776" s="92"/>
      <c r="BYI776" s="210"/>
      <c r="BYO776" s="219"/>
      <c r="BYR776" s="92"/>
      <c r="BYS776" s="210"/>
      <c r="BYY776" s="219"/>
      <c r="BZB776" s="92"/>
      <c r="BZC776" s="210"/>
      <c r="BZI776" s="219"/>
      <c r="BZL776" s="92"/>
      <c r="BZM776" s="210"/>
      <c r="BZS776" s="219"/>
      <c r="BZV776" s="92"/>
      <c r="BZW776" s="210"/>
      <c r="CAC776" s="219"/>
      <c r="CAF776" s="92"/>
      <c r="CAG776" s="210"/>
      <c r="CAM776" s="219"/>
      <c r="CAP776" s="92"/>
      <c r="CAQ776" s="210"/>
      <c r="CAW776" s="219"/>
      <c r="CAZ776" s="92"/>
      <c r="CBA776" s="210"/>
      <c r="CBG776" s="219"/>
      <c r="CBJ776" s="92"/>
      <c r="CBK776" s="210"/>
      <c r="CBQ776" s="219"/>
      <c r="CBT776" s="92"/>
      <c r="CBU776" s="210"/>
      <c r="CCA776" s="219"/>
      <c r="CCD776" s="92"/>
      <c r="CCE776" s="210"/>
      <c r="CCK776" s="219"/>
      <c r="CCN776" s="92"/>
      <c r="CCO776" s="210"/>
      <c r="CCU776" s="219"/>
      <c r="CCX776" s="92"/>
      <c r="CCY776" s="210"/>
      <c r="CDE776" s="219"/>
      <c r="CDH776" s="92"/>
      <c r="CDI776" s="210"/>
      <c r="CDO776" s="219"/>
      <c r="CDR776" s="92"/>
      <c r="CDS776" s="210"/>
      <c r="CDY776" s="219"/>
      <c r="CEB776" s="92"/>
      <c r="CEC776" s="210"/>
      <c r="CEI776" s="219"/>
      <c r="CEL776" s="92"/>
      <c r="CEM776" s="210"/>
      <c r="CES776" s="219"/>
      <c r="CEV776" s="92"/>
      <c r="CEW776" s="210"/>
      <c r="CFC776" s="219"/>
      <c r="CFF776" s="92"/>
      <c r="CFG776" s="210"/>
      <c r="CFM776" s="219"/>
      <c r="CFP776" s="92"/>
      <c r="CFQ776" s="210"/>
      <c r="CFW776" s="219"/>
      <c r="CFZ776" s="92"/>
      <c r="CGA776" s="210"/>
      <c r="CGG776" s="219"/>
      <c r="CGJ776" s="92"/>
      <c r="CGK776" s="210"/>
      <c r="CGQ776" s="219"/>
      <c r="CGT776" s="92"/>
      <c r="CGU776" s="210"/>
      <c r="CHA776" s="219"/>
      <c r="CHD776" s="92"/>
      <c r="CHE776" s="210"/>
      <c r="CHK776" s="219"/>
      <c r="CHN776" s="92"/>
      <c r="CHO776" s="210"/>
      <c r="CHU776" s="219"/>
      <c r="CHX776" s="92"/>
      <c r="CHY776" s="210"/>
      <c r="CIE776" s="219"/>
      <c r="CIH776" s="92"/>
      <c r="CII776" s="210"/>
      <c r="CIO776" s="219"/>
      <c r="CIR776" s="92"/>
      <c r="CIS776" s="210"/>
      <c r="CIY776" s="219"/>
      <c r="CJB776" s="92"/>
      <c r="CJC776" s="210"/>
      <c r="CJI776" s="219"/>
      <c r="CJL776" s="92"/>
      <c r="CJM776" s="210"/>
      <c r="CJS776" s="219"/>
      <c r="CJV776" s="92"/>
      <c r="CJW776" s="210"/>
      <c r="CKC776" s="219"/>
      <c r="CKF776" s="92"/>
      <c r="CKG776" s="210"/>
      <c r="CKM776" s="219"/>
      <c r="CKP776" s="92"/>
      <c r="CKQ776" s="210"/>
      <c r="CKW776" s="219"/>
      <c r="CKZ776" s="92"/>
      <c r="CLA776" s="210"/>
      <c r="CLG776" s="219"/>
      <c r="CLJ776" s="92"/>
      <c r="CLK776" s="210"/>
      <c r="CLQ776" s="219"/>
      <c r="CLT776" s="92"/>
      <c r="CLU776" s="210"/>
      <c r="CMA776" s="219"/>
      <c r="CMD776" s="92"/>
      <c r="CME776" s="210"/>
      <c r="CMK776" s="219"/>
      <c r="CMN776" s="92"/>
      <c r="CMO776" s="210"/>
      <c r="CMU776" s="219"/>
      <c r="CMX776" s="92"/>
      <c r="CMY776" s="210"/>
      <c r="CNE776" s="219"/>
      <c r="CNH776" s="92"/>
      <c r="CNI776" s="210"/>
      <c r="CNO776" s="219"/>
      <c r="CNR776" s="92"/>
      <c r="CNS776" s="210"/>
      <c r="CNY776" s="219"/>
      <c r="COB776" s="92"/>
      <c r="COC776" s="210"/>
      <c r="COI776" s="219"/>
      <c r="COL776" s="92"/>
      <c r="COM776" s="210"/>
      <c r="COS776" s="219"/>
      <c r="COV776" s="92"/>
      <c r="COW776" s="210"/>
      <c r="CPC776" s="219"/>
      <c r="CPF776" s="92"/>
      <c r="CPG776" s="210"/>
      <c r="CPM776" s="219"/>
      <c r="CPP776" s="92"/>
      <c r="CPQ776" s="210"/>
      <c r="CPW776" s="219"/>
      <c r="CPZ776" s="92"/>
      <c r="CQA776" s="210"/>
      <c r="CQG776" s="219"/>
      <c r="CQJ776" s="92"/>
      <c r="CQK776" s="210"/>
      <c r="CQQ776" s="219"/>
      <c r="CQT776" s="92"/>
      <c r="CQU776" s="210"/>
      <c r="CRA776" s="219"/>
      <c r="CRD776" s="92"/>
      <c r="CRE776" s="210"/>
      <c r="CRK776" s="219"/>
      <c r="CRN776" s="92"/>
      <c r="CRO776" s="210"/>
      <c r="CRU776" s="219"/>
      <c r="CRX776" s="92"/>
      <c r="CRY776" s="210"/>
      <c r="CSE776" s="219"/>
      <c r="CSH776" s="92"/>
      <c r="CSI776" s="210"/>
      <c r="CSO776" s="219"/>
      <c r="CSR776" s="92"/>
      <c r="CSS776" s="210"/>
      <c r="CSY776" s="219"/>
      <c r="CTB776" s="92"/>
      <c r="CTC776" s="210"/>
      <c r="CTI776" s="219"/>
      <c r="CTL776" s="92"/>
      <c r="CTM776" s="210"/>
      <c r="CTS776" s="219"/>
      <c r="CTV776" s="92"/>
      <c r="CTW776" s="210"/>
      <c r="CUC776" s="219"/>
      <c r="CUF776" s="92"/>
      <c r="CUG776" s="210"/>
      <c r="CUM776" s="219"/>
      <c r="CUP776" s="92"/>
      <c r="CUQ776" s="210"/>
      <c r="CUW776" s="219"/>
      <c r="CUZ776" s="92"/>
      <c r="CVA776" s="210"/>
      <c r="CVG776" s="219"/>
      <c r="CVJ776" s="92"/>
      <c r="CVK776" s="210"/>
      <c r="CVQ776" s="219"/>
      <c r="CVT776" s="92"/>
      <c r="CVU776" s="210"/>
      <c r="CWA776" s="219"/>
      <c r="CWD776" s="92"/>
      <c r="CWE776" s="210"/>
      <c r="CWK776" s="219"/>
      <c r="CWN776" s="92"/>
      <c r="CWO776" s="210"/>
      <c r="CWU776" s="219"/>
      <c r="CWX776" s="92"/>
      <c r="CWY776" s="210"/>
      <c r="CXE776" s="219"/>
      <c r="CXH776" s="92"/>
      <c r="CXI776" s="210"/>
      <c r="CXO776" s="219"/>
      <c r="CXR776" s="92"/>
      <c r="CXS776" s="210"/>
      <c r="CXY776" s="219"/>
      <c r="CYB776" s="92"/>
      <c r="CYC776" s="210"/>
      <c r="CYI776" s="219"/>
      <c r="CYL776" s="92"/>
      <c r="CYM776" s="210"/>
      <c r="CYS776" s="219"/>
      <c r="CYV776" s="92"/>
      <c r="CYW776" s="210"/>
      <c r="CZC776" s="219"/>
      <c r="CZF776" s="92"/>
      <c r="CZG776" s="210"/>
      <c r="CZM776" s="219"/>
      <c r="CZP776" s="92"/>
      <c r="CZQ776" s="210"/>
      <c r="CZW776" s="219"/>
      <c r="CZZ776" s="92"/>
      <c r="DAA776" s="210"/>
      <c r="DAG776" s="219"/>
      <c r="DAJ776" s="92"/>
      <c r="DAK776" s="210"/>
      <c r="DAQ776" s="219"/>
      <c r="DAT776" s="92"/>
      <c r="DAU776" s="210"/>
      <c r="DBA776" s="219"/>
      <c r="DBD776" s="92"/>
      <c r="DBE776" s="210"/>
      <c r="DBK776" s="219"/>
      <c r="DBN776" s="92"/>
      <c r="DBO776" s="210"/>
      <c r="DBU776" s="219"/>
      <c r="DBX776" s="92"/>
      <c r="DBY776" s="210"/>
      <c r="DCE776" s="219"/>
      <c r="DCH776" s="92"/>
      <c r="DCI776" s="210"/>
      <c r="DCO776" s="219"/>
      <c r="DCR776" s="92"/>
      <c r="DCS776" s="210"/>
      <c r="DCY776" s="219"/>
      <c r="DDB776" s="92"/>
      <c r="DDC776" s="210"/>
      <c r="DDI776" s="219"/>
      <c r="DDL776" s="92"/>
      <c r="DDM776" s="210"/>
      <c r="DDS776" s="219"/>
      <c r="DDV776" s="92"/>
      <c r="DDW776" s="210"/>
      <c r="DEC776" s="219"/>
      <c r="DEF776" s="92"/>
      <c r="DEG776" s="210"/>
      <c r="DEM776" s="219"/>
      <c r="DEP776" s="92"/>
      <c r="DEQ776" s="210"/>
      <c r="DEW776" s="219"/>
      <c r="DEZ776" s="92"/>
      <c r="DFA776" s="210"/>
      <c r="DFG776" s="219"/>
      <c r="DFJ776" s="92"/>
      <c r="DFK776" s="210"/>
      <c r="DFQ776" s="219"/>
      <c r="DFT776" s="92"/>
      <c r="DFU776" s="210"/>
      <c r="DGA776" s="219"/>
      <c r="DGD776" s="92"/>
      <c r="DGE776" s="210"/>
      <c r="DGK776" s="219"/>
      <c r="DGN776" s="92"/>
      <c r="DGO776" s="210"/>
      <c r="DGU776" s="219"/>
      <c r="DGX776" s="92"/>
      <c r="DGY776" s="210"/>
      <c r="DHE776" s="219"/>
      <c r="DHH776" s="92"/>
      <c r="DHI776" s="210"/>
      <c r="DHO776" s="219"/>
      <c r="DHR776" s="92"/>
      <c r="DHS776" s="210"/>
      <c r="DHY776" s="219"/>
      <c r="DIB776" s="92"/>
      <c r="DIC776" s="210"/>
      <c r="DII776" s="219"/>
      <c r="DIL776" s="92"/>
      <c r="DIM776" s="210"/>
      <c r="DIS776" s="219"/>
      <c r="DIV776" s="92"/>
      <c r="DIW776" s="210"/>
      <c r="DJC776" s="219"/>
      <c r="DJF776" s="92"/>
      <c r="DJG776" s="210"/>
      <c r="DJM776" s="219"/>
      <c r="DJP776" s="92"/>
      <c r="DJQ776" s="210"/>
      <c r="DJW776" s="219"/>
      <c r="DJZ776" s="92"/>
      <c r="DKA776" s="210"/>
      <c r="DKG776" s="219"/>
      <c r="DKJ776" s="92"/>
      <c r="DKK776" s="210"/>
      <c r="DKQ776" s="219"/>
      <c r="DKT776" s="92"/>
      <c r="DKU776" s="210"/>
      <c r="DLA776" s="219"/>
      <c r="DLD776" s="92"/>
      <c r="DLE776" s="210"/>
      <c r="DLK776" s="219"/>
      <c r="DLN776" s="92"/>
      <c r="DLO776" s="210"/>
      <c r="DLU776" s="219"/>
      <c r="DLX776" s="92"/>
      <c r="DLY776" s="210"/>
      <c r="DME776" s="219"/>
      <c r="DMH776" s="92"/>
      <c r="DMI776" s="210"/>
      <c r="DMO776" s="219"/>
      <c r="DMR776" s="92"/>
      <c r="DMS776" s="210"/>
      <c r="DMY776" s="219"/>
      <c r="DNB776" s="92"/>
      <c r="DNC776" s="210"/>
      <c r="DNI776" s="219"/>
      <c r="DNL776" s="92"/>
      <c r="DNM776" s="210"/>
      <c r="DNS776" s="219"/>
      <c r="DNV776" s="92"/>
      <c r="DNW776" s="210"/>
      <c r="DOC776" s="219"/>
      <c r="DOF776" s="92"/>
      <c r="DOG776" s="210"/>
      <c r="DOM776" s="219"/>
      <c r="DOP776" s="92"/>
      <c r="DOQ776" s="210"/>
      <c r="DOW776" s="219"/>
      <c r="DOZ776" s="92"/>
      <c r="DPA776" s="210"/>
      <c r="DPG776" s="219"/>
      <c r="DPJ776" s="92"/>
      <c r="DPK776" s="210"/>
      <c r="DPQ776" s="219"/>
      <c r="DPT776" s="92"/>
      <c r="DPU776" s="210"/>
      <c r="DQA776" s="219"/>
      <c r="DQD776" s="92"/>
      <c r="DQE776" s="210"/>
      <c r="DQK776" s="219"/>
      <c r="DQN776" s="92"/>
      <c r="DQO776" s="210"/>
      <c r="DQU776" s="219"/>
      <c r="DQX776" s="92"/>
      <c r="DQY776" s="210"/>
      <c r="DRE776" s="219"/>
      <c r="DRH776" s="92"/>
      <c r="DRI776" s="210"/>
      <c r="DRO776" s="219"/>
      <c r="DRR776" s="92"/>
      <c r="DRS776" s="210"/>
      <c r="DRY776" s="219"/>
      <c r="DSB776" s="92"/>
      <c r="DSC776" s="210"/>
      <c r="DSI776" s="219"/>
      <c r="DSL776" s="92"/>
      <c r="DSM776" s="210"/>
      <c r="DSS776" s="219"/>
      <c r="DSV776" s="92"/>
      <c r="DSW776" s="210"/>
      <c r="DTC776" s="219"/>
      <c r="DTF776" s="92"/>
      <c r="DTG776" s="210"/>
      <c r="DTM776" s="219"/>
      <c r="DTP776" s="92"/>
      <c r="DTQ776" s="210"/>
      <c r="DTW776" s="219"/>
      <c r="DTZ776" s="92"/>
      <c r="DUA776" s="210"/>
      <c r="DUG776" s="219"/>
      <c r="DUJ776" s="92"/>
      <c r="DUK776" s="210"/>
      <c r="DUQ776" s="219"/>
      <c r="DUT776" s="92"/>
      <c r="DUU776" s="210"/>
      <c r="DVA776" s="219"/>
      <c r="DVD776" s="92"/>
      <c r="DVE776" s="210"/>
      <c r="DVK776" s="219"/>
      <c r="DVN776" s="92"/>
      <c r="DVO776" s="210"/>
      <c r="DVU776" s="219"/>
      <c r="DVX776" s="92"/>
      <c r="DVY776" s="210"/>
      <c r="DWE776" s="219"/>
      <c r="DWH776" s="92"/>
      <c r="DWI776" s="210"/>
      <c r="DWO776" s="219"/>
      <c r="DWR776" s="92"/>
      <c r="DWS776" s="210"/>
      <c r="DWY776" s="219"/>
      <c r="DXB776" s="92"/>
      <c r="DXC776" s="210"/>
      <c r="DXI776" s="219"/>
      <c r="DXL776" s="92"/>
      <c r="DXM776" s="210"/>
      <c r="DXS776" s="219"/>
      <c r="DXV776" s="92"/>
      <c r="DXW776" s="210"/>
      <c r="DYC776" s="219"/>
      <c r="DYF776" s="92"/>
      <c r="DYG776" s="210"/>
      <c r="DYM776" s="219"/>
      <c r="DYP776" s="92"/>
      <c r="DYQ776" s="210"/>
      <c r="DYW776" s="219"/>
      <c r="DYZ776" s="92"/>
      <c r="DZA776" s="210"/>
      <c r="DZG776" s="219"/>
      <c r="DZJ776" s="92"/>
      <c r="DZK776" s="210"/>
      <c r="DZQ776" s="219"/>
      <c r="DZT776" s="92"/>
      <c r="DZU776" s="210"/>
      <c r="EAA776" s="219"/>
      <c r="EAD776" s="92"/>
      <c r="EAE776" s="210"/>
      <c r="EAK776" s="219"/>
      <c r="EAN776" s="92"/>
      <c r="EAO776" s="210"/>
      <c r="EAU776" s="219"/>
      <c r="EAX776" s="92"/>
      <c r="EAY776" s="210"/>
      <c r="EBE776" s="219"/>
      <c r="EBH776" s="92"/>
      <c r="EBI776" s="210"/>
      <c r="EBO776" s="219"/>
      <c r="EBR776" s="92"/>
      <c r="EBS776" s="210"/>
      <c r="EBY776" s="219"/>
      <c r="ECB776" s="92"/>
      <c r="ECC776" s="210"/>
      <c r="ECI776" s="219"/>
      <c r="ECL776" s="92"/>
      <c r="ECM776" s="210"/>
      <c r="ECS776" s="219"/>
      <c r="ECV776" s="92"/>
      <c r="ECW776" s="210"/>
      <c r="EDC776" s="219"/>
      <c r="EDF776" s="92"/>
      <c r="EDG776" s="210"/>
      <c r="EDM776" s="219"/>
      <c r="EDP776" s="92"/>
      <c r="EDQ776" s="210"/>
      <c r="EDW776" s="219"/>
      <c r="EDZ776" s="92"/>
      <c r="EEA776" s="210"/>
      <c r="EEG776" s="219"/>
      <c r="EEJ776" s="92"/>
      <c r="EEK776" s="210"/>
      <c r="EEQ776" s="219"/>
      <c r="EET776" s="92"/>
      <c r="EEU776" s="210"/>
      <c r="EFA776" s="219"/>
      <c r="EFD776" s="92"/>
      <c r="EFE776" s="210"/>
      <c r="EFK776" s="219"/>
      <c r="EFN776" s="92"/>
      <c r="EFO776" s="210"/>
      <c r="EFU776" s="219"/>
      <c r="EFX776" s="92"/>
      <c r="EFY776" s="210"/>
      <c r="EGE776" s="219"/>
      <c r="EGH776" s="92"/>
      <c r="EGI776" s="210"/>
      <c r="EGO776" s="219"/>
      <c r="EGR776" s="92"/>
      <c r="EGS776" s="210"/>
      <c r="EGY776" s="219"/>
      <c r="EHB776" s="92"/>
      <c r="EHC776" s="210"/>
      <c r="EHI776" s="219"/>
      <c r="EHL776" s="92"/>
      <c r="EHM776" s="210"/>
      <c r="EHS776" s="219"/>
      <c r="EHV776" s="92"/>
      <c r="EHW776" s="210"/>
      <c r="EIC776" s="219"/>
      <c r="EIF776" s="92"/>
      <c r="EIG776" s="210"/>
      <c r="EIM776" s="219"/>
      <c r="EIP776" s="92"/>
      <c r="EIQ776" s="210"/>
      <c r="EIW776" s="219"/>
      <c r="EIZ776" s="92"/>
      <c r="EJA776" s="210"/>
      <c r="EJG776" s="219"/>
      <c r="EJJ776" s="92"/>
      <c r="EJK776" s="210"/>
      <c r="EJQ776" s="219"/>
      <c r="EJT776" s="92"/>
      <c r="EJU776" s="210"/>
      <c r="EKA776" s="219"/>
      <c r="EKD776" s="92"/>
      <c r="EKE776" s="210"/>
      <c r="EKK776" s="219"/>
      <c r="EKN776" s="92"/>
      <c r="EKO776" s="210"/>
      <c r="EKU776" s="219"/>
      <c r="EKX776" s="92"/>
      <c r="EKY776" s="210"/>
      <c r="ELE776" s="219"/>
      <c r="ELH776" s="92"/>
      <c r="ELI776" s="210"/>
      <c r="ELO776" s="219"/>
      <c r="ELR776" s="92"/>
      <c r="ELS776" s="210"/>
      <c r="ELY776" s="219"/>
      <c r="EMB776" s="92"/>
      <c r="EMC776" s="210"/>
      <c r="EMI776" s="219"/>
      <c r="EML776" s="92"/>
      <c r="EMM776" s="210"/>
      <c r="EMS776" s="219"/>
      <c r="EMV776" s="92"/>
      <c r="EMW776" s="210"/>
      <c r="ENC776" s="219"/>
      <c r="ENF776" s="92"/>
      <c r="ENG776" s="210"/>
      <c r="ENM776" s="219"/>
      <c r="ENP776" s="92"/>
      <c r="ENQ776" s="210"/>
      <c r="ENW776" s="219"/>
      <c r="ENZ776" s="92"/>
      <c r="EOA776" s="210"/>
      <c r="EOG776" s="219"/>
      <c r="EOJ776" s="92"/>
      <c r="EOK776" s="210"/>
      <c r="EOQ776" s="219"/>
      <c r="EOT776" s="92"/>
      <c r="EOU776" s="210"/>
      <c r="EPA776" s="219"/>
      <c r="EPD776" s="92"/>
      <c r="EPE776" s="210"/>
      <c r="EPK776" s="219"/>
      <c r="EPN776" s="92"/>
      <c r="EPO776" s="210"/>
      <c r="EPU776" s="219"/>
      <c r="EPX776" s="92"/>
      <c r="EPY776" s="210"/>
      <c r="EQE776" s="219"/>
      <c r="EQH776" s="92"/>
      <c r="EQI776" s="210"/>
      <c r="EQO776" s="219"/>
      <c r="EQR776" s="92"/>
      <c r="EQS776" s="210"/>
      <c r="EQY776" s="219"/>
      <c r="ERB776" s="92"/>
      <c r="ERC776" s="210"/>
      <c r="ERI776" s="219"/>
      <c r="ERL776" s="92"/>
      <c r="ERM776" s="210"/>
      <c r="ERS776" s="219"/>
      <c r="ERV776" s="92"/>
      <c r="ERW776" s="210"/>
      <c r="ESC776" s="219"/>
      <c r="ESF776" s="92"/>
      <c r="ESG776" s="210"/>
      <c r="ESM776" s="219"/>
      <c r="ESP776" s="92"/>
      <c r="ESQ776" s="210"/>
      <c r="ESW776" s="219"/>
      <c r="ESZ776" s="92"/>
      <c r="ETA776" s="210"/>
      <c r="ETG776" s="219"/>
      <c r="ETJ776" s="92"/>
      <c r="ETK776" s="210"/>
      <c r="ETQ776" s="219"/>
      <c r="ETT776" s="92"/>
      <c r="ETU776" s="210"/>
      <c r="EUA776" s="219"/>
      <c r="EUD776" s="92"/>
      <c r="EUE776" s="210"/>
      <c r="EUK776" s="219"/>
      <c r="EUN776" s="92"/>
      <c r="EUO776" s="210"/>
      <c r="EUU776" s="219"/>
      <c r="EUX776" s="92"/>
      <c r="EUY776" s="210"/>
      <c r="EVE776" s="219"/>
      <c r="EVH776" s="92"/>
      <c r="EVI776" s="210"/>
      <c r="EVO776" s="219"/>
      <c r="EVR776" s="92"/>
      <c r="EVS776" s="210"/>
      <c r="EVY776" s="219"/>
      <c r="EWB776" s="92"/>
      <c r="EWC776" s="210"/>
      <c r="EWI776" s="219"/>
      <c r="EWL776" s="92"/>
      <c r="EWM776" s="210"/>
      <c r="EWS776" s="219"/>
      <c r="EWV776" s="92"/>
      <c r="EWW776" s="210"/>
      <c r="EXC776" s="219"/>
      <c r="EXF776" s="92"/>
      <c r="EXG776" s="210"/>
      <c r="EXM776" s="219"/>
      <c r="EXP776" s="92"/>
      <c r="EXQ776" s="210"/>
      <c r="EXW776" s="219"/>
      <c r="EXZ776" s="92"/>
      <c r="EYA776" s="210"/>
      <c r="EYG776" s="219"/>
      <c r="EYJ776" s="92"/>
      <c r="EYK776" s="210"/>
      <c r="EYQ776" s="219"/>
      <c r="EYT776" s="92"/>
      <c r="EYU776" s="210"/>
      <c r="EZA776" s="219"/>
      <c r="EZD776" s="92"/>
      <c r="EZE776" s="210"/>
      <c r="EZK776" s="219"/>
      <c r="EZN776" s="92"/>
      <c r="EZO776" s="210"/>
      <c r="EZU776" s="219"/>
      <c r="EZX776" s="92"/>
      <c r="EZY776" s="210"/>
      <c r="FAE776" s="219"/>
      <c r="FAH776" s="92"/>
      <c r="FAI776" s="210"/>
      <c r="FAO776" s="219"/>
      <c r="FAR776" s="92"/>
      <c r="FAS776" s="210"/>
      <c r="FAY776" s="219"/>
      <c r="FBB776" s="92"/>
      <c r="FBC776" s="210"/>
      <c r="FBI776" s="219"/>
      <c r="FBL776" s="92"/>
      <c r="FBM776" s="210"/>
      <c r="FBS776" s="219"/>
      <c r="FBV776" s="92"/>
      <c r="FBW776" s="210"/>
      <c r="FCC776" s="219"/>
      <c r="FCF776" s="92"/>
      <c r="FCG776" s="210"/>
      <c r="FCM776" s="219"/>
      <c r="FCP776" s="92"/>
      <c r="FCQ776" s="210"/>
      <c r="FCW776" s="219"/>
      <c r="FCZ776" s="92"/>
      <c r="FDA776" s="210"/>
      <c r="FDG776" s="219"/>
      <c r="FDJ776" s="92"/>
      <c r="FDK776" s="210"/>
      <c r="FDQ776" s="219"/>
      <c r="FDT776" s="92"/>
      <c r="FDU776" s="210"/>
      <c r="FEA776" s="219"/>
      <c r="FED776" s="92"/>
      <c r="FEE776" s="210"/>
      <c r="FEK776" s="219"/>
      <c r="FEN776" s="92"/>
      <c r="FEO776" s="210"/>
      <c r="FEU776" s="219"/>
      <c r="FEX776" s="92"/>
      <c r="FEY776" s="210"/>
      <c r="FFE776" s="219"/>
      <c r="FFH776" s="92"/>
      <c r="FFI776" s="210"/>
      <c r="FFO776" s="219"/>
      <c r="FFR776" s="92"/>
      <c r="FFS776" s="210"/>
      <c r="FFY776" s="219"/>
      <c r="FGB776" s="92"/>
      <c r="FGC776" s="210"/>
      <c r="FGI776" s="219"/>
      <c r="FGL776" s="92"/>
      <c r="FGM776" s="210"/>
      <c r="FGS776" s="219"/>
      <c r="FGV776" s="92"/>
      <c r="FGW776" s="210"/>
      <c r="FHC776" s="219"/>
      <c r="FHF776" s="92"/>
      <c r="FHG776" s="210"/>
      <c r="FHM776" s="219"/>
      <c r="FHP776" s="92"/>
      <c r="FHQ776" s="210"/>
      <c r="FHW776" s="219"/>
      <c r="FHZ776" s="92"/>
      <c r="FIA776" s="210"/>
      <c r="FIG776" s="219"/>
      <c r="FIJ776" s="92"/>
      <c r="FIK776" s="210"/>
      <c r="FIQ776" s="219"/>
      <c r="FIT776" s="92"/>
      <c r="FIU776" s="210"/>
      <c r="FJA776" s="219"/>
      <c r="FJD776" s="92"/>
      <c r="FJE776" s="210"/>
      <c r="FJK776" s="219"/>
      <c r="FJN776" s="92"/>
      <c r="FJO776" s="210"/>
      <c r="FJU776" s="219"/>
      <c r="FJX776" s="92"/>
      <c r="FJY776" s="210"/>
      <c r="FKE776" s="219"/>
      <c r="FKH776" s="92"/>
      <c r="FKI776" s="210"/>
      <c r="FKO776" s="219"/>
      <c r="FKR776" s="92"/>
      <c r="FKS776" s="210"/>
      <c r="FKY776" s="219"/>
      <c r="FLB776" s="92"/>
      <c r="FLC776" s="210"/>
      <c r="FLI776" s="219"/>
      <c r="FLL776" s="92"/>
      <c r="FLM776" s="210"/>
      <c r="FLS776" s="219"/>
      <c r="FLV776" s="92"/>
      <c r="FLW776" s="210"/>
      <c r="FMC776" s="219"/>
      <c r="FMF776" s="92"/>
      <c r="FMG776" s="210"/>
      <c r="FMM776" s="219"/>
      <c r="FMP776" s="92"/>
      <c r="FMQ776" s="210"/>
      <c r="FMW776" s="219"/>
      <c r="FMZ776" s="92"/>
      <c r="FNA776" s="210"/>
      <c r="FNG776" s="219"/>
      <c r="FNJ776" s="92"/>
      <c r="FNK776" s="210"/>
      <c r="FNQ776" s="219"/>
      <c r="FNT776" s="92"/>
      <c r="FNU776" s="210"/>
      <c r="FOA776" s="219"/>
      <c r="FOD776" s="92"/>
      <c r="FOE776" s="210"/>
      <c r="FOK776" s="219"/>
      <c r="FON776" s="92"/>
      <c r="FOO776" s="210"/>
      <c r="FOU776" s="219"/>
      <c r="FOX776" s="92"/>
      <c r="FOY776" s="210"/>
      <c r="FPE776" s="219"/>
      <c r="FPH776" s="92"/>
      <c r="FPI776" s="210"/>
      <c r="FPO776" s="219"/>
      <c r="FPR776" s="92"/>
      <c r="FPS776" s="210"/>
      <c r="FPY776" s="219"/>
      <c r="FQB776" s="92"/>
      <c r="FQC776" s="210"/>
      <c r="FQI776" s="219"/>
      <c r="FQL776" s="92"/>
      <c r="FQM776" s="210"/>
      <c r="FQS776" s="219"/>
      <c r="FQV776" s="92"/>
      <c r="FQW776" s="210"/>
      <c r="FRC776" s="219"/>
      <c r="FRF776" s="92"/>
      <c r="FRG776" s="210"/>
      <c r="FRM776" s="219"/>
      <c r="FRP776" s="92"/>
      <c r="FRQ776" s="210"/>
      <c r="FRW776" s="219"/>
      <c r="FRZ776" s="92"/>
      <c r="FSA776" s="210"/>
      <c r="FSG776" s="219"/>
      <c r="FSJ776" s="92"/>
      <c r="FSK776" s="210"/>
      <c r="FSQ776" s="219"/>
      <c r="FST776" s="92"/>
      <c r="FSU776" s="210"/>
      <c r="FTA776" s="219"/>
      <c r="FTD776" s="92"/>
      <c r="FTE776" s="210"/>
      <c r="FTK776" s="219"/>
      <c r="FTN776" s="92"/>
      <c r="FTO776" s="210"/>
      <c r="FTU776" s="219"/>
      <c r="FTX776" s="92"/>
      <c r="FTY776" s="210"/>
      <c r="FUE776" s="219"/>
      <c r="FUH776" s="92"/>
      <c r="FUI776" s="210"/>
      <c r="FUO776" s="219"/>
      <c r="FUR776" s="92"/>
      <c r="FUS776" s="210"/>
      <c r="FUY776" s="219"/>
      <c r="FVB776" s="92"/>
      <c r="FVC776" s="210"/>
      <c r="FVI776" s="219"/>
      <c r="FVL776" s="92"/>
      <c r="FVM776" s="210"/>
      <c r="FVS776" s="219"/>
      <c r="FVV776" s="92"/>
      <c r="FVW776" s="210"/>
      <c r="FWC776" s="219"/>
      <c r="FWF776" s="92"/>
      <c r="FWG776" s="210"/>
      <c r="FWM776" s="219"/>
      <c r="FWP776" s="92"/>
      <c r="FWQ776" s="210"/>
      <c r="FWW776" s="219"/>
      <c r="FWZ776" s="92"/>
      <c r="FXA776" s="210"/>
      <c r="FXG776" s="219"/>
      <c r="FXJ776" s="92"/>
      <c r="FXK776" s="210"/>
      <c r="FXQ776" s="219"/>
      <c r="FXT776" s="92"/>
      <c r="FXU776" s="210"/>
      <c r="FYA776" s="219"/>
      <c r="FYD776" s="92"/>
      <c r="FYE776" s="210"/>
      <c r="FYK776" s="219"/>
      <c r="FYN776" s="92"/>
      <c r="FYO776" s="210"/>
      <c r="FYU776" s="219"/>
      <c r="FYX776" s="92"/>
      <c r="FYY776" s="210"/>
      <c r="FZE776" s="219"/>
      <c r="FZH776" s="92"/>
      <c r="FZI776" s="210"/>
      <c r="FZO776" s="219"/>
      <c r="FZR776" s="92"/>
      <c r="FZS776" s="210"/>
      <c r="FZY776" s="219"/>
      <c r="GAB776" s="92"/>
      <c r="GAC776" s="210"/>
      <c r="GAI776" s="219"/>
      <c r="GAL776" s="92"/>
      <c r="GAM776" s="210"/>
      <c r="GAS776" s="219"/>
      <c r="GAV776" s="92"/>
      <c r="GAW776" s="210"/>
      <c r="GBC776" s="219"/>
      <c r="GBF776" s="92"/>
      <c r="GBG776" s="210"/>
      <c r="GBM776" s="219"/>
      <c r="GBP776" s="92"/>
      <c r="GBQ776" s="210"/>
      <c r="GBW776" s="219"/>
      <c r="GBZ776" s="92"/>
      <c r="GCA776" s="210"/>
      <c r="GCG776" s="219"/>
      <c r="GCJ776" s="92"/>
      <c r="GCK776" s="210"/>
      <c r="GCQ776" s="219"/>
      <c r="GCT776" s="92"/>
      <c r="GCU776" s="210"/>
      <c r="GDA776" s="219"/>
      <c r="GDD776" s="92"/>
      <c r="GDE776" s="210"/>
      <c r="GDK776" s="219"/>
      <c r="GDN776" s="92"/>
      <c r="GDO776" s="210"/>
      <c r="GDU776" s="219"/>
      <c r="GDX776" s="92"/>
      <c r="GDY776" s="210"/>
      <c r="GEE776" s="219"/>
      <c r="GEH776" s="92"/>
      <c r="GEI776" s="210"/>
      <c r="GEO776" s="219"/>
      <c r="GER776" s="92"/>
      <c r="GES776" s="210"/>
      <c r="GEY776" s="219"/>
      <c r="GFB776" s="92"/>
      <c r="GFC776" s="210"/>
      <c r="GFI776" s="219"/>
      <c r="GFL776" s="92"/>
      <c r="GFM776" s="210"/>
      <c r="GFS776" s="219"/>
      <c r="GFV776" s="92"/>
      <c r="GFW776" s="210"/>
      <c r="GGC776" s="219"/>
      <c r="GGF776" s="92"/>
      <c r="GGG776" s="210"/>
      <c r="GGM776" s="219"/>
      <c r="GGP776" s="92"/>
      <c r="GGQ776" s="210"/>
      <c r="GGW776" s="219"/>
      <c r="GGZ776" s="92"/>
      <c r="GHA776" s="210"/>
      <c r="GHG776" s="219"/>
      <c r="GHJ776" s="92"/>
      <c r="GHK776" s="210"/>
      <c r="GHQ776" s="219"/>
      <c r="GHT776" s="92"/>
      <c r="GHU776" s="210"/>
      <c r="GIA776" s="219"/>
      <c r="GID776" s="92"/>
      <c r="GIE776" s="210"/>
      <c r="GIK776" s="219"/>
      <c r="GIN776" s="92"/>
      <c r="GIO776" s="210"/>
      <c r="GIU776" s="219"/>
      <c r="GIX776" s="92"/>
      <c r="GIY776" s="210"/>
      <c r="GJE776" s="219"/>
      <c r="GJH776" s="92"/>
      <c r="GJI776" s="210"/>
      <c r="GJO776" s="219"/>
      <c r="GJR776" s="92"/>
      <c r="GJS776" s="210"/>
      <c r="GJY776" s="219"/>
      <c r="GKB776" s="92"/>
      <c r="GKC776" s="210"/>
      <c r="GKI776" s="219"/>
      <c r="GKL776" s="92"/>
      <c r="GKM776" s="210"/>
      <c r="GKS776" s="219"/>
      <c r="GKV776" s="92"/>
      <c r="GKW776" s="210"/>
      <c r="GLC776" s="219"/>
      <c r="GLF776" s="92"/>
      <c r="GLG776" s="210"/>
      <c r="GLM776" s="219"/>
      <c r="GLP776" s="92"/>
      <c r="GLQ776" s="210"/>
      <c r="GLW776" s="219"/>
      <c r="GLZ776" s="92"/>
      <c r="GMA776" s="210"/>
      <c r="GMG776" s="219"/>
      <c r="GMJ776" s="92"/>
      <c r="GMK776" s="210"/>
      <c r="GMQ776" s="219"/>
      <c r="GMT776" s="92"/>
      <c r="GMU776" s="210"/>
      <c r="GNA776" s="219"/>
      <c r="GND776" s="92"/>
      <c r="GNE776" s="210"/>
      <c r="GNK776" s="219"/>
      <c r="GNN776" s="92"/>
      <c r="GNO776" s="210"/>
      <c r="GNU776" s="219"/>
      <c r="GNX776" s="92"/>
      <c r="GNY776" s="210"/>
      <c r="GOE776" s="219"/>
      <c r="GOH776" s="92"/>
      <c r="GOI776" s="210"/>
      <c r="GOO776" s="219"/>
      <c r="GOR776" s="92"/>
      <c r="GOS776" s="210"/>
      <c r="GOY776" s="219"/>
      <c r="GPB776" s="92"/>
      <c r="GPC776" s="210"/>
      <c r="GPI776" s="219"/>
      <c r="GPL776" s="92"/>
      <c r="GPM776" s="210"/>
      <c r="GPS776" s="219"/>
      <c r="GPV776" s="92"/>
      <c r="GPW776" s="210"/>
      <c r="GQC776" s="219"/>
      <c r="GQF776" s="92"/>
      <c r="GQG776" s="210"/>
      <c r="GQM776" s="219"/>
      <c r="GQP776" s="92"/>
      <c r="GQQ776" s="210"/>
      <c r="GQW776" s="219"/>
      <c r="GQZ776" s="92"/>
      <c r="GRA776" s="210"/>
      <c r="GRG776" s="219"/>
      <c r="GRJ776" s="92"/>
      <c r="GRK776" s="210"/>
      <c r="GRQ776" s="219"/>
      <c r="GRT776" s="92"/>
      <c r="GRU776" s="210"/>
      <c r="GSA776" s="219"/>
      <c r="GSD776" s="92"/>
      <c r="GSE776" s="210"/>
      <c r="GSK776" s="219"/>
      <c r="GSN776" s="92"/>
      <c r="GSO776" s="210"/>
      <c r="GSU776" s="219"/>
      <c r="GSX776" s="92"/>
      <c r="GSY776" s="210"/>
      <c r="GTE776" s="219"/>
      <c r="GTH776" s="92"/>
      <c r="GTI776" s="210"/>
      <c r="GTO776" s="219"/>
      <c r="GTR776" s="92"/>
      <c r="GTS776" s="210"/>
      <c r="GTY776" s="219"/>
      <c r="GUB776" s="92"/>
      <c r="GUC776" s="210"/>
      <c r="GUI776" s="219"/>
      <c r="GUL776" s="92"/>
      <c r="GUM776" s="210"/>
      <c r="GUS776" s="219"/>
      <c r="GUV776" s="92"/>
      <c r="GUW776" s="210"/>
      <c r="GVC776" s="219"/>
      <c r="GVF776" s="92"/>
      <c r="GVG776" s="210"/>
      <c r="GVM776" s="219"/>
      <c r="GVP776" s="92"/>
      <c r="GVQ776" s="210"/>
      <c r="GVW776" s="219"/>
      <c r="GVZ776" s="92"/>
      <c r="GWA776" s="210"/>
      <c r="GWG776" s="219"/>
      <c r="GWJ776" s="92"/>
      <c r="GWK776" s="210"/>
      <c r="GWQ776" s="219"/>
      <c r="GWT776" s="92"/>
      <c r="GWU776" s="210"/>
      <c r="GXA776" s="219"/>
      <c r="GXD776" s="92"/>
      <c r="GXE776" s="210"/>
      <c r="GXK776" s="219"/>
      <c r="GXN776" s="92"/>
      <c r="GXO776" s="210"/>
      <c r="GXU776" s="219"/>
      <c r="GXX776" s="92"/>
      <c r="GXY776" s="210"/>
      <c r="GYE776" s="219"/>
      <c r="GYH776" s="92"/>
      <c r="GYI776" s="210"/>
      <c r="GYO776" s="219"/>
      <c r="GYR776" s="92"/>
      <c r="GYS776" s="210"/>
      <c r="GYY776" s="219"/>
      <c r="GZB776" s="92"/>
      <c r="GZC776" s="210"/>
      <c r="GZI776" s="219"/>
      <c r="GZL776" s="92"/>
      <c r="GZM776" s="210"/>
      <c r="GZS776" s="219"/>
      <c r="GZV776" s="92"/>
      <c r="GZW776" s="210"/>
      <c r="HAC776" s="219"/>
      <c r="HAF776" s="92"/>
      <c r="HAG776" s="210"/>
      <c r="HAM776" s="219"/>
      <c r="HAP776" s="92"/>
      <c r="HAQ776" s="210"/>
      <c r="HAW776" s="219"/>
      <c r="HAZ776" s="92"/>
      <c r="HBA776" s="210"/>
      <c r="HBG776" s="219"/>
      <c r="HBJ776" s="92"/>
      <c r="HBK776" s="210"/>
      <c r="HBQ776" s="219"/>
      <c r="HBT776" s="92"/>
      <c r="HBU776" s="210"/>
      <c r="HCA776" s="219"/>
      <c r="HCD776" s="92"/>
      <c r="HCE776" s="210"/>
      <c r="HCK776" s="219"/>
      <c r="HCN776" s="92"/>
      <c r="HCO776" s="210"/>
      <c r="HCU776" s="219"/>
      <c r="HCX776" s="92"/>
      <c r="HCY776" s="210"/>
      <c r="HDE776" s="219"/>
      <c r="HDH776" s="92"/>
      <c r="HDI776" s="210"/>
      <c r="HDO776" s="219"/>
      <c r="HDR776" s="92"/>
      <c r="HDS776" s="210"/>
      <c r="HDY776" s="219"/>
      <c r="HEB776" s="92"/>
      <c r="HEC776" s="210"/>
      <c r="HEI776" s="219"/>
      <c r="HEL776" s="92"/>
      <c r="HEM776" s="210"/>
      <c r="HES776" s="219"/>
      <c r="HEV776" s="92"/>
      <c r="HEW776" s="210"/>
      <c r="HFC776" s="219"/>
      <c r="HFF776" s="92"/>
      <c r="HFG776" s="210"/>
      <c r="HFM776" s="219"/>
      <c r="HFP776" s="92"/>
      <c r="HFQ776" s="210"/>
      <c r="HFW776" s="219"/>
      <c r="HFZ776" s="92"/>
      <c r="HGA776" s="210"/>
      <c r="HGG776" s="219"/>
      <c r="HGJ776" s="92"/>
      <c r="HGK776" s="210"/>
      <c r="HGQ776" s="219"/>
      <c r="HGT776" s="92"/>
      <c r="HGU776" s="210"/>
      <c r="HHA776" s="219"/>
      <c r="HHD776" s="92"/>
      <c r="HHE776" s="210"/>
      <c r="HHK776" s="219"/>
      <c r="HHN776" s="92"/>
      <c r="HHO776" s="210"/>
      <c r="HHU776" s="219"/>
      <c r="HHX776" s="92"/>
      <c r="HHY776" s="210"/>
      <c r="HIE776" s="219"/>
      <c r="HIH776" s="92"/>
      <c r="HII776" s="210"/>
      <c r="HIO776" s="219"/>
      <c r="HIR776" s="92"/>
      <c r="HIS776" s="210"/>
      <c r="HIY776" s="219"/>
      <c r="HJB776" s="92"/>
      <c r="HJC776" s="210"/>
      <c r="HJI776" s="219"/>
      <c r="HJL776" s="92"/>
      <c r="HJM776" s="210"/>
      <c r="HJS776" s="219"/>
      <c r="HJV776" s="92"/>
      <c r="HJW776" s="210"/>
      <c r="HKC776" s="219"/>
      <c r="HKF776" s="92"/>
      <c r="HKG776" s="210"/>
      <c r="HKM776" s="219"/>
      <c r="HKP776" s="92"/>
      <c r="HKQ776" s="210"/>
      <c r="HKW776" s="219"/>
      <c r="HKZ776" s="92"/>
      <c r="HLA776" s="210"/>
      <c r="HLG776" s="219"/>
      <c r="HLJ776" s="92"/>
      <c r="HLK776" s="210"/>
      <c r="HLQ776" s="219"/>
      <c r="HLT776" s="92"/>
      <c r="HLU776" s="210"/>
      <c r="HMA776" s="219"/>
      <c r="HMD776" s="92"/>
      <c r="HME776" s="210"/>
      <c r="HMK776" s="219"/>
      <c r="HMN776" s="92"/>
      <c r="HMO776" s="210"/>
      <c r="HMU776" s="219"/>
      <c r="HMX776" s="92"/>
      <c r="HMY776" s="210"/>
      <c r="HNE776" s="219"/>
      <c r="HNH776" s="92"/>
      <c r="HNI776" s="210"/>
      <c r="HNO776" s="219"/>
      <c r="HNR776" s="92"/>
      <c r="HNS776" s="210"/>
      <c r="HNY776" s="219"/>
      <c r="HOB776" s="92"/>
      <c r="HOC776" s="210"/>
      <c r="HOI776" s="219"/>
      <c r="HOL776" s="92"/>
      <c r="HOM776" s="210"/>
      <c r="HOS776" s="219"/>
      <c r="HOV776" s="92"/>
      <c r="HOW776" s="210"/>
      <c r="HPC776" s="219"/>
      <c r="HPF776" s="92"/>
      <c r="HPG776" s="210"/>
      <c r="HPM776" s="219"/>
      <c r="HPP776" s="92"/>
      <c r="HPQ776" s="210"/>
      <c r="HPW776" s="219"/>
      <c r="HPZ776" s="92"/>
      <c r="HQA776" s="210"/>
      <c r="HQG776" s="219"/>
      <c r="HQJ776" s="92"/>
      <c r="HQK776" s="210"/>
      <c r="HQQ776" s="219"/>
      <c r="HQT776" s="92"/>
      <c r="HQU776" s="210"/>
      <c r="HRA776" s="219"/>
      <c r="HRD776" s="92"/>
      <c r="HRE776" s="210"/>
      <c r="HRK776" s="219"/>
      <c r="HRN776" s="92"/>
      <c r="HRO776" s="210"/>
      <c r="HRU776" s="219"/>
      <c r="HRX776" s="92"/>
      <c r="HRY776" s="210"/>
      <c r="HSE776" s="219"/>
      <c r="HSH776" s="92"/>
      <c r="HSI776" s="210"/>
      <c r="HSO776" s="219"/>
      <c r="HSR776" s="92"/>
      <c r="HSS776" s="210"/>
      <c r="HSY776" s="219"/>
      <c r="HTB776" s="92"/>
      <c r="HTC776" s="210"/>
      <c r="HTI776" s="219"/>
      <c r="HTL776" s="92"/>
      <c r="HTM776" s="210"/>
      <c r="HTS776" s="219"/>
      <c r="HTV776" s="92"/>
      <c r="HTW776" s="210"/>
      <c r="HUC776" s="219"/>
      <c r="HUF776" s="92"/>
      <c r="HUG776" s="210"/>
      <c r="HUM776" s="219"/>
      <c r="HUP776" s="92"/>
      <c r="HUQ776" s="210"/>
      <c r="HUW776" s="219"/>
      <c r="HUZ776" s="92"/>
      <c r="HVA776" s="210"/>
      <c r="HVG776" s="219"/>
      <c r="HVJ776" s="92"/>
      <c r="HVK776" s="210"/>
      <c r="HVQ776" s="219"/>
      <c r="HVT776" s="92"/>
      <c r="HVU776" s="210"/>
      <c r="HWA776" s="219"/>
      <c r="HWD776" s="92"/>
      <c r="HWE776" s="210"/>
      <c r="HWK776" s="219"/>
      <c r="HWN776" s="92"/>
      <c r="HWO776" s="210"/>
      <c r="HWU776" s="219"/>
      <c r="HWX776" s="92"/>
      <c r="HWY776" s="210"/>
      <c r="HXE776" s="219"/>
      <c r="HXH776" s="92"/>
      <c r="HXI776" s="210"/>
      <c r="HXO776" s="219"/>
      <c r="HXR776" s="92"/>
      <c r="HXS776" s="210"/>
      <c r="HXY776" s="219"/>
      <c r="HYB776" s="92"/>
      <c r="HYC776" s="210"/>
      <c r="HYI776" s="219"/>
      <c r="HYL776" s="92"/>
      <c r="HYM776" s="210"/>
      <c r="HYS776" s="219"/>
      <c r="HYV776" s="92"/>
      <c r="HYW776" s="210"/>
      <c r="HZC776" s="219"/>
      <c r="HZF776" s="92"/>
      <c r="HZG776" s="210"/>
      <c r="HZM776" s="219"/>
      <c r="HZP776" s="92"/>
      <c r="HZQ776" s="210"/>
      <c r="HZW776" s="219"/>
      <c r="HZZ776" s="92"/>
      <c r="IAA776" s="210"/>
      <c r="IAG776" s="219"/>
      <c r="IAJ776" s="92"/>
      <c r="IAK776" s="210"/>
      <c r="IAQ776" s="219"/>
      <c r="IAT776" s="92"/>
      <c r="IAU776" s="210"/>
      <c r="IBA776" s="219"/>
      <c r="IBD776" s="92"/>
      <c r="IBE776" s="210"/>
      <c r="IBK776" s="219"/>
      <c r="IBN776" s="92"/>
      <c r="IBO776" s="210"/>
      <c r="IBU776" s="219"/>
      <c r="IBX776" s="92"/>
      <c r="IBY776" s="210"/>
      <c r="ICE776" s="219"/>
      <c r="ICH776" s="92"/>
      <c r="ICI776" s="210"/>
      <c r="ICO776" s="219"/>
      <c r="ICR776" s="92"/>
      <c r="ICS776" s="210"/>
      <c r="ICY776" s="219"/>
      <c r="IDB776" s="92"/>
      <c r="IDC776" s="210"/>
      <c r="IDI776" s="219"/>
      <c r="IDL776" s="92"/>
      <c r="IDM776" s="210"/>
      <c r="IDS776" s="219"/>
      <c r="IDV776" s="92"/>
      <c r="IDW776" s="210"/>
      <c r="IEC776" s="219"/>
      <c r="IEF776" s="92"/>
      <c r="IEG776" s="210"/>
      <c r="IEM776" s="219"/>
      <c r="IEP776" s="92"/>
      <c r="IEQ776" s="210"/>
      <c r="IEW776" s="219"/>
      <c r="IEZ776" s="92"/>
      <c r="IFA776" s="210"/>
      <c r="IFG776" s="219"/>
      <c r="IFJ776" s="92"/>
      <c r="IFK776" s="210"/>
      <c r="IFQ776" s="219"/>
      <c r="IFT776" s="92"/>
      <c r="IFU776" s="210"/>
      <c r="IGA776" s="219"/>
      <c r="IGD776" s="92"/>
      <c r="IGE776" s="210"/>
      <c r="IGK776" s="219"/>
      <c r="IGN776" s="92"/>
      <c r="IGO776" s="210"/>
      <c r="IGU776" s="219"/>
      <c r="IGX776" s="92"/>
      <c r="IGY776" s="210"/>
      <c r="IHE776" s="219"/>
      <c r="IHH776" s="92"/>
      <c r="IHI776" s="210"/>
      <c r="IHO776" s="219"/>
      <c r="IHR776" s="92"/>
      <c r="IHS776" s="210"/>
      <c r="IHY776" s="219"/>
      <c r="IIB776" s="92"/>
      <c r="IIC776" s="210"/>
      <c r="III776" s="219"/>
      <c r="IIL776" s="92"/>
      <c r="IIM776" s="210"/>
      <c r="IIS776" s="219"/>
      <c r="IIV776" s="92"/>
      <c r="IIW776" s="210"/>
      <c r="IJC776" s="219"/>
      <c r="IJF776" s="92"/>
      <c r="IJG776" s="210"/>
      <c r="IJM776" s="219"/>
      <c r="IJP776" s="92"/>
      <c r="IJQ776" s="210"/>
      <c r="IJW776" s="219"/>
      <c r="IJZ776" s="92"/>
      <c r="IKA776" s="210"/>
      <c r="IKG776" s="219"/>
      <c r="IKJ776" s="92"/>
      <c r="IKK776" s="210"/>
      <c r="IKQ776" s="219"/>
      <c r="IKT776" s="92"/>
      <c r="IKU776" s="210"/>
      <c r="ILA776" s="219"/>
      <c r="ILD776" s="92"/>
      <c r="ILE776" s="210"/>
      <c r="ILK776" s="219"/>
      <c r="ILN776" s="92"/>
      <c r="ILO776" s="210"/>
      <c r="ILU776" s="219"/>
      <c r="ILX776" s="92"/>
      <c r="ILY776" s="210"/>
      <c r="IME776" s="219"/>
      <c r="IMH776" s="92"/>
      <c r="IMI776" s="210"/>
      <c r="IMO776" s="219"/>
      <c r="IMR776" s="92"/>
      <c r="IMS776" s="210"/>
      <c r="IMY776" s="219"/>
      <c r="INB776" s="92"/>
      <c r="INC776" s="210"/>
      <c r="INI776" s="219"/>
      <c r="INL776" s="92"/>
      <c r="INM776" s="210"/>
      <c r="INS776" s="219"/>
      <c r="INV776" s="92"/>
      <c r="INW776" s="210"/>
      <c r="IOC776" s="219"/>
      <c r="IOF776" s="92"/>
      <c r="IOG776" s="210"/>
      <c r="IOM776" s="219"/>
      <c r="IOP776" s="92"/>
      <c r="IOQ776" s="210"/>
      <c r="IOW776" s="219"/>
      <c r="IOZ776" s="92"/>
      <c r="IPA776" s="210"/>
      <c r="IPG776" s="219"/>
      <c r="IPJ776" s="92"/>
      <c r="IPK776" s="210"/>
      <c r="IPQ776" s="219"/>
      <c r="IPT776" s="92"/>
      <c r="IPU776" s="210"/>
      <c r="IQA776" s="219"/>
      <c r="IQD776" s="92"/>
      <c r="IQE776" s="210"/>
      <c r="IQK776" s="219"/>
      <c r="IQN776" s="92"/>
      <c r="IQO776" s="210"/>
      <c r="IQU776" s="219"/>
      <c r="IQX776" s="92"/>
      <c r="IQY776" s="210"/>
      <c r="IRE776" s="219"/>
      <c r="IRH776" s="92"/>
      <c r="IRI776" s="210"/>
      <c r="IRO776" s="219"/>
      <c r="IRR776" s="92"/>
      <c r="IRS776" s="210"/>
      <c r="IRY776" s="219"/>
      <c r="ISB776" s="92"/>
      <c r="ISC776" s="210"/>
      <c r="ISI776" s="219"/>
      <c r="ISL776" s="92"/>
      <c r="ISM776" s="210"/>
      <c r="ISS776" s="219"/>
      <c r="ISV776" s="92"/>
      <c r="ISW776" s="210"/>
      <c r="ITC776" s="219"/>
      <c r="ITF776" s="92"/>
      <c r="ITG776" s="210"/>
      <c r="ITM776" s="219"/>
      <c r="ITP776" s="92"/>
      <c r="ITQ776" s="210"/>
      <c r="ITW776" s="219"/>
      <c r="ITZ776" s="92"/>
      <c r="IUA776" s="210"/>
      <c r="IUG776" s="219"/>
      <c r="IUJ776" s="92"/>
      <c r="IUK776" s="210"/>
      <c r="IUQ776" s="219"/>
      <c r="IUT776" s="92"/>
      <c r="IUU776" s="210"/>
      <c r="IVA776" s="219"/>
      <c r="IVD776" s="92"/>
      <c r="IVE776" s="210"/>
      <c r="IVK776" s="219"/>
      <c r="IVN776" s="92"/>
      <c r="IVO776" s="210"/>
      <c r="IVU776" s="219"/>
      <c r="IVX776" s="92"/>
      <c r="IVY776" s="210"/>
      <c r="IWE776" s="219"/>
      <c r="IWH776" s="92"/>
      <c r="IWI776" s="210"/>
      <c r="IWO776" s="219"/>
      <c r="IWR776" s="92"/>
      <c r="IWS776" s="210"/>
      <c r="IWY776" s="219"/>
      <c r="IXB776" s="92"/>
      <c r="IXC776" s="210"/>
      <c r="IXI776" s="219"/>
      <c r="IXL776" s="92"/>
      <c r="IXM776" s="210"/>
      <c r="IXS776" s="219"/>
      <c r="IXV776" s="92"/>
      <c r="IXW776" s="210"/>
      <c r="IYC776" s="219"/>
      <c r="IYF776" s="92"/>
      <c r="IYG776" s="210"/>
      <c r="IYM776" s="219"/>
      <c r="IYP776" s="92"/>
      <c r="IYQ776" s="210"/>
      <c r="IYW776" s="219"/>
      <c r="IYZ776" s="92"/>
      <c r="IZA776" s="210"/>
      <c r="IZG776" s="219"/>
      <c r="IZJ776" s="92"/>
      <c r="IZK776" s="210"/>
      <c r="IZQ776" s="219"/>
      <c r="IZT776" s="92"/>
      <c r="IZU776" s="210"/>
      <c r="JAA776" s="219"/>
      <c r="JAD776" s="92"/>
      <c r="JAE776" s="210"/>
      <c r="JAK776" s="219"/>
      <c r="JAN776" s="92"/>
      <c r="JAO776" s="210"/>
      <c r="JAU776" s="219"/>
      <c r="JAX776" s="92"/>
      <c r="JAY776" s="210"/>
      <c r="JBE776" s="219"/>
      <c r="JBH776" s="92"/>
      <c r="JBI776" s="210"/>
      <c r="JBO776" s="219"/>
      <c r="JBR776" s="92"/>
      <c r="JBS776" s="210"/>
      <c r="JBY776" s="219"/>
      <c r="JCB776" s="92"/>
      <c r="JCC776" s="210"/>
      <c r="JCI776" s="219"/>
      <c r="JCL776" s="92"/>
      <c r="JCM776" s="210"/>
      <c r="JCS776" s="219"/>
      <c r="JCV776" s="92"/>
      <c r="JCW776" s="210"/>
      <c r="JDC776" s="219"/>
      <c r="JDF776" s="92"/>
      <c r="JDG776" s="210"/>
      <c r="JDM776" s="219"/>
      <c r="JDP776" s="92"/>
      <c r="JDQ776" s="210"/>
      <c r="JDW776" s="219"/>
      <c r="JDZ776" s="92"/>
      <c r="JEA776" s="210"/>
      <c r="JEG776" s="219"/>
      <c r="JEJ776" s="92"/>
      <c r="JEK776" s="210"/>
      <c r="JEQ776" s="219"/>
      <c r="JET776" s="92"/>
      <c r="JEU776" s="210"/>
      <c r="JFA776" s="219"/>
      <c r="JFD776" s="92"/>
      <c r="JFE776" s="210"/>
      <c r="JFK776" s="219"/>
      <c r="JFN776" s="92"/>
      <c r="JFO776" s="210"/>
      <c r="JFU776" s="219"/>
      <c r="JFX776" s="92"/>
      <c r="JFY776" s="210"/>
      <c r="JGE776" s="219"/>
      <c r="JGH776" s="92"/>
      <c r="JGI776" s="210"/>
      <c r="JGO776" s="219"/>
      <c r="JGR776" s="92"/>
      <c r="JGS776" s="210"/>
      <c r="JGY776" s="219"/>
      <c r="JHB776" s="92"/>
      <c r="JHC776" s="210"/>
      <c r="JHI776" s="219"/>
      <c r="JHL776" s="92"/>
      <c r="JHM776" s="210"/>
      <c r="JHS776" s="219"/>
      <c r="JHV776" s="92"/>
      <c r="JHW776" s="210"/>
      <c r="JIC776" s="219"/>
      <c r="JIF776" s="92"/>
      <c r="JIG776" s="210"/>
      <c r="JIM776" s="219"/>
      <c r="JIP776" s="92"/>
      <c r="JIQ776" s="210"/>
      <c r="JIW776" s="219"/>
      <c r="JIZ776" s="92"/>
      <c r="JJA776" s="210"/>
      <c r="JJG776" s="219"/>
      <c r="JJJ776" s="92"/>
      <c r="JJK776" s="210"/>
      <c r="JJQ776" s="219"/>
      <c r="JJT776" s="92"/>
      <c r="JJU776" s="210"/>
      <c r="JKA776" s="219"/>
      <c r="JKD776" s="92"/>
      <c r="JKE776" s="210"/>
      <c r="JKK776" s="219"/>
      <c r="JKN776" s="92"/>
      <c r="JKO776" s="210"/>
      <c r="JKU776" s="219"/>
      <c r="JKX776" s="92"/>
      <c r="JKY776" s="210"/>
      <c r="JLE776" s="219"/>
      <c r="JLH776" s="92"/>
      <c r="JLI776" s="210"/>
      <c r="JLO776" s="219"/>
      <c r="JLR776" s="92"/>
      <c r="JLS776" s="210"/>
      <c r="JLY776" s="219"/>
      <c r="JMB776" s="92"/>
      <c r="JMC776" s="210"/>
      <c r="JMI776" s="219"/>
      <c r="JML776" s="92"/>
      <c r="JMM776" s="210"/>
      <c r="JMS776" s="219"/>
      <c r="JMV776" s="92"/>
      <c r="JMW776" s="210"/>
      <c r="JNC776" s="219"/>
      <c r="JNF776" s="92"/>
      <c r="JNG776" s="210"/>
      <c r="JNM776" s="219"/>
      <c r="JNP776" s="92"/>
      <c r="JNQ776" s="210"/>
      <c r="JNW776" s="219"/>
      <c r="JNZ776" s="92"/>
      <c r="JOA776" s="210"/>
      <c r="JOG776" s="219"/>
      <c r="JOJ776" s="92"/>
      <c r="JOK776" s="210"/>
      <c r="JOQ776" s="219"/>
      <c r="JOT776" s="92"/>
      <c r="JOU776" s="210"/>
      <c r="JPA776" s="219"/>
      <c r="JPD776" s="92"/>
      <c r="JPE776" s="210"/>
      <c r="JPK776" s="219"/>
      <c r="JPN776" s="92"/>
      <c r="JPO776" s="210"/>
      <c r="JPU776" s="219"/>
      <c r="JPX776" s="92"/>
      <c r="JPY776" s="210"/>
      <c r="JQE776" s="219"/>
      <c r="JQH776" s="92"/>
      <c r="JQI776" s="210"/>
      <c r="JQO776" s="219"/>
      <c r="JQR776" s="92"/>
      <c r="JQS776" s="210"/>
      <c r="JQY776" s="219"/>
      <c r="JRB776" s="92"/>
      <c r="JRC776" s="210"/>
      <c r="JRI776" s="219"/>
      <c r="JRL776" s="92"/>
      <c r="JRM776" s="210"/>
      <c r="JRS776" s="219"/>
      <c r="JRV776" s="92"/>
      <c r="JRW776" s="210"/>
      <c r="JSC776" s="219"/>
      <c r="JSF776" s="92"/>
      <c r="JSG776" s="210"/>
      <c r="JSM776" s="219"/>
      <c r="JSP776" s="92"/>
      <c r="JSQ776" s="210"/>
      <c r="JSW776" s="219"/>
      <c r="JSZ776" s="92"/>
      <c r="JTA776" s="210"/>
      <c r="JTG776" s="219"/>
      <c r="JTJ776" s="92"/>
      <c r="JTK776" s="210"/>
      <c r="JTQ776" s="219"/>
      <c r="JTT776" s="92"/>
      <c r="JTU776" s="210"/>
      <c r="JUA776" s="219"/>
      <c r="JUD776" s="92"/>
      <c r="JUE776" s="210"/>
      <c r="JUK776" s="219"/>
      <c r="JUN776" s="92"/>
      <c r="JUO776" s="210"/>
      <c r="JUU776" s="219"/>
      <c r="JUX776" s="92"/>
      <c r="JUY776" s="210"/>
      <c r="JVE776" s="219"/>
      <c r="JVH776" s="92"/>
      <c r="JVI776" s="210"/>
      <c r="JVO776" s="219"/>
      <c r="JVR776" s="92"/>
      <c r="JVS776" s="210"/>
      <c r="JVY776" s="219"/>
      <c r="JWB776" s="92"/>
      <c r="JWC776" s="210"/>
      <c r="JWI776" s="219"/>
      <c r="JWL776" s="92"/>
      <c r="JWM776" s="210"/>
      <c r="JWS776" s="219"/>
      <c r="JWV776" s="92"/>
      <c r="JWW776" s="210"/>
      <c r="JXC776" s="219"/>
      <c r="JXF776" s="92"/>
      <c r="JXG776" s="210"/>
      <c r="JXM776" s="219"/>
      <c r="JXP776" s="92"/>
      <c r="JXQ776" s="210"/>
      <c r="JXW776" s="219"/>
      <c r="JXZ776" s="92"/>
      <c r="JYA776" s="210"/>
      <c r="JYG776" s="219"/>
      <c r="JYJ776" s="92"/>
      <c r="JYK776" s="210"/>
      <c r="JYQ776" s="219"/>
      <c r="JYT776" s="92"/>
      <c r="JYU776" s="210"/>
      <c r="JZA776" s="219"/>
      <c r="JZD776" s="92"/>
      <c r="JZE776" s="210"/>
      <c r="JZK776" s="219"/>
      <c r="JZN776" s="92"/>
      <c r="JZO776" s="210"/>
      <c r="JZU776" s="219"/>
      <c r="JZX776" s="92"/>
      <c r="JZY776" s="210"/>
      <c r="KAE776" s="219"/>
      <c r="KAH776" s="92"/>
      <c r="KAI776" s="210"/>
      <c r="KAO776" s="219"/>
      <c r="KAR776" s="92"/>
      <c r="KAS776" s="210"/>
      <c r="KAY776" s="219"/>
      <c r="KBB776" s="92"/>
      <c r="KBC776" s="210"/>
      <c r="KBI776" s="219"/>
      <c r="KBL776" s="92"/>
      <c r="KBM776" s="210"/>
      <c r="KBS776" s="219"/>
      <c r="KBV776" s="92"/>
      <c r="KBW776" s="210"/>
      <c r="KCC776" s="219"/>
      <c r="KCF776" s="92"/>
      <c r="KCG776" s="210"/>
      <c r="KCM776" s="219"/>
      <c r="KCP776" s="92"/>
      <c r="KCQ776" s="210"/>
      <c r="KCW776" s="219"/>
      <c r="KCZ776" s="92"/>
      <c r="KDA776" s="210"/>
      <c r="KDG776" s="219"/>
      <c r="KDJ776" s="92"/>
      <c r="KDK776" s="210"/>
      <c r="KDQ776" s="219"/>
      <c r="KDT776" s="92"/>
      <c r="KDU776" s="210"/>
      <c r="KEA776" s="219"/>
      <c r="KED776" s="92"/>
      <c r="KEE776" s="210"/>
      <c r="KEK776" s="219"/>
      <c r="KEN776" s="92"/>
      <c r="KEO776" s="210"/>
      <c r="KEU776" s="219"/>
      <c r="KEX776" s="92"/>
      <c r="KEY776" s="210"/>
      <c r="KFE776" s="219"/>
      <c r="KFH776" s="92"/>
      <c r="KFI776" s="210"/>
      <c r="KFO776" s="219"/>
      <c r="KFR776" s="92"/>
      <c r="KFS776" s="210"/>
      <c r="KFY776" s="219"/>
      <c r="KGB776" s="92"/>
      <c r="KGC776" s="210"/>
      <c r="KGI776" s="219"/>
      <c r="KGL776" s="92"/>
      <c r="KGM776" s="210"/>
      <c r="KGS776" s="219"/>
      <c r="KGV776" s="92"/>
      <c r="KGW776" s="210"/>
      <c r="KHC776" s="219"/>
      <c r="KHF776" s="92"/>
      <c r="KHG776" s="210"/>
      <c r="KHM776" s="219"/>
      <c r="KHP776" s="92"/>
      <c r="KHQ776" s="210"/>
      <c r="KHW776" s="219"/>
      <c r="KHZ776" s="92"/>
      <c r="KIA776" s="210"/>
      <c r="KIG776" s="219"/>
      <c r="KIJ776" s="92"/>
      <c r="KIK776" s="210"/>
      <c r="KIQ776" s="219"/>
      <c r="KIT776" s="92"/>
      <c r="KIU776" s="210"/>
      <c r="KJA776" s="219"/>
      <c r="KJD776" s="92"/>
      <c r="KJE776" s="210"/>
      <c r="KJK776" s="219"/>
      <c r="KJN776" s="92"/>
      <c r="KJO776" s="210"/>
      <c r="KJU776" s="219"/>
      <c r="KJX776" s="92"/>
      <c r="KJY776" s="210"/>
      <c r="KKE776" s="219"/>
      <c r="KKH776" s="92"/>
      <c r="KKI776" s="210"/>
      <c r="KKO776" s="219"/>
      <c r="KKR776" s="92"/>
      <c r="KKS776" s="210"/>
      <c r="KKY776" s="219"/>
      <c r="KLB776" s="92"/>
      <c r="KLC776" s="210"/>
      <c r="KLI776" s="219"/>
      <c r="KLL776" s="92"/>
      <c r="KLM776" s="210"/>
      <c r="KLS776" s="219"/>
      <c r="KLV776" s="92"/>
      <c r="KLW776" s="210"/>
      <c r="KMC776" s="219"/>
      <c r="KMF776" s="92"/>
      <c r="KMG776" s="210"/>
      <c r="KMM776" s="219"/>
      <c r="KMP776" s="92"/>
      <c r="KMQ776" s="210"/>
      <c r="KMW776" s="219"/>
      <c r="KMZ776" s="92"/>
      <c r="KNA776" s="210"/>
      <c r="KNG776" s="219"/>
      <c r="KNJ776" s="92"/>
      <c r="KNK776" s="210"/>
      <c r="KNQ776" s="219"/>
      <c r="KNT776" s="92"/>
      <c r="KNU776" s="210"/>
      <c r="KOA776" s="219"/>
      <c r="KOD776" s="92"/>
      <c r="KOE776" s="210"/>
      <c r="KOK776" s="219"/>
      <c r="KON776" s="92"/>
      <c r="KOO776" s="210"/>
      <c r="KOU776" s="219"/>
      <c r="KOX776" s="92"/>
      <c r="KOY776" s="210"/>
      <c r="KPE776" s="219"/>
      <c r="KPH776" s="92"/>
      <c r="KPI776" s="210"/>
      <c r="KPO776" s="219"/>
      <c r="KPR776" s="92"/>
      <c r="KPS776" s="210"/>
      <c r="KPY776" s="219"/>
      <c r="KQB776" s="92"/>
      <c r="KQC776" s="210"/>
      <c r="KQI776" s="219"/>
      <c r="KQL776" s="92"/>
      <c r="KQM776" s="210"/>
      <c r="KQS776" s="219"/>
      <c r="KQV776" s="92"/>
      <c r="KQW776" s="210"/>
      <c r="KRC776" s="219"/>
      <c r="KRF776" s="92"/>
      <c r="KRG776" s="210"/>
      <c r="KRM776" s="219"/>
      <c r="KRP776" s="92"/>
      <c r="KRQ776" s="210"/>
      <c r="KRW776" s="219"/>
      <c r="KRZ776" s="92"/>
      <c r="KSA776" s="210"/>
      <c r="KSG776" s="219"/>
      <c r="KSJ776" s="92"/>
      <c r="KSK776" s="210"/>
      <c r="KSQ776" s="219"/>
      <c r="KST776" s="92"/>
      <c r="KSU776" s="210"/>
      <c r="KTA776" s="219"/>
      <c r="KTD776" s="92"/>
      <c r="KTE776" s="210"/>
      <c r="KTK776" s="219"/>
      <c r="KTN776" s="92"/>
      <c r="KTO776" s="210"/>
      <c r="KTU776" s="219"/>
      <c r="KTX776" s="92"/>
      <c r="KTY776" s="210"/>
      <c r="KUE776" s="219"/>
      <c r="KUH776" s="92"/>
      <c r="KUI776" s="210"/>
      <c r="KUO776" s="219"/>
      <c r="KUR776" s="92"/>
      <c r="KUS776" s="210"/>
      <c r="KUY776" s="219"/>
      <c r="KVB776" s="92"/>
      <c r="KVC776" s="210"/>
      <c r="KVI776" s="219"/>
      <c r="KVL776" s="92"/>
      <c r="KVM776" s="210"/>
      <c r="KVS776" s="219"/>
      <c r="KVV776" s="92"/>
      <c r="KVW776" s="210"/>
      <c r="KWC776" s="219"/>
      <c r="KWF776" s="92"/>
      <c r="KWG776" s="210"/>
      <c r="KWM776" s="219"/>
      <c r="KWP776" s="92"/>
      <c r="KWQ776" s="210"/>
      <c r="KWW776" s="219"/>
      <c r="KWZ776" s="92"/>
      <c r="KXA776" s="210"/>
      <c r="KXG776" s="219"/>
      <c r="KXJ776" s="92"/>
      <c r="KXK776" s="210"/>
      <c r="KXQ776" s="219"/>
      <c r="KXT776" s="92"/>
      <c r="KXU776" s="210"/>
      <c r="KYA776" s="219"/>
      <c r="KYD776" s="92"/>
      <c r="KYE776" s="210"/>
      <c r="KYK776" s="219"/>
      <c r="KYN776" s="92"/>
      <c r="KYO776" s="210"/>
      <c r="KYU776" s="219"/>
      <c r="KYX776" s="92"/>
      <c r="KYY776" s="210"/>
      <c r="KZE776" s="219"/>
      <c r="KZH776" s="92"/>
      <c r="KZI776" s="210"/>
      <c r="KZO776" s="219"/>
      <c r="KZR776" s="92"/>
      <c r="KZS776" s="210"/>
      <c r="KZY776" s="219"/>
      <c r="LAB776" s="92"/>
      <c r="LAC776" s="210"/>
      <c r="LAI776" s="219"/>
      <c r="LAL776" s="92"/>
      <c r="LAM776" s="210"/>
      <c r="LAS776" s="219"/>
      <c r="LAV776" s="92"/>
      <c r="LAW776" s="210"/>
      <c r="LBC776" s="219"/>
      <c r="LBF776" s="92"/>
      <c r="LBG776" s="210"/>
      <c r="LBM776" s="219"/>
      <c r="LBP776" s="92"/>
      <c r="LBQ776" s="210"/>
      <c r="LBW776" s="219"/>
      <c r="LBZ776" s="92"/>
      <c r="LCA776" s="210"/>
      <c r="LCG776" s="219"/>
      <c r="LCJ776" s="92"/>
      <c r="LCK776" s="210"/>
      <c r="LCQ776" s="219"/>
      <c r="LCT776" s="92"/>
      <c r="LCU776" s="210"/>
      <c r="LDA776" s="219"/>
      <c r="LDD776" s="92"/>
      <c r="LDE776" s="210"/>
      <c r="LDK776" s="219"/>
      <c r="LDN776" s="92"/>
      <c r="LDO776" s="210"/>
      <c r="LDU776" s="219"/>
      <c r="LDX776" s="92"/>
      <c r="LDY776" s="210"/>
      <c r="LEE776" s="219"/>
      <c r="LEH776" s="92"/>
      <c r="LEI776" s="210"/>
      <c r="LEO776" s="219"/>
      <c r="LER776" s="92"/>
      <c r="LES776" s="210"/>
      <c r="LEY776" s="219"/>
      <c r="LFB776" s="92"/>
      <c r="LFC776" s="210"/>
      <c r="LFI776" s="219"/>
      <c r="LFL776" s="92"/>
      <c r="LFM776" s="210"/>
      <c r="LFS776" s="219"/>
      <c r="LFV776" s="92"/>
      <c r="LFW776" s="210"/>
      <c r="LGC776" s="219"/>
      <c r="LGF776" s="92"/>
      <c r="LGG776" s="210"/>
      <c r="LGM776" s="219"/>
      <c r="LGP776" s="92"/>
      <c r="LGQ776" s="210"/>
      <c r="LGW776" s="219"/>
      <c r="LGZ776" s="92"/>
      <c r="LHA776" s="210"/>
      <c r="LHG776" s="219"/>
      <c r="LHJ776" s="92"/>
      <c r="LHK776" s="210"/>
      <c r="LHQ776" s="219"/>
      <c r="LHT776" s="92"/>
      <c r="LHU776" s="210"/>
      <c r="LIA776" s="219"/>
      <c r="LID776" s="92"/>
      <c r="LIE776" s="210"/>
      <c r="LIK776" s="219"/>
      <c r="LIN776" s="92"/>
      <c r="LIO776" s="210"/>
      <c r="LIU776" s="219"/>
      <c r="LIX776" s="92"/>
      <c r="LIY776" s="210"/>
      <c r="LJE776" s="219"/>
      <c r="LJH776" s="92"/>
      <c r="LJI776" s="210"/>
      <c r="LJO776" s="219"/>
      <c r="LJR776" s="92"/>
      <c r="LJS776" s="210"/>
      <c r="LJY776" s="219"/>
      <c r="LKB776" s="92"/>
      <c r="LKC776" s="210"/>
      <c r="LKI776" s="219"/>
      <c r="LKL776" s="92"/>
      <c r="LKM776" s="210"/>
      <c r="LKS776" s="219"/>
      <c r="LKV776" s="92"/>
      <c r="LKW776" s="210"/>
      <c r="LLC776" s="219"/>
      <c r="LLF776" s="92"/>
      <c r="LLG776" s="210"/>
      <c r="LLM776" s="219"/>
      <c r="LLP776" s="92"/>
      <c r="LLQ776" s="210"/>
      <c r="LLW776" s="219"/>
      <c r="LLZ776" s="92"/>
      <c r="LMA776" s="210"/>
      <c r="LMG776" s="219"/>
      <c r="LMJ776" s="92"/>
      <c r="LMK776" s="210"/>
      <c r="LMQ776" s="219"/>
      <c r="LMT776" s="92"/>
      <c r="LMU776" s="210"/>
      <c r="LNA776" s="219"/>
      <c r="LND776" s="92"/>
      <c r="LNE776" s="210"/>
      <c r="LNK776" s="219"/>
      <c r="LNN776" s="92"/>
      <c r="LNO776" s="210"/>
      <c r="LNU776" s="219"/>
      <c r="LNX776" s="92"/>
      <c r="LNY776" s="210"/>
      <c r="LOE776" s="219"/>
      <c r="LOH776" s="92"/>
      <c r="LOI776" s="210"/>
      <c r="LOO776" s="219"/>
      <c r="LOR776" s="92"/>
      <c r="LOS776" s="210"/>
      <c r="LOY776" s="219"/>
      <c r="LPB776" s="92"/>
      <c r="LPC776" s="210"/>
      <c r="LPI776" s="219"/>
      <c r="LPL776" s="92"/>
      <c r="LPM776" s="210"/>
      <c r="LPS776" s="219"/>
      <c r="LPV776" s="92"/>
      <c r="LPW776" s="210"/>
      <c r="LQC776" s="219"/>
      <c r="LQF776" s="92"/>
      <c r="LQG776" s="210"/>
      <c r="LQM776" s="219"/>
      <c r="LQP776" s="92"/>
      <c r="LQQ776" s="210"/>
      <c r="LQW776" s="219"/>
      <c r="LQZ776" s="92"/>
      <c r="LRA776" s="210"/>
      <c r="LRG776" s="219"/>
      <c r="LRJ776" s="92"/>
      <c r="LRK776" s="210"/>
      <c r="LRQ776" s="219"/>
      <c r="LRT776" s="92"/>
      <c r="LRU776" s="210"/>
      <c r="LSA776" s="219"/>
      <c r="LSD776" s="92"/>
      <c r="LSE776" s="210"/>
      <c r="LSK776" s="219"/>
      <c r="LSN776" s="92"/>
      <c r="LSO776" s="210"/>
      <c r="LSU776" s="219"/>
      <c r="LSX776" s="92"/>
      <c r="LSY776" s="210"/>
      <c r="LTE776" s="219"/>
      <c r="LTH776" s="92"/>
      <c r="LTI776" s="210"/>
      <c r="LTO776" s="219"/>
      <c r="LTR776" s="92"/>
      <c r="LTS776" s="210"/>
      <c r="LTY776" s="219"/>
      <c r="LUB776" s="92"/>
      <c r="LUC776" s="210"/>
      <c r="LUI776" s="219"/>
      <c r="LUL776" s="92"/>
      <c r="LUM776" s="210"/>
      <c r="LUS776" s="219"/>
      <c r="LUV776" s="92"/>
      <c r="LUW776" s="210"/>
      <c r="LVC776" s="219"/>
      <c r="LVF776" s="92"/>
      <c r="LVG776" s="210"/>
      <c r="LVM776" s="219"/>
      <c r="LVP776" s="92"/>
      <c r="LVQ776" s="210"/>
      <c r="LVW776" s="219"/>
      <c r="LVZ776" s="92"/>
      <c r="LWA776" s="210"/>
      <c r="LWG776" s="219"/>
      <c r="LWJ776" s="92"/>
      <c r="LWK776" s="210"/>
      <c r="LWQ776" s="219"/>
      <c r="LWT776" s="92"/>
      <c r="LWU776" s="210"/>
      <c r="LXA776" s="219"/>
      <c r="LXD776" s="92"/>
      <c r="LXE776" s="210"/>
      <c r="LXK776" s="219"/>
      <c r="LXN776" s="92"/>
      <c r="LXO776" s="210"/>
      <c r="LXU776" s="219"/>
      <c r="LXX776" s="92"/>
      <c r="LXY776" s="210"/>
      <c r="LYE776" s="219"/>
      <c r="LYH776" s="92"/>
      <c r="LYI776" s="210"/>
      <c r="LYO776" s="219"/>
      <c r="LYR776" s="92"/>
      <c r="LYS776" s="210"/>
      <c r="LYY776" s="219"/>
      <c r="LZB776" s="92"/>
      <c r="LZC776" s="210"/>
      <c r="LZI776" s="219"/>
      <c r="LZL776" s="92"/>
      <c r="LZM776" s="210"/>
      <c r="LZS776" s="219"/>
      <c r="LZV776" s="92"/>
      <c r="LZW776" s="210"/>
      <c r="MAC776" s="219"/>
      <c r="MAF776" s="92"/>
      <c r="MAG776" s="210"/>
      <c r="MAM776" s="219"/>
      <c r="MAP776" s="92"/>
      <c r="MAQ776" s="210"/>
      <c r="MAW776" s="219"/>
      <c r="MAZ776" s="92"/>
      <c r="MBA776" s="210"/>
      <c r="MBG776" s="219"/>
      <c r="MBJ776" s="92"/>
      <c r="MBK776" s="210"/>
      <c r="MBQ776" s="219"/>
      <c r="MBT776" s="92"/>
      <c r="MBU776" s="210"/>
      <c r="MCA776" s="219"/>
      <c r="MCD776" s="92"/>
      <c r="MCE776" s="210"/>
      <c r="MCK776" s="219"/>
      <c r="MCN776" s="92"/>
      <c r="MCO776" s="210"/>
      <c r="MCU776" s="219"/>
      <c r="MCX776" s="92"/>
      <c r="MCY776" s="210"/>
      <c r="MDE776" s="219"/>
      <c r="MDH776" s="92"/>
      <c r="MDI776" s="210"/>
      <c r="MDO776" s="219"/>
      <c r="MDR776" s="92"/>
      <c r="MDS776" s="210"/>
      <c r="MDY776" s="219"/>
      <c r="MEB776" s="92"/>
      <c r="MEC776" s="210"/>
      <c r="MEI776" s="219"/>
      <c r="MEL776" s="92"/>
      <c r="MEM776" s="210"/>
      <c r="MES776" s="219"/>
      <c r="MEV776" s="92"/>
      <c r="MEW776" s="210"/>
      <c r="MFC776" s="219"/>
      <c r="MFF776" s="92"/>
      <c r="MFG776" s="210"/>
      <c r="MFM776" s="219"/>
      <c r="MFP776" s="92"/>
      <c r="MFQ776" s="210"/>
      <c r="MFW776" s="219"/>
      <c r="MFZ776" s="92"/>
      <c r="MGA776" s="210"/>
      <c r="MGG776" s="219"/>
      <c r="MGJ776" s="92"/>
      <c r="MGK776" s="210"/>
      <c r="MGQ776" s="219"/>
      <c r="MGT776" s="92"/>
      <c r="MGU776" s="210"/>
      <c r="MHA776" s="219"/>
      <c r="MHD776" s="92"/>
      <c r="MHE776" s="210"/>
      <c r="MHK776" s="219"/>
      <c r="MHN776" s="92"/>
      <c r="MHO776" s="210"/>
      <c r="MHU776" s="219"/>
      <c r="MHX776" s="92"/>
      <c r="MHY776" s="210"/>
      <c r="MIE776" s="219"/>
      <c r="MIH776" s="92"/>
      <c r="MII776" s="210"/>
      <c r="MIO776" s="219"/>
      <c r="MIR776" s="92"/>
      <c r="MIS776" s="210"/>
      <c r="MIY776" s="219"/>
      <c r="MJB776" s="92"/>
      <c r="MJC776" s="210"/>
      <c r="MJI776" s="219"/>
      <c r="MJL776" s="92"/>
      <c r="MJM776" s="210"/>
      <c r="MJS776" s="219"/>
      <c r="MJV776" s="92"/>
      <c r="MJW776" s="210"/>
      <c r="MKC776" s="219"/>
      <c r="MKF776" s="92"/>
      <c r="MKG776" s="210"/>
      <c r="MKM776" s="219"/>
      <c r="MKP776" s="92"/>
      <c r="MKQ776" s="210"/>
      <c r="MKW776" s="219"/>
      <c r="MKZ776" s="92"/>
      <c r="MLA776" s="210"/>
      <c r="MLG776" s="219"/>
      <c r="MLJ776" s="92"/>
      <c r="MLK776" s="210"/>
      <c r="MLQ776" s="219"/>
      <c r="MLT776" s="92"/>
      <c r="MLU776" s="210"/>
      <c r="MMA776" s="219"/>
      <c r="MMD776" s="92"/>
      <c r="MME776" s="210"/>
      <c r="MMK776" s="219"/>
      <c r="MMN776" s="92"/>
      <c r="MMO776" s="210"/>
      <c r="MMU776" s="219"/>
      <c r="MMX776" s="92"/>
      <c r="MMY776" s="210"/>
      <c r="MNE776" s="219"/>
      <c r="MNH776" s="92"/>
      <c r="MNI776" s="210"/>
      <c r="MNO776" s="219"/>
      <c r="MNR776" s="92"/>
      <c r="MNS776" s="210"/>
      <c r="MNY776" s="219"/>
      <c r="MOB776" s="92"/>
      <c r="MOC776" s="210"/>
      <c r="MOI776" s="219"/>
      <c r="MOL776" s="92"/>
      <c r="MOM776" s="210"/>
      <c r="MOS776" s="219"/>
      <c r="MOV776" s="92"/>
      <c r="MOW776" s="210"/>
      <c r="MPC776" s="219"/>
      <c r="MPF776" s="92"/>
      <c r="MPG776" s="210"/>
      <c r="MPM776" s="219"/>
      <c r="MPP776" s="92"/>
      <c r="MPQ776" s="210"/>
      <c r="MPW776" s="219"/>
      <c r="MPZ776" s="92"/>
      <c r="MQA776" s="210"/>
      <c r="MQG776" s="219"/>
      <c r="MQJ776" s="92"/>
      <c r="MQK776" s="210"/>
      <c r="MQQ776" s="219"/>
      <c r="MQT776" s="92"/>
      <c r="MQU776" s="210"/>
      <c r="MRA776" s="219"/>
      <c r="MRD776" s="92"/>
      <c r="MRE776" s="210"/>
      <c r="MRK776" s="219"/>
      <c r="MRN776" s="92"/>
      <c r="MRO776" s="210"/>
      <c r="MRU776" s="219"/>
      <c r="MRX776" s="92"/>
      <c r="MRY776" s="210"/>
      <c r="MSE776" s="219"/>
      <c r="MSH776" s="92"/>
      <c r="MSI776" s="210"/>
      <c r="MSO776" s="219"/>
      <c r="MSR776" s="92"/>
      <c r="MSS776" s="210"/>
      <c r="MSY776" s="219"/>
      <c r="MTB776" s="92"/>
      <c r="MTC776" s="210"/>
      <c r="MTI776" s="219"/>
      <c r="MTL776" s="92"/>
      <c r="MTM776" s="210"/>
      <c r="MTS776" s="219"/>
      <c r="MTV776" s="92"/>
      <c r="MTW776" s="210"/>
      <c r="MUC776" s="219"/>
      <c r="MUF776" s="92"/>
      <c r="MUG776" s="210"/>
      <c r="MUM776" s="219"/>
      <c r="MUP776" s="92"/>
      <c r="MUQ776" s="210"/>
      <c r="MUW776" s="219"/>
      <c r="MUZ776" s="92"/>
      <c r="MVA776" s="210"/>
      <c r="MVG776" s="219"/>
      <c r="MVJ776" s="92"/>
      <c r="MVK776" s="210"/>
      <c r="MVQ776" s="219"/>
      <c r="MVT776" s="92"/>
      <c r="MVU776" s="210"/>
      <c r="MWA776" s="219"/>
      <c r="MWD776" s="92"/>
      <c r="MWE776" s="210"/>
      <c r="MWK776" s="219"/>
      <c r="MWN776" s="92"/>
      <c r="MWO776" s="210"/>
      <c r="MWU776" s="219"/>
      <c r="MWX776" s="92"/>
      <c r="MWY776" s="210"/>
      <c r="MXE776" s="219"/>
      <c r="MXH776" s="92"/>
      <c r="MXI776" s="210"/>
      <c r="MXO776" s="219"/>
      <c r="MXR776" s="92"/>
      <c r="MXS776" s="210"/>
      <c r="MXY776" s="219"/>
      <c r="MYB776" s="92"/>
      <c r="MYC776" s="210"/>
      <c r="MYI776" s="219"/>
      <c r="MYL776" s="92"/>
      <c r="MYM776" s="210"/>
      <c r="MYS776" s="219"/>
      <c r="MYV776" s="92"/>
      <c r="MYW776" s="210"/>
      <c r="MZC776" s="219"/>
      <c r="MZF776" s="92"/>
      <c r="MZG776" s="210"/>
      <c r="MZM776" s="219"/>
      <c r="MZP776" s="92"/>
      <c r="MZQ776" s="210"/>
      <c r="MZW776" s="219"/>
      <c r="MZZ776" s="92"/>
      <c r="NAA776" s="210"/>
      <c r="NAG776" s="219"/>
      <c r="NAJ776" s="92"/>
      <c r="NAK776" s="210"/>
      <c r="NAQ776" s="219"/>
      <c r="NAT776" s="92"/>
      <c r="NAU776" s="210"/>
      <c r="NBA776" s="219"/>
      <c r="NBD776" s="92"/>
      <c r="NBE776" s="210"/>
      <c r="NBK776" s="219"/>
      <c r="NBN776" s="92"/>
      <c r="NBO776" s="210"/>
      <c r="NBU776" s="219"/>
      <c r="NBX776" s="92"/>
      <c r="NBY776" s="210"/>
      <c r="NCE776" s="219"/>
      <c r="NCH776" s="92"/>
      <c r="NCI776" s="210"/>
      <c r="NCO776" s="219"/>
      <c r="NCR776" s="92"/>
      <c r="NCS776" s="210"/>
      <c r="NCY776" s="219"/>
      <c r="NDB776" s="92"/>
      <c r="NDC776" s="210"/>
      <c r="NDI776" s="219"/>
      <c r="NDL776" s="92"/>
      <c r="NDM776" s="210"/>
      <c r="NDS776" s="219"/>
      <c r="NDV776" s="92"/>
      <c r="NDW776" s="210"/>
      <c r="NEC776" s="219"/>
      <c r="NEF776" s="92"/>
      <c r="NEG776" s="210"/>
      <c r="NEM776" s="219"/>
      <c r="NEP776" s="92"/>
      <c r="NEQ776" s="210"/>
      <c r="NEW776" s="219"/>
      <c r="NEZ776" s="92"/>
      <c r="NFA776" s="210"/>
      <c r="NFG776" s="219"/>
      <c r="NFJ776" s="92"/>
      <c r="NFK776" s="210"/>
      <c r="NFQ776" s="219"/>
      <c r="NFT776" s="92"/>
      <c r="NFU776" s="210"/>
      <c r="NGA776" s="219"/>
      <c r="NGD776" s="92"/>
      <c r="NGE776" s="210"/>
      <c r="NGK776" s="219"/>
      <c r="NGN776" s="92"/>
      <c r="NGO776" s="210"/>
      <c r="NGU776" s="219"/>
      <c r="NGX776" s="92"/>
      <c r="NGY776" s="210"/>
      <c r="NHE776" s="219"/>
      <c r="NHH776" s="92"/>
      <c r="NHI776" s="210"/>
      <c r="NHO776" s="219"/>
      <c r="NHR776" s="92"/>
      <c r="NHS776" s="210"/>
      <c r="NHY776" s="219"/>
      <c r="NIB776" s="92"/>
      <c r="NIC776" s="210"/>
      <c r="NII776" s="219"/>
      <c r="NIL776" s="92"/>
      <c r="NIM776" s="210"/>
      <c r="NIS776" s="219"/>
      <c r="NIV776" s="92"/>
      <c r="NIW776" s="210"/>
      <c r="NJC776" s="219"/>
      <c r="NJF776" s="92"/>
      <c r="NJG776" s="210"/>
      <c r="NJM776" s="219"/>
      <c r="NJP776" s="92"/>
      <c r="NJQ776" s="210"/>
      <c r="NJW776" s="219"/>
      <c r="NJZ776" s="92"/>
      <c r="NKA776" s="210"/>
      <c r="NKG776" s="219"/>
      <c r="NKJ776" s="92"/>
      <c r="NKK776" s="210"/>
      <c r="NKQ776" s="219"/>
      <c r="NKT776" s="92"/>
      <c r="NKU776" s="210"/>
      <c r="NLA776" s="219"/>
      <c r="NLD776" s="92"/>
      <c r="NLE776" s="210"/>
      <c r="NLK776" s="219"/>
      <c r="NLN776" s="92"/>
      <c r="NLO776" s="210"/>
      <c r="NLU776" s="219"/>
      <c r="NLX776" s="92"/>
      <c r="NLY776" s="210"/>
      <c r="NME776" s="219"/>
      <c r="NMH776" s="92"/>
      <c r="NMI776" s="210"/>
      <c r="NMO776" s="219"/>
      <c r="NMR776" s="92"/>
      <c r="NMS776" s="210"/>
      <c r="NMY776" s="219"/>
      <c r="NNB776" s="92"/>
      <c r="NNC776" s="210"/>
      <c r="NNI776" s="219"/>
      <c r="NNL776" s="92"/>
      <c r="NNM776" s="210"/>
      <c r="NNS776" s="219"/>
      <c r="NNV776" s="92"/>
      <c r="NNW776" s="210"/>
      <c r="NOC776" s="219"/>
      <c r="NOF776" s="92"/>
      <c r="NOG776" s="210"/>
      <c r="NOM776" s="219"/>
      <c r="NOP776" s="92"/>
      <c r="NOQ776" s="210"/>
      <c r="NOW776" s="219"/>
      <c r="NOZ776" s="92"/>
      <c r="NPA776" s="210"/>
      <c r="NPG776" s="219"/>
      <c r="NPJ776" s="92"/>
      <c r="NPK776" s="210"/>
      <c r="NPQ776" s="219"/>
      <c r="NPT776" s="92"/>
      <c r="NPU776" s="210"/>
      <c r="NQA776" s="219"/>
      <c r="NQD776" s="92"/>
      <c r="NQE776" s="210"/>
      <c r="NQK776" s="219"/>
      <c r="NQN776" s="92"/>
      <c r="NQO776" s="210"/>
      <c r="NQU776" s="219"/>
      <c r="NQX776" s="92"/>
      <c r="NQY776" s="210"/>
      <c r="NRE776" s="219"/>
      <c r="NRH776" s="92"/>
      <c r="NRI776" s="210"/>
      <c r="NRO776" s="219"/>
      <c r="NRR776" s="92"/>
      <c r="NRS776" s="210"/>
      <c r="NRY776" s="219"/>
      <c r="NSB776" s="92"/>
      <c r="NSC776" s="210"/>
      <c r="NSI776" s="219"/>
      <c r="NSL776" s="92"/>
      <c r="NSM776" s="210"/>
      <c r="NSS776" s="219"/>
      <c r="NSV776" s="92"/>
      <c r="NSW776" s="210"/>
      <c r="NTC776" s="219"/>
      <c r="NTF776" s="92"/>
      <c r="NTG776" s="210"/>
      <c r="NTM776" s="219"/>
      <c r="NTP776" s="92"/>
      <c r="NTQ776" s="210"/>
      <c r="NTW776" s="219"/>
      <c r="NTZ776" s="92"/>
      <c r="NUA776" s="210"/>
      <c r="NUG776" s="219"/>
      <c r="NUJ776" s="92"/>
      <c r="NUK776" s="210"/>
      <c r="NUQ776" s="219"/>
      <c r="NUT776" s="92"/>
      <c r="NUU776" s="210"/>
      <c r="NVA776" s="219"/>
      <c r="NVD776" s="92"/>
      <c r="NVE776" s="210"/>
      <c r="NVK776" s="219"/>
      <c r="NVN776" s="92"/>
      <c r="NVO776" s="210"/>
      <c r="NVU776" s="219"/>
      <c r="NVX776" s="92"/>
      <c r="NVY776" s="210"/>
      <c r="NWE776" s="219"/>
      <c r="NWH776" s="92"/>
      <c r="NWI776" s="210"/>
      <c r="NWO776" s="219"/>
      <c r="NWR776" s="92"/>
      <c r="NWS776" s="210"/>
      <c r="NWY776" s="219"/>
      <c r="NXB776" s="92"/>
      <c r="NXC776" s="210"/>
      <c r="NXI776" s="219"/>
      <c r="NXL776" s="92"/>
      <c r="NXM776" s="210"/>
      <c r="NXS776" s="219"/>
      <c r="NXV776" s="92"/>
      <c r="NXW776" s="210"/>
      <c r="NYC776" s="219"/>
      <c r="NYF776" s="92"/>
      <c r="NYG776" s="210"/>
      <c r="NYM776" s="219"/>
      <c r="NYP776" s="92"/>
      <c r="NYQ776" s="210"/>
      <c r="NYW776" s="219"/>
      <c r="NYZ776" s="92"/>
      <c r="NZA776" s="210"/>
      <c r="NZG776" s="219"/>
      <c r="NZJ776" s="92"/>
      <c r="NZK776" s="210"/>
      <c r="NZQ776" s="219"/>
      <c r="NZT776" s="92"/>
      <c r="NZU776" s="210"/>
      <c r="OAA776" s="219"/>
      <c r="OAD776" s="92"/>
      <c r="OAE776" s="210"/>
      <c r="OAK776" s="219"/>
      <c r="OAN776" s="92"/>
      <c r="OAO776" s="210"/>
      <c r="OAU776" s="219"/>
      <c r="OAX776" s="92"/>
      <c r="OAY776" s="210"/>
      <c r="OBE776" s="219"/>
      <c r="OBH776" s="92"/>
      <c r="OBI776" s="210"/>
      <c r="OBO776" s="219"/>
      <c r="OBR776" s="92"/>
      <c r="OBS776" s="210"/>
      <c r="OBY776" s="219"/>
      <c r="OCB776" s="92"/>
      <c r="OCC776" s="210"/>
      <c r="OCI776" s="219"/>
      <c r="OCL776" s="92"/>
      <c r="OCM776" s="210"/>
      <c r="OCS776" s="219"/>
      <c r="OCV776" s="92"/>
      <c r="OCW776" s="210"/>
      <c r="ODC776" s="219"/>
      <c r="ODF776" s="92"/>
      <c r="ODG776" s="210"/>
      <c r="ODM776" s="219"/>
      <c r="ODP776" s="92"/>
      <c r="ODQ776" s="210"/>
      <c r="ODW776" s="219"/>
      <c r="ODZ776" s="92"/>
      <c r="OEA776" s="210"/>
      <c r="OEG776" s="219"/>
      <c r="OEJ776" s="92"/>
      <c r="OEK776" s="210"/>
      <c r="OEQ776" s="219"/>
      <c r="OET776" s="92"/>
      <c r="OEU776" s="210"/>
      <c r="OFA776" s="219"/>
      <c r="OFD776" s="92"/>
      <c r="OFE776" s="210"/>
      <c r="OFK776" s="219"/>
      <c r="OFN776" s="92"/>
      <c r="OFO776" s="210"/>
      <c r="OFU776" s="219"/>
      <c r="OFX776" s="92"/>
      <c r="OFY776" s="210"/>
      <c r="OGE776" s="219"/>
      <c r="OGH776" s="92"/>
      <c r="OGI776" s="210"/>
      <c r="OGO776" s="219"/>
      <c r="OGR776" s="92"/>
      <c r="OGS776" s="210"/>
      <c r="OGY776" s="219"/>
      <c r="OHB776" s="92"/>
      <c r="OHC776" s="210"/>
      <c r="OHI776" s="219"/>
      <c r="OHL776" s="92"/>
      <c r="OHM776" s="210"/>
      <c r="OHS776" s="219"/>
      <c r="OHV776" s="92"/>
      <c r="OHW776" s="210"/>
      <c r="OIC776" s="219"/>
      <c r="OIF776" s="92"/>
      <c r="OIG776" s="210"/>
      <c r="OIM776" s="219"/>
      <c r="OIP776" s="92"/>
      <c r="OIQ776" s="210"/>
      <c r="OIW776" s="219"/>
      <c r="OIZ776" s="92"/>
      <c r="OJA776" s="210"/>
      <c r="OJG776" s="219"/>
      <c r="OJJ776" s="92"/>
      <c r="OJK776" s="210"/>
      <c r="OJQ776" s="219"/>
      <c r="OJT776" s="92"/>
      <c r="OJU776" s="210"/>
      <c r="OKA776" s="219"/>
      <c r="OKD776" s="92"/>
      <c r="OKE776" s="210"/>
      <c r="OKK776" s="219"/>
      <c r="OKN776" s="92"/>
      <c r="OKO776" s="210"/>
      <c r="OKU776" s="219"/>
      <c r="OKX776" s="92"/>
      <c r="OKY776" s="210"/>
      <c r="OLE776" s="219"/>
      <c r="OLH776" s="92"/>
      <c r="OLI776" s="210"/>
      <c r="OLO776" s="219"/>
      <c r="OLR776" s="92"/>
      <c r="OLS776" s="210"/>
      <c r="OLY776" s="219"/>
      <c r="OMB776" s="92"/>
      <c r="OMC776" s="210"/>
      <c r="OMI776" s="219"/>
      <c r="OML776" s="92"/>
      <c r="OMM776" s="210"/>
      <c r="OMS776" s="219"/>
      <c r="OMV776" s="92"/>
      <c r="OMW776" s="210"/>
      <c r="ONC776" s="219"/>
      <c r="ONF776" s="92"/>
      <c r="ONG776" s="210"/>
      <c r="ONM776" s="219"/>
      <c r="ONP776" s="92"/>
      <c r="ONQ776" s="210"/>
      <c r="ONW776" s="219"/>
      <c r="ONZ776" s="92"/>
      <c r="OOA776" s="210"/>
      <c r="OOG776" s="219"/>
      <c r="OOJ776" s="92"/>
      <c r="OOK776" s="210"/>
      <c r="OOQ776" s="219"/>
      <c r="OOT776" s="92"/>
      <c r="OOU776" s="210"/>
      <c r="OPA776" s="219"/>
      <c r="OPD776" s="92"/>
      <c r="OPE776" s="210"/>
      <c r="OPK776" s="219"/>
      <c r="OPN776" s="92"/>
      <c r="OPO776" s="210"/>
      <c r="OPU776" s="219"/>
      <c r="OPX776" s="92"/>
      <c r="OPY776" s="210"/>
      <c r="OQE776" s="219"/>
      <c r="OQH776" s="92"/>
      <c r="OQI776" s="210"/>
      <c r="OQO776" s="219"/>
      <c r="OQR776" s="92"/>
      <c r="OQS776" s="210"/>
      <c r="OQY776" s="219"/>
      <c r="ORB776" s="92"/>
      <c r="ORC776" s="210"/>
      <c r="ORI776" s="219"/>
      <c r="ORL776" s="92"/>
      <c r="ORM776" s="210"/>
      <c r="ORS776" s="219"/>
      <c r="ORV776" s="92"/>
      <c r="ORW776" s="210"/>
      <c r="OSC776" s="219"/>
      <c r="OSF776" s="92"/>
      <c r="OSG776" s="210"/>
      <c r="OSM776" s="219"/>
      <c r="OSP776" s="92"/>
      <c r="OSQ776" s="210"/>
      <c r="OSW776" s="219"/>
      <c r="OSZ776" s="92"/>
      <c r="OTA776" s="210"/>
      <c r="OTG776" s="219"/>
      <c r="OTJ776" s="92"/>
      <c r="OTK776" s="210"/>
      <c r="OTQ776" s="219"/>
      <c r="OTT776" s="92"/>
      <c r="OTU776" s="210"/>
      <c r="OUA776" s="219"/>
      <c r="OUD776" s="92"/>
      <c r="OUE776" s="210"/>
      <c r="OUK776" s="219"/>
      <c r="OUN776" s="92"/>
      <c r="OUO776" s="210"/>
      <c r="OUU776" s="219"/>
      <c r="OUX776" s="92"/>
      <c r="OUY776" s="210"/>
      <c r="OVE776" s="219"/>
      <c r="OVH776" s="92"/>
      <c r="OVI776" s="210"/>
      <c r="OVO776" s="219"/>
      <c r="OVR776" s="92"/>
      <c r="OVS776" s="210"/>
      <c r="OVY776" s="219"/>
      <c r="OWB776" s="92"/>
      <c r="OWC776" s="210"/>
      <c r="OWI776" s="219"/>
      <c r="OWL776" s="92"/>
      <c r="OWM776" s="210"/>
      <c r="OWS776" s="219"/>
      <c r="OWV776" s="92"/>
      <c r="OWW776" s="210"/>
      <c r="OXC776" s="219"/>
      <c r="OXF776" s="92"/>
      <c r="OXG776" s="210"/>
      <c r="OXM776" s="219"/>
      <c r="OXP776" s="92"/>
      <c r="OXQ776" s="210"/>
      <c r="OXW776" s="219"/>
      <c r="OXZ776" s="92"/>
      <c r="OYA776" s="210"/>
      <c r="OYG776" s="219"/>
      <c r="OYJ776" s="92"/>
      <c r="OYK776" s="210"/>
      <c r="OYQ776" s="219"/>
      <c r="OYT776" s="92"/>
      <c r="OYU776" s="210"/>
      <c r="OZA776" s="219"/>
      <c r="OZD776" s="92"/>
      <c r="OZE776" s="210"/>
      <c r="OZK776" s="219"/>
      <c r="OZN776" s="92"/>
      <c r="OZO776" s="210"/>
      <c r="OZU776" s="219"/>
      <c r="OZX776" s="92"/>
      <c r="OZY776" s="210"/>
      <c r="PAE776" s="219"/>
      <c r="PAH776" s="92"/>
      <c r="PAI776" s="210"/>
      <c r="PAO776" s="219"/>
      <c r="PAR776" s="92"/>
      <c r="PAS776" s="210"/>
      <c r="PAY776" s="219"/>
      <c r="PBB776" s="92"/>
      <c r="PBC776" s="210"/>
      <c r="PBI776" s="219"/>
      <c r="PBL776" s="92"/>
      <c r="PBM776" s="210"/>
      <c r="PBS776" s="219"/>
      <c r="PBV776" s="92"/>
      <c r="PBW776" s="210"/>
      <c r="PCC776" s="219"/>
      <c r="PCF776" s="92"/>
      <c r="PCG776" s="210"/>
      <c r="PCM776" s="219"/>
      <c r="PCP776" s="92"/>
      <c r="PCQ776" s="210"/>
      <c r="PCW776" s="219"/>
      <c r="PCZ776" s="92"/>
      <c r="PDA776" s="210"/>
      <c r="PDG776" s="219"/>
      <c r="PDJ776" s="92"/>
      <c r="PDK776" s="210"/>
      <c r="PDQ776" s="219"/>
      <c r="PDT776" s="92"/>
      <c r="PDU776" s="210"/>
      <c r="PEA776" s="219"/>
      <c r="PED776" s="92"/>
      <c r="PEE776" s="210"/>
      <c r="PEK776" s="219"/>
      <c r="PEN776" s="92"/>
      <c r="PEO776" s="210"/>
      <c r="PEU776" s="219"/>
      <c r="PEX776" s="92"/>
      <c r="PEY776" s="210"/>
      <c r="PFE776" s="219"/>
      <c r="PFH776" s="92"/>
      <c r="PFI776" s="210"/>
      <c r="PFO776" s="219"/>
      <c r="PFR776" s="92"/>
      <c r="PFS776" s="210"/>
      <c r="PFY776" s="219"/>
      <c r="PGB776" s="92"/>
      <c r="PGC776" s="210"/>
      <c r="PGI776" s="219"/>
      <c r="PGL776" s="92"/>
      <c r="PGM776" s="210"/>
      <c r="PGS776" s="219"/>
      <c r="PGV776" s="92"/>
      <c r="PGW776" s="210"/>
      <c r="PHC776" s="219"/>
      <c r="PHF776" s="92"/>
      <c r="PHG776" s="210"/>
      <c r="PHM776" s="219"/>
      <c r="PHP776" s="92"/>
      <c r="PHQ776" s="210"/>
      <c r="PHW776" s="219"/>
      <c r="PHZ776" s="92"/>
      <c r="PIA776" s="210"/>
      <c r="PIG776" s="219"/>
      <c r="PIJ776" s="92"/>
      <c r="PIK776" s="210"/>
      <c r="PIQ776" s="219"/>
      <c r="PIT776" s="92"/>
      <c r="PIU776" s="210"/>
      <c r="PJA776" s="219"/>
      <c r="PJD776" s="92"/>
      <c r="PJE776" s="210"/>
      <c r="PJK776" s="219"/>
      <c r="PJN776" s="92"/>
      <c r="PJO776" s="210"/>
      <c r="PJU776" s="219"/>
      <c r="PJX776" s="92"/>
      <c r="PJY776" s="210"/>
      <c r="PKE776" s="219"/>
      <c r="PKH776" s="92"/>
      <c r="PKI776" s="210"/>
      <c r="PKO776" s="219"/>
      <c r="PKR776" s="92"/>
      <c r="PKS776" s="210"/>
      <c r="PKY776" s="219"/>
      <c r="PLB776" s="92"/>
      <c r="PLC776" s="210"/>
      <c r="PLI776" s="219"/>
      <c r="PLL776" s="92"/>
      <c r="PLM776" s="210"/>
      <c r="PLS776" s="219"/>
      <c r="PLV776" s="92"/>
      <c r="PLW776" s="210"/>
      <c r="PMC776" s="219"/>
      <c r="PMF776" s="92"/>
      <c r="PMG776" s="210"/>
      <c r="PMM776" s="219"/>
      <c r="PMP776" s="92"/>
      <c r="PMQ776" s="210"/>
      <c r="PMW776" s="219"/>
      <c r="PMZ776" s="92"/>
      <c r="PNA776" s="210"/>
      <c r="PNG776" s="219"/>
      <c r="PNJ776" s="92"/>
      <c r="PNK776" s="210"/>
      <c r="PNQ776" s="219"/>
      <c r="PNT776" s="92"/>
      <c r="PNU776" s="210"/>
      <c r="POA776" s="219"/>
      <c r="POD776" s="92"/>
      <c r="POE776" s="210"/>
      <c r="POK776" s="219"/>
      <c r="PON776" s="92"/>
      <c r="POO776" s="210"/>
      <c r="POU776" s="219"/>
      <c r="POX776" s="92"/>
      <c r="POY776" s="210"/>
      <c r="PPE776" s="219"/>
      <c r="PPH776" s="92"/>
      <c r="PPI776" s="210"/>
      <c r="PPO776" s="219"/>
      <c r="PPR776" s="92"/>
      <c r="PPS776" s="210"/>
      <c r="PPY776" s="219"/>
      <c r="PQB776" s="92"/>
      <c r="PQC776" s="210"/>
      <c r="PQI776" s="219"/>
      <c r="PQL776" s="92"/>
      <c r="PQM776" s="210"/>
      <c r="PQS776" s="219"/>
      <c r="PQV776" s="92"/>
      <c r="PQW776" s="210"/>
      <c r="PRC776" s="219"/>
      <c r="PRF776" s="92"/>
      <c r="PRG776" s="210"/>
      <c r="PRM776" s="219"/>
      <c r="PRP776" s="92"/>
      <c r="PRQ776" s="210"/>
      <c r="PRW776" s="219"/>
      <c r="PRZ776" s="92"/>
      <c r="PSA776" s="210"/>
      <c r="PSG776" s="219"/>
      <c r="PSJ776" s="92"/>
      <c r="PSK776" s="210"/>
      <c r="PSQ776" s="219"/>
      <c r="PST776" s="92"/>
      <c r="PSU776" s="210"/>
      <c r="PTA776" s="219"/>
      <c r="PTD776" s="92"/>
      <c r="PTE776" s="210"/>
      <c r="PTK776" s="219"/>
      <c r="PTN776" s="92"/>
      <c r="PTO776" s="210"/>
      <c r="PTU776" s="219"/>
      <c r="PTX776" s="92"/>
      <c r="PTY776" s="210"/>
      <c r="PUE776" s="219"/>
      <c r="PUH776" s="92"/>
      <c r="PUI776" s="210"/>
      <c r="PUO776" s="219"/>
      <c r="PUR776" s="92"/>
      <c r="PUS776" s="210"/>
      <c r="PUY776" s="219"/>
      <c r="PVB776" s="92"/>
      <c r="PVC776" s="210"/>
      <c r="PVI776" s="219"/>
      <c r="PVL776" s="92"/>
      <c r="PVM776" s="210"/>
      <c r="PVS776" s="219"/>
      <c r="PVV776" s="92"/>
      <c r="PVW776" s="210"/>
      <c r="PWC776" s="219"/>
      <c r="PWF776" s="92"/>
      <c r="PWG776" s="210"/>
      <c r="PWM776" s="219"/>
      <c r="PWP776" s="92"/>
      <c r="PWQ776" s="210"/>
      <c r="PWW776" s="219"/>
      <c r="PWZ776" s="92"/>
      <c r="PXA776" s="210"/>
      <c r="PXG776" s="219"/>
      <c r="PXJ776" s="92"/>
      <c r="PXK776" s="210"/>
      <c r="PXQ776" s="219"/>
      <c r="PXT776" s="92"/>
      <c r="PXU776" s="210"/>
      <c r="PYA776" s="219"/>
      <c r="PYD776" s="92"/>
      <c r="PYE776" s="210"/>
      <c r="PYK776" s="219"/>
      <c r="PYN776" s="92"/>
      <c r="PYO776" s="210"/>
      <c r="PYU776" s="219"/>
      <c r="PYX776" s="92"/>
      <c r="PYY776" s="210"/>
      <c r="PZE776" s="219"/>
      <c r="PZH776" s="92"/>
      <c r="PZI776" s="210"/>
      <c r="PZO776" s="219"/>
      <c r="PZR776" s="92"/>
      <c r="PZS776" s="210"/>
      <c r="PZY776" s="219"/>
      <c r="QAB776" s="92"/>
      <c r="QAC776" s="210"/>
      <c r="QAI776" s="219"/>
      <c r="QAL776" s="92"/>
      <c r="QAM776" s="210"/>
      <c r="QAS776" s="219"/>
      <c r="QAV776" s="92"/>
      <c r="QAW776" s="210"/>
      <c r="QBC776" s="219"/>
      <c r="QBF776" s="92"/>
      <c r="QBG776" s="210"/>
      <c r="QBM776" s="219"/>
      <c r="QBP776" s="92"/>
      <c r="QBQ776" s="210"/>
      <c r="QBW776" s="219"/>
      <c r="QBZ776" s="92"/>
      <c r="QCA776" s="210"/>
      <c r="QCG776" s="219"/>
      <c r="QCJ776" s="92"/>
      <c r="QCK776" s="210"/>
      <c r="QCQ776" s="219"/>
      <c r="QCT776" s="92"/>
      <c r="QCU776" s="210"/>
      <c r="QDA776" s="219"/>
      <c r="QDD776" s="92"/>
      <c r="QDE776" s="210"/>
      <c r="QDK776" s="219"/>
      <c r="QDN776" s="92"/>
      <c r="QDO776" s="210"/>
      <c r="QDU776" s="219"/>
      <c r="QDX776" s="92"/>
      <c r="QDY776" s="210"/>
      <c r="QEE776" s="219"/>
      <c r="QEH776" s="92"/>
      <c r="QEI776" s="210"/>
      <c r="QEO776" s="219"/>
      <c r="QER776" s="92"/>
      <c r="QES776" s="210"/>
      <c r="QEY776" s="219"/>
      <c r="QFB776" s="92"/>
      <c r="QFC776" s="210"/>
      <c r="QFI776" s="219"/>
      <c r="QFL776" s="92"/>
      <c r="QFM776" s="210"/>
      <c r="QFS776" s="219"/>
      <c r="QFV776" s="92"/>
      <c r="QFW776" s="210"/>
      <c r="QGC776" s="219"/>
      <c r="QGF776" s="92"/>
      <c r="QGG776" s="210"/>
      <c r="QGM776" s="219"/>
      <c r="QGP776" s="92"/>
      <c r="QGQ776" s="210"/>
      <c r="QGW776" s="219"/>
      <c r="QGZ776" s="92"/>
      <c r="QHA776" s="210"/>
      <c r="QHG776" s="219"/>
      <c r="QHJ776" s="92"/>
      <c r="QHK776" s="210"/>
      <c r="QHQ776" s="219"/>
      <c r="QHT776" s="92"/>
      <c r="QHU776" s="210"/>
      <c r="QIA776" s="219"/>
      <c r="QID776" s="92"/>
      <c r="QIE776" s="210"/>
      <c r="QIK776" s="219"/>
      <c r="QIN776" s="92"/>
      <c r="QIO776" s="210"/>
      <c r="QIU776" s="219"/>
      <c r="QIX776" s="92"/>
      <c r="QIY776" s="210"/>
      <c r="QJE776" s="219"/>
      <c r="QJH776" s="92"/>
      <c r="QJI776" s="210"/>
      <c r="QJO776" s="219"/>
      <c r="QJR776" s="92"/>
      <c r="QJS776" s="210"/>
      <c r="QJY776" s="219"/>
      <c r="QKB776" s="92"/>
      <c r="QKC776" s="210"/>
      <c r="QKI776" s="219"/>
      <c r="QKL776" s="92"/>
      <c r="QKM776" s="210"/>
      <c r="QKS776" s="219"/>
      <c r="QKV776" s="92"/>
      <c r="QKW776" s="210"/>
      <c r="QLC776" s="219"/>
      <c r="QLF776" s="92"/>
      <c r="QLG776" s="210"/>
      <c r="QLM776" s="219"/>
      <c r="QLP776" s="92"/>
      <c r="QLQ776" s="210"/>
      <c r="QLW776" s="219"/>
      <c r="QLZ776" s="92"/>
      <c r="QMA776" s="210"/>
      <c r="QMG776" s="219"/>
      <c r="QMJ776" s="92"/>
      <c r="QMK776" s="210"/>
      <c r="QMQ776" s="219"/>
      <c r="QMT776" s="92"/>
      <c r="QMU776" s="210"/>
      <c r="QNA776" s="219"/>
      <c r="QND776" s="92"/>
      <c r="QNE776" s="210"/>
      <c r="QNK776" s="219"/>
      <c r="QNN776" s="92"/>
      <c r="QNO776" s="210"/>
      <c r="QNU776" s="219"/>
      <c r="QNX776" s="92"/>
      <c r="QNY776" s="210"/>
      <c r="QOE776" s="219"/>
      <c r="QOH776" s="92"/>
      <c r="QOI776" s="210"/>
      <c r="QOO776" s="219"/>
      <c r="QOR776" s="92"/>
      <c r="QOS776" s="210"/>
      <c r="QOY776" s="219"/>
      <c r="QPB776" s="92"/>
      <c r="QPC776" s="210"/>
      <c r="QPI776" s="219"/>
      <c r="QPL776" s="92"/>
      <c r="QPM776" s="210"/>
      <c r="QPS776" s="219"/>
      <c r="QPV776" s="92"/>
      <c r="QPW776" s="210"/>
      <c r="QQC776" s="219"/>
      <c r="QQF776" s="92"/>
      <c r="QQG776" s="210"/>
      <c r="QQM776" s="219"/>
      <c r="QQP776" s="92"/>
      <c r="QQQ776" s="210"/>
      <c r="QQW776" s="219"/>
      <c r="QQZ776" s="92"/>
      <c r="QRA776" s="210"/>
      <c r="QRG776" s="219"/>
      <c r="QRJ776" s="92"/>
      <c r="QRK776" s="210"/>
      <c r="QRQ776" s="219"/>
      <c r="QRT776" s="92"/>
      <c r="QRU776" s="210"/>
      <c r="QSA776" s="219"/>
      <c r="QSD776" s="92"/>
      <c r="QSE776" s="210"/>
      <c r="QSK776" s="219"/>
      <c r="QSN776" s="92"/>
      <c r="QSO776" s="210"/>
      <c r="QSU776" s="219"/>
      <c r="QSX776" s="92"/>
      <c r="QSY776" s="210"/>
      <c r="QTE776" s="219"/>
      <c r="QTH776" s="92"/>
      <c r="QTI776" s="210"/>
      <c r="QTO776" s="219"/>
      <c r="QTR776" s="92"/>
      <c r="QTS776" s="210"/>
      <c r="QTY776" s="219"/>
      <c r="QUB776" s="92"/>
      <c r="QUC776" s="210"/>
      <c r="QUI776" s="219"/>
      <c r="QUL776" s="92"/>
      <c r="QUM776" s="210"/>
      <c r="QUS776" s="219"/>
      <c r="QUV776" s="92"/>
      <c r="QUW776" s="210"/>
      <c r="QVC776" s="219"/>
      <c r="QVF776" s="92"/>
      <c r="QVG776" s="210"/>
      <c r="QVM776" s="219"/>
      <c r="QVP776" s="92"/>
      <c r="QVQ776" s="210"/>
      <c r="QVW776" s="219"/>
      <c r="QVZ776" s="92"/>
      <c r="QWA776" s="210"/>
      <c r="QWG776" s="219"/>
      <c r="QWJ776" s="92"/>
      <c r="QWK776" s="210"/>
      <c r="QWQ776" s="219"/>
      <c r="QWT776" s="92"/>
      <c r="QWU776" s="210"/>
      <c r="QXA776" s="219"/>
      <c r="QXD776" s="92"/>
      <c r="QXE776" s="210"/>
      <c r="QXK776" s="219"/>
      <c r="QXN776" s="92"/>
      <c r="QXO776" s="210"/>
      <c r="QXU776" s="219"/>
      <c r="QXX776" s="92"/>
      <c r="QXY776" s="210"/>
      <c r="QYE776" s="219"/>
      <c r="QYH776" s="92"/>
      <c r="QYI776" s="210"/>
      <c r="QYO776" s="219"/>
      <c r="QYR776" s="92"/>
      <c r="QYS776" s="210"/>
      <c r="QYY776" s="219"/>
      <c r="QZB776" s="92"/>
      <c r="QZC776" s="210"/>
      <c r="QZI776" s="219"/>
      <c r="QZL776" s="92"/>
      <c r="QZM776" s="210"/>
      <c r="QZS776" s="219"/>
      <c r="QZV776" s="92"/>
      <c r="QZW776" s="210"/>
      <c r="RAC776" s="219"/>
      <c r="RAF776" s="92"/>
      <c r="RAG776" s="210"/>
      <c r="RAM776" s="219"/>
      <c r="RAP776" s="92"/>
      <c r="RAQ776" s="210"/>
      <c r="RAW776" s="219"/>
      <c r="RAZ776" s="92"/>
      <c r="RBA776" s="210"/>
      <c r="RBG776" s="219"/>
      <c r="RBJ776" s="92"/>
      <c r="RBK776" s="210"/>
      <c r="RBQ776" s="219"/>
      <c r="RBT776" s="92"/>
      <c r="RBU776" s="210"/>
      <c r="RCA776" s="219"/>
      <c r="RCD776" s="92"/>
      <c r="RCE776" s="210"/>
      <c r="RCK776" s="219"/>
      <c r="RCN776" s="92"/>
      <c r="RCO776" s="210"/>
      <c r="RCU776" s="219"/>
      <c r="RCX776" s="92"/>
      <c r="RCY776" s="210"/>
      <c r="RDE776" s="219"/>
      <c r="RDH776" s="92"/>
      <c r="RDI776" s="210"/>
      <c r="RDO776" s="219"/>
      <c r="RDR776" s="92"/>
      <c r="RDS776" s="210"/>
      <c r="RDY776" s="219"/>
      <c r="REB776" s="92"/>
      <c r="REC776" s="210"/>
      <c r="REI776" s="219"/>
      <c r="REL776" s="92"/>
      <c r="REM776" s="210"/>
      <c r="RES776" s="219"/>
      <c r="REV776" s="92"/>
      <c r="REW776" s="210"/>
      <c r="RFC776" s="219"/>
      <c r="RFF776" s="92"/>
      <c r="RFG776" s="210"/>
      <c r="RFM776" s="219"/>
      <c r="RFP776" s="92"/>
      <c r="RFQ776" s="210"/>
      <c r="RFW776" s="219"/>
      <c r="RFZ776" s="92"/>
      <c r="RGA776" s="210"/>
      <c r="RGG776" s="219"/>
      <c r="RGJ776" s="92"/>
      <c r="RGK776" s="210"/>
      <c r="RGQ776" s="219"/>
      <c r="RGT776" s="92"/>
      <c r="RGU776" s="210"/>
      <c r="RHA776" s="219"/>
      <c r="RHD776" s="92"/>
      <c r="RHE776" s="210"/>
      <c r="RHK776" s="219"/>
      <c r="RHN776" s="92"/>
      <c r="RHO776" s="210"/>
      <c r="RHU776" s="219"/>
      <c r="RHX776" s="92"/>
      <c r="RHY776" s="210"/>
      <c r="RIE776" s="219"/>
      <c r="RIH776" s="92"/>
      <c r="RII776" s="210"/>
      <c r="RIO776" s="219"/>
      <c r="RIR776" s="92"/>
      <c r="RIS776" s="210"/>
      <c r="RIY776" s="219"/>
      <c r="RJB776" s="92"/>
      <c r="RJC776" s="210"/>
      <c r="RJI776" s="219"/>
      <c r="RJL776" s="92"/>
      <c r="RJM776" s="210"/>
      <c r="RJS776" s="219"/>
      <c r="RJV776" s="92"/>
      <c r="RJW776" s="210"/>
      <c r="RKC776" s="219"/>
      <c r="RKF776" s="92"/>
      <c r="RKG776" s="210"/>
      <c r="RKM776" s="219"/>
      <c r="RKP776" s="92"/>
      <c r="RKQ776" s="210"/>
      <c r="RKW776" s="219"/>
      <c r="RKZ776" s="92"/>
      <c r="RLA776" s="210"/>
      <c r="RLG776" s="219"/>
      <c r="RLJ776" s="92"/>
      <c r="RLK776" s="210"/>
      <c r="RLQ776" s="219"/>
      <c r="RLT776" s="92"/>
      <c r="RLU776" s="210"/>
      <c r="RMA776" s="219"/>
      <c r="RMD776" s="92"/>
      <c r="RME776" s="210"/>
      <c r="RMK776" s="219"/>
      <c r="RMN776" s="92"/>
      <c r="RMO776" s="210"/>
      <c r="RMU776" s="219"/>
      <c r="RMX776" s="92"/>
      <c r="RMY776" s="210"/>
      <c r="RNE776" s="219"/>
      <c r="RNH776" s="92"/>
      <c r="RNI776" s="210"/>
      <c r="RNO776" s="219"/>
      <c r="RNR776" s="92"/>
      <c r="RNS776" s="210"/>
      <c r="RNY776" s="219"/>
      <c r="ROB776" s="92"/>
      <c r="ROC776" s="210"/>
      <c r="ROI776" s="219"/>
      <c r="ROL776" s="92"/>
      <c r="ROM776" s="210"/>
      <c r="ROS776" s="219"/>
      <c r="ROV776" s="92"/>
      <c r="ROW776" s="210"/>
      <c r="RPC776" s="219"/>
      <c r="RPF776" s="92"/>
      <c r="RPG776" s="210"/>
      <c r="RPM776" s="219"/>
      <c r="RPP776" s="92"/>
      <c r="RPQ776" s="210"/>
      <c r="RPW776" s="219"/>
      <c r="RPZ776" s="92"/>
      <c r="RQA776" s="210"/>
      <c r="RQG776" s="219"/>
      <c r="RQJ776" s="92"/>
      <c r="RQK776" s="210"/>
      <c r="RQQ776" s="219"/>
      <c r="RQT776" s="92"/>
      <c r="RQU776" s="210"/>
      <c r="RRA776" s="219"/>
      <c r="RRD776" s="92"/>
      <c r="RRE776" s="210"/>
      <c r="RRK776" s="219"/>
      <c r="RRN776" s="92"/>
      <c r="RRO776" s="210"/>
      <c r="RRU776" s="219"/>
      <c r="RRX776" s="92"/>
      <c r="RRY776" s="210"/>
      <c r="RSE776" s="219"/>
      <c r="RSH776" s="92"/>
      <c r="RSI776" s="210"/>
      <c r="RSO776" s="219"/>
      <c r="RSR776" s="92"/>
      <c r="RSS776" s="210"/>
      <c r="RSY776" s="219"/>
      <c r="RTB776" s="92"/>
      <c r="RTC776" s="210"/>
      <c r="RTI776" s="219"/>
      <c r="RTL776" s="92"/>
      <c r="RTM776" s="210"/>
      <c r="RTS776" s="219"/>
      <c r="RTV776" s="92"/>
      <c r="RTW776" s="210"/>
      <c r="RUC776" s="219"/>
      <c r="RUF776" s="92"/>
      <c r="RUG776" s="210"/>
      <c r="RUM776" s="219"/>
      <c r="RUP776" s="92"/>
      <c r="RUQ776" s="210"/>
      <c r="RUW776" s="219"/>
      <c r="RUZ776" s="92"/>
      <c r="RVA776" s="210"/>
      <c r="RVG776" s="219"/>
      <c r="RVJ776" s="92"/>
      <c r="RVK776" s="210"/>
      <c r="RVQ776" s="219"/>
      <c r="RVT776" s="92"/>
      <c r="RVU776" s="210"/>
      <c r="RWA776" s="219"/>
      <c r="RWD776" s="92"/>
      <c r="RWE776" s="210"/>
      <c r="RWK776" s="219"/>
      <c r="RWN776" s="92"/>
      <c r="RWO776" s="210"/>
      <c r="RWU776" s="219"/>
      <c r="RWX776" s="92"/>
      <c r="RWY776" s="210"/>
      <c r="RXE776" s="219"/>
      <c r="RXH776" s="92"/>
      <c r="RXI776" s="210"/>
      <c r="RXO776" s="219"/>
      <c r="RXR776" s="92"/>
      <c r="RXS776" s="210"/>
      <c r="RXY776" s="219"/>
      <c r="RYB776" s="92"/>
      <c r="RYC776" s="210"/>
      <c r="RYI776" s="219"/>
      <c r="RYL776" s="92"/>
      <c r="RYM776" s="210"/>
      <c r="RYS776" s="219"/>
      <c r="RYV776" s="92"/>
      <c r="RYW776" s="210"/>
      <c r="RZC776" s="219"/>
      <c r="RZF776" s="92"/>
      <c r="RZG776" s="210"/>
      <c r="RZM776" s="219"/>
      <c r="RZP776" s="92"/>
      <c r="RZQ776" s="210"/>
      <c r="RZW776" s="219"/>
      <c r="RZZ776" s="92"/>
      <c r="SAA776" s="210"/>
      <c r="SAG776" s="219"/>
      <c r="SAJ776" s="92"/>
      <c r="SAK776" s="210"/>
      <c r="SAQ776" s="219"/>
      <c r="SAT776" s="92"/>
      <c r="SAU776" s="210"/>
      <c r="SBA776" s="219"/>
      <c r="SBD776" s="92"/>
      <c r="SBE776" s="210"/>
      <c r="SBK776" s="219"/>
      <c r="SBN776" s="92"/>
      <c r="SBO776" s="210"/>
      <c r="SBU776" s="219"/>
      <c r="SBX776" s="92"/>
      <c r="SBY776" s="210"/>
      <c r="SCE776" s="219"/>
      <c r="SCH776" s="92"/>
      <c r="SCI776" s="210"/>
      <c r="SCO776" s="219"/>
      <c r="SCR776" s="92"/>
      <c r="SCS776" s="210"/>
      <c r="SCY776" s="219"/>
      <c r="SDB776" s="92"/>
      <c r="SDC776" s="210"/>
      <c r="SDI776" s="219"/>
      <c r="SDL776" s="92"/>
      <c r="SDM776" s="210"/>
      <c r="SDS776" s="219"/>
      <c r="SDV776" s="92"/>
      <c r="SDW776" s="210"/>
      <c r="SEC776" s="219"/>
      <c r="SEF776" s="92"/>
      <c r="SEG776" s="210"/>
      <c r="SEM776" s="219"/>
      <c r="SEP776" s="92"/>
      <c r="SEQ776" s="210"/>
      <c r="SEW776" s="219"/>
      <c r="SEZ776" s="92"/>
      <c r="SFA776" s="210"/>
      <c r="SFG776" s="219"/>
      <c r="SFJ776" s="92"/>
      <c r="SFK776" s="210"/>
      <c r="SFQ776" s="219"/>
      <c r="SFT776" s="92"/>
      <c r="SFU776" s="210"/>
      <c r="SGA776" s="219"/>
      <c r="SGD776" s="92"/>
      <c r="SGE776" s="210"/>
      <c r="SGK776" s="219"/>
      <c r="SGN776" s="92"/>
      <c r="SGO776" s="210"/>
      <c r="SGU776" s="219"/>
      <c r="SGX776" s="92"/>
      <c r="SGY776" s="210"/>
      <c r="SHE776" s="219"/>
      <c r="SHH776" s="92"/>
      <c r="SHI776" s="210"/>
      <c r="SHO776" s="219"/>
      <c r="SHR776" s="92"/>
      <c r="SHS776" s="210"/>
      <c r="SHY776" s="219"/>
      <c r="SIB776" s="92"/>
      <c r="SIC776" s="210"/>
      <c r="SII776" s="219"/>
      <c r="SIL776" s="92"/>
      <c r="SIM776" s="210"/>
      <c r="SIS776" s="219"/>
      <c r="SIV776" s="92"/>
      <c r="SIW776" s="210"/>
      <c r="SJC776" s="219"/>
      <c r="SJF776" s="92"/>
      <c r="SJG776" s="210"/>
      <c r="SJM776" s="219"/>
      <c r="SJP776" s="92"/>
      <c r="SJQ776" s="210"/>
      <c r="SJW776" s="219"/>
      <c r="SJZ776" s="92"/>
      <c r="SKA776" s="210"/>
      <c r="SKG776" s="219"/>
      <c r="SKJ776" s="92"/>
      <c r="SKK776" s="210"/>
      <c r="SKQ776" s="219"/>
      <c r="SKT776" s="92"/>
      <c r="SKU776" s="210"/>
      <c r="SLA776" s="219"/>
      <c r="SLD776" s="92"/>
      <c r="SLE776" s="210"/>
      <c r="SLK776" s="219"/>
      <c r="SLN776" s="92"/>
      <c r="SLO776" s="210"/>
      <c r="SLU776" s="219"/>
      <c r="SLX776" s="92"/>
      <c r="SLY776" s="210"/>
      <c r="SME776" s="219"/>
      <c r="SMH776" s="92"/>
      <c r="SMI776" s="210"/>
      <c r="SMO776" s="219"/>
      <c r="SMR776" s="92"/>
      <c r="SMS776" s="210"/>
      <c r="SMY776" s="219"/>
      <c r="SNB776" s="92"/>
      <c r="SNC776" s="210"/>
      <c r="SNI776" s="219"/>
      <c r="SNL776" s="92"/>
      <c r="SNM776" s="210"/>
      <c r="SNS776" s="219"/>
      <c r="SNV776" s="92"/>
      <c r="SNW776" s="210"/>
      <c r="SOC776" s="219"/>
      <c r="SOF776" s="92"/>
      <c r="SOG776" s="210"/>
      <c r="SOM776" s="219"/>
      <c r="SOP776" s="92"/>
      <c r="SOQ776" s="210"/>
      <c r="SOW776" s="219"/>
      <c r="SOZ776" s="92"/>
      <c r="SPA776" s="210"/>
      <c r="SPG776" s="219"/>
      <c r="SPJ776" s="92"/>
      <c r="SPK776" s="210"/>
      <c r="SPQ776" s="219"/>
      <c r="SPT776" s="92"/>
      <c r="SPU776" s="210"/>
      <c r="SQA776" s="219"/>
      <c r="SQD776" s="92"/>
      <c r="SQE776" s="210"/>
      <c r="SQK776" s="219"/>
      <c r="SQN776" s="92"/>
      <c r="SQO776" s="210"/>
      <c r="SQU776" s="219"/>
      <c r="SQX776" s="92"/>
      <c r="SQY776" s="210"/>
      <c r="SRE776" s="219"/>
      <c r="SRH776" s="92"/>
      <c r="SRI776" s="210"/>
      <c r="SRO776" s="219"/>
      <c r="SRR776" s="92"/>
      <c r="SRS776" s="210"/>
      <c r="SRY776" s="219"/>
      <c r="SSB776" s="92"/>
      <c r="SSC776" s="210"/>
      <c r="SSI776" s="219"/>
      <c r="SSL776" s="92"/>
      <c r="SSM776" s="210"/>
      <c r="SSS776" s="219"/>
      <c r="SSV776" s="92"/>
      <c r="SSW776" s="210"/>
      <c r="STC776" s="219"/>
      <c r="STF776" s="92"/>
      <c r="STG776" s="210"/>
      <c r="STM776" s="219"/>
      <c r="STP776" s="92"/>
      <c r="STQ776" s="210"/>
      <c r="STW776" s="219"/>
      <c r="STZ776" s="92"/>
      <c r="SUA776" s="210"/>
      <c r="SUG776" s="219"/>
      <c r="SUJ776" s="92"/>
      <c r="SUK776" s="210"/>
      <c r="SUQ776" s="219"/>
      <c r="SUT776" s="92"/>
      <c r="SUU776" s="210"/>
      <c r="SVA776" s="219"/>
      <c r="SVD776" s="92"/>
      <c r="SVE776" s="210"/>
      <c r="SVK776" s="219"/>
      <c r="SVN776" s="92"/>
      <c r="SVO776" s="210"/>
      <c r="SVU776" s="219"/>
      <c r="SVX776" s="92"/>
      <c r="SVY776" s="210"/>
      <c r="SWE776" s="219"/>
      <c r="SWH776" s="92"/>
      <c r="SWI776" s="210"/>
      <c r="SWO776" s="219"/>
      <c r="SWR776" s="92"/>
      <c r="SWS776" s="210"/>
      <c r="SWY776" s="219"/>
      <c r="SXB776" s="92"/>
      <c r="SXC776" s="210"/>
      <c r="SXI776" s="219"/>
      <c r="SXL776" s="92"/>
      <c r="SXM776" s="210"/>
      <c r="SXS776" s="219"/>
      <c r="SXV776" s="92"/>
      <c r="SXW776" s="210"/>
      <c r="SYC776" s="219"/>
      <c r="SYF776" s="92"/>
      <c r="SYG776" s="210"/>
      <c r="SYM776" s="219"/>
      <c r="SYP776" s="92"/>
      <c r="SYQ776" s="210"/>
      <c r="SYW776" s="219"/>
      <c r="SYZ776" s="92"/>
      <c r="SZA776" s="210"/>
      <c r="SZG776" s="219"/>
      <c r="SZJ776" s="92"/>
      <c r="SZK776" s="210"/>
      <c r="SZQ776" s="219"/>
      <c r="SZT776" s="92"/>
      <c r="SZU776" s="210"/>
      <c r="TAA776" s="219"/>
      <c r="TAD776" s="92"/>
      <c r="TAE776" s="210"/>
      <c r="TAK776" s="219"/>
      <c r="TAN776" s="92"/>
      <c r="TAO776" s="210"/>
      <c r="TAU776" s="219"/>
      <c r="TAX776" s="92"/>
      <c r="TAY776" s="210"/>
      <c r="TBE776" s="219"/>
      <c r="TBH776" s="92"/>
      <c r="TBI776" s="210"/>
      <c r="TBO776" s="219"/>
      <c r="TBR776" s="92"/>
      <c r="TBS776" s="210"/>
      <c r="TBY776" s="219"/>
      <c r="TCB776" s="92"/>
      <c r="TCC776" s="210"/>
      <c r="TCI776" s="219"/>
      <c r="TCL776" s="92"/>
      <c r="TCM776" s="210"/>
      <c r="TCS776" s="219"/>
      <c r="TCV776" s="92"/>
      <c r="TCW776" s="210"/>
      <c r="TDC776" s="219"/>
      <c r="TDF776" s="92"/>
      <c r="TDG776" s="210"/>
      <c r="TDM776" s="219"/>
      <c r="TDP776" s="92"/>
      <c r="TDQ776" s="210"/>
      <c r="TDW776" s="219"/>
      <c r="TDZ776" s="92"/>
      <c r="TEA776" s="210"/>
      <c r="TEG776" s="219"/>
      <c r="TEJ776" s="92"/>
      <c r="TEK776" s="210"/>
      <c r="TEQ776" s="219"/>
      <c r="TET776" s="92"/>
      <c r="TEU776" s="210"/>
      <c r="TFA776" s="219"/>
      <c r="TFD776" s="92"/>
      <c r="TFE776" s="210"/>
      <c r="TFK776" s="219"/>
      <c r="TFN776" s="92"/>
      <c r="TFO776" s="210"/>
      <c r="TFU776" s="219"/>
      <c r="TFX776" s="92"/>
      <c r="TFY776" s="210"/>
      <c r="TGE776" s="219"/>
      <c r="TGH776" s="92"/>
      <c r="TGI776" s="210"/>
      <c r="TGO776" s="219"/>
      <c r="TGR776" s="92"/>
      <c r="TGS776" s="210"/>
      <c r="TGY776" s="219"/>
      <c r="THB776" s="92"/>
      <c r="THC776" s="210"/>
      <c r="THI776" s="219"/>
      <c r="THL776" s="92"/>
      <c r="THM776" s="210"/>
      <c r="THS776" s="219"/>
      <c r="THV776" s="92"/>
      <c r="THW776" s="210"/>
      <c r="TIC776" s="219"/>
      <c r="TIF776" s="92"/>
      <c r="TIG776" s="210"/>
      <c r="TIM776" s="219"/>
      <c r="TIP776" s="92"/>
      <c r="TIQ776" s="210"/>
      <c r="TIW776" s="219"/>
      <c r="TIZ776" s="92"/>
      <c r="TJA776" s="210"/>
      <c r="TJG776" s="219"/>
      <c r="TJJ776" s="92"/>
      <c r="TJK776" s="210"/>
      <c r="TJQ776" s="219"/>
      <c r="TJT776" s="92"/>
      <c r="TJU776" s="210"/>
      <c r="TKA776" s="219"/>
      <c r="TKD776" s="92"/>
      <c r="TKE776" s="210"/>
      <c r="TKK776" s="219"/>
      <c r="TKN776" s="92"/>
      <c r="TKO776" s="210"/>
      <c r="TKU776" s="219"/>
      <c r="TKX776" s="92"/>
      <c r="TKY776" s="210"/>
      <c r="TLE776" s="219"/>
      <c r="TLH776" s="92"/>
      <c r="TLI776" s="210"/>
      <c r="TLO776" s="219"/>
      <c r="TLR776" s="92"/>
      <c r="TLS776" s="210"/>
      <c r="TLY776" s="219"/>
      <c r="TMB776" s="92"/>
      <c r="TMC776" s="210"/>
      <c r="TMI776" s="219"/>
      <c r="TML776" s="92"/>
      <c r="TMM776" s="210"/>
      <c r="TMS776" s="219"/>
      <c r="TMV776" s="92"/>
      <c r="TMW776" s="210"/>
      <c r="TNC776" s="219"/>
      <c r="TNF776" s="92"/>
      <c r="TNG776" s="210"/>
      <c r="TNM776" s="219"/>
      <c r="TNP776" s="92"/>
      <c r="TNQ776" s="210"/>
      <c r="TNW776" s="219"/>
      <c r="TNZ776" s="92"/>
      <c r="TOA776" s="210"/>
      <c r="TOG776" s="219"/>
      <c r="TOJ776" s="92"/>
      <c r="TOK776" s="210"/>
      <c r="TOQ776" s="219"/>
      <c r="TOT776" s="92"/>
      <c r="TOU776" s="210"/>
      <c r="TPA776" s="219"/>
      <c r="TPD776" s="92"/>
      <c r="TPE776" s="210"/>
      <c r="TPK776" s="219"/>
      <c r="TPN776" s="92"/>
      <c r="TPO776" s="210"/>
      <c r="TPU776" s="219"/>
      <c r="TPX776" s="92"/>
      <c r="TPY776" s="210"/>
      <c r="TQE776" s="219"/>
      <c r="TQH776" s="92"/>
      <c r="TQI776" s="210"/>
      <c r="TQO776" s="219"/>
      <c r="TQR776" s="92"/>
      <c r="TQS776" s="210"/>
      <c r="TQY776" s="219"/>
      <c r="TRB776" s="92"/>
      <c r="TRC776" s="210"/>
      <c r="TRI776" s="219"/>
      <c r="TRL776" s="92"/>
      <c r="TRM776" s="210"/>
      <c r="TRS776" s="219"/>
      <c r="TRV776" s="92"/>
      <c r="TRW776" s="210"/>
      <c r="TSC776" s="219"/>
      <c r="TSF776" s="92"/>
      <c r="TSG776" s="210"/>
      <c r="TSM776" s="219"/>
      <c r="TSP776" s="92"/>
      <c r="TSQ776" s="210"/>
      <c r="TSW776" s="219"/>
      <c r="TSZ776" s="92"/>
      <c r="TTA776" s="210"/>
      <c r="TTG776" s="219"/>
      <c r="TTJ776" s="92"/>
      <c r="TTK776" s="210"/>
      <c r="TTQ776" s="219"/>
      <c r="TTT776" s="92"/>
      <c r="TTU776" s="210"/>
      <c r="TUA776" s="219"/>
      <c r="TUD776" s="92"/>
      <c r="TUE776" s="210"/>
      <c r="TUK776" s="219"/>
      <c r="TUN776" s="92"/>
      <c r="TUO776" s="210"/>
      <c r="TUU776" s="219"/>
      <c r="TUX776" s="92"/>
      <c r="TUY776" s="210"/>
      <c r="TVE776" s="219"/>
      <c r="TVH776" s="92"/>
      <c r="TVI776" s="210"/>
      <c r="TVO776" s="219"/>
      <c r="TVR776" s="92"/>
      <c r="TVS776" s="210"/>
      <c r="TVY776" s="219"/>
      <c r="TWB776" s="92"/>
      <c r="TWC776" s="210"/>
      <c r="TWI776" s="219"/>
      <c r="TWL776" s="92"/>
      <c r="TWM776" s="210"/>
      <c r="TWS776" s="219"/>
      <c r="TWV776" s="92"/>
      <c r="TWW776" s="210"/>
      <c r="TXC776" s="219"/>
      <c r="TXF776" s="92"/>
      <c r="TXG776" s="210"/>
      <c r="TXM776" s="219"/>
      <c r="TXP776" s="92"/>
      <c r="TXQ776" s="210"/>
      <c r="TXW776" s="219"/>
      <c r="TXZ776" s="92"/>
      <c r="TYA776" s="210"/>
      <c r="TYG776" s="219"/>
      <c r="TYJ776" s="92"/>
      <c r="TYK776" s="210"/>
      <c r="TYQ776" s="219"/>
      <c r="TYT776" s="92"/>
      <c r="TYU776" s="210"/>
      <c r="TZA776" s="219"/>
      <c r="TZD776" s="92"/>
      <c r="TZE776" s="210"/>
      <c r="TZK776" s="219"/>
      <c r="TZN776" s="92"/>
      <c r="TZO776" s="210"/>
      <c r="TZU776" s="219"/>
      <c r="TZX776" s="92"/>
      <c r="TZY776" s="210"/>
      <c r="UAE776" s="219"/>
      <c r="UAH776" s="92"/>
      <c r="UAI776" s="210"/>
      <c r="UAO776" s="219"/>
      <c r="UAR776" s="92"/>
      <c r="UAS776" s="210"/>
      <c r="UAY776" s="219"/>
      <c r="UBB776" s="92"/>
      <c r="UBC776" s="210"/>
      <c r="UBI776" s="219"/>
      <c r="UBL776" s="92"/>
      <c r="UBM776" s="210"/>
      <c r="UBS776" s="219"/>
      <c r="UBV776" s="92"/>
      <c r="UBW776" s="210"/>
      <c r="UCC776" s="219"/>
      <c r="UCF776" s="92"/>
      <c r="UCG776" s="210"/>
      <c r="UCM776" s="219"/>
      <c r="UCP776" s="92"/>
      <c r="UCQ776" s="210"/>
      <c r="UCW776" s="219"/>
      <c r="UCZ776" s="92"/>
      <c r="UDA776" s="210"/>
      <c r="UDG776" s="219"/>
      <c r="UDJ776" s="92"/>
      <c r="UDK776" s="210"/>
      <c r="UDQ776" s="219"/>
      <c r="UDT776" s="92"/>
      <c r="UDU776" s="210"/>
      <c r="UEA776" s="219"/>
      <c r="UED776" s="92"/>
      <c r="UEE776" s="210"/>
      <c r="UEK776" s="219"/>
      <c r="UEN776" s="92"/>
      <c r="UEO776" s="210"/>
      <c r="UEU776" s="219"/>
      <c r="UEX776" s="92"/>
      <c r="UEY776" s="210"/>
      <c r="UFE776" s="219"/>
      <c r="UFH776" s="92"/>
      <c r="UFI776" s="210"/>
      <c r="UFO776" s="219"/>
      <c r="UFR776" s="92"/>
      <c r="UFS776" s="210"/>
      <c r="UFY776" s="219"/>
      <c r="UGB776" s="92"/>
      <c r="UGC776" s="210"/>
      <c r="UGI776" s="219"/>
      <c r="UGL776" s="92"/>
      <c r="UGM776" s="210"/>
      <c r="UGS776" s="219"/>
      <c r="UGV776" s="92"/>
      <c r="UGW776" s="210"/>
      <c r="UHC776" s="219"/>
      <c r="UHF776" s="92"/>
      <c r="UHG776" s="210"/>
      <c r="UHM776" s="219"/>
      <c r="UHP776" s="92"/>
      <c r="UHQ776" s="210"/>
      <c r="UHW776" s="219"/>
      <c r="UHZ776" s="92"/>
      <c r="UIA776" s="210"/>
      <c r="UIG776" s="219"/>
      <c r="UIJ776" s="92"/>
      <c r="UIK776" s="210"/>
      <c r="UIQ776" s="219"/>
      <c r="UIT776" s="92"/>
      <c r="UIU776" s="210"/>
      <c r="UJA776" s="219"/>
      <c r="UJD776" s="92"/>
      <c r="UJE776" s="210"/>
      <c r="UJK776" s="219"/>
      <c r="UJN776" s="92"/>
      <c r="UJO776" s="210"/>
      <c r="UJU776" s="219"/>
      <c r="UJX776" s="92"/>
      <c r="UJY776" s="210"/>
      <c r="UKE776" s="219"/>
      <c r="UKH776" s="92"/>
      <c r="UKI776" s="210"/>
      <c r="UKO776" s="219"/>
      <c r="UKR776" s="92"/>
      <c r="UKS776" s="210"/>
      <c r="UKY776" s="219"/>
      <c r="ULB776" s="92"/>
      <c r="ULC776" s="210"/>
      <c r="ULI776" s="219"/>
      <c r="ULL776" s="92"/>
      <c r="ULM776" s="210"/>
      <c r="ULS776" s="219"/>
      <c r="ULV776" s="92"/>
      <c r="ULW776" s="210"/>
      <c r="UMC776" s="219"/>
      <c r="UMF776" s="92"/>
      <c r="UMG776" s="210"/>
      <c r="UMM776" s="219"/>
      <c r="UMP776" s="92"/>
      <c r="UMQ776" s="210"/>
      <c r="UMW776" s="219"/>
      <c r="UMZ776" s="92"/>
      <c r="UNA776" s="210"/>
      <c r="UNG776" s="219"/>
      <c r="UNJ776" s="92"/>
      <c r="UNK776" s="210"/>
      <c r="UNQ776" s="219"/>
      <c r="UNT776" s="92"/>
      <c r="UNU776" s="210"/>
      <c r="UOA776" s="219"/>
      <c r="UOD776" s="92"/>
      <c r="UOE776" s="210"/>
      <c r="UOK776" s="219"/>
      <c r="UON776" s="92"/>
      <c r="UOO776" s="210"/>
      <c r="UOU776" s="219"/>
      <c r="UOX776" s="92"/>
      <c r="UOY776" s="210"/>
      <c r="UPE776" s="219"/>
      <c r="UPH776" s="92"/>
      <c r="UPI776" s="210"/>
      <c r="UPO776" s="219"/>
      <c r="UPR776" s="92"/>
      <c r="UPS776" s="210"/>
      <c r="UPY776" s="219"/>
      <c r="UQB776" s="92"/>
      <c r="UQC776" s="210"/>
      <c r="UQI776" s="219"/>
      <c r="UQL776" s="92"/>
      <c r="UQM776" s="210"/>
      <c r="UQS776" s="219"/>
      <c r="UQV776" s="92"/>
      <c r="UQW776" s="210"/>
      <c r="URC776" s="219"/>
      <c r="URF776" s="92"/>
      <c r="URG776" s="210"/>
      <c r="URM776" s="219"/>
      <c r="URP776" s="92"/>
      <c r="URQ776" s="210"/>
      <c r="URW776" s="219"/>
      <c r="URZ776" s="92"/>
      <c r="USA776" s="210"/>
      <c r="USG776" s="219"/>
      <c r="USJ776" s="92"/>
      <c r="USK776" s="210"/>
      <c r="USQ776" s="219"/>
      <c r="UST776" s="92"/>
      <c r="USU776" s="210"/>
      <c r="UTA776" s="219"/>
      <c r="UTD776" s="92"/>
      <c r="UTE776" s="210"/>
      <c r="UTK776" s="219"/>
      <c r="UTN776" s="92"/>
      <c r="UTO776" s="210"/>
      <c r="UTU776" s="219"/>
      <c r="UTX776" s="92"/>
      <c r="UTY776" s="210"/>
      <c r="UUE776" s="219"/>
      <c r="UUH776" s="92"/>
      <c r="UUI776" s="210"/>
      <c r="UUO776" s="219"/>
      <c r="UUR776" s="92"/>
      <c r="UUS776" s="210"/>
      <c r="UUY776" s="219"/>
      <c r="UVB776" s="92"/>
      <c r="UVC776" s="210"/>
      <c r="UVI776" s="219"/>
      <c r="UVL776" s="92"/>
      <c r="UVM776" s="210"/>
      <c r="UVS776" s="219"/>
      <c r="UVV776" s="92"/>
      <c r="UVW776" s="210"/>
      <c r="UWC776" s="219"/>
      <c r="UWF776" s="92"/>
      <c r="UWG776" s="210"/>
      <c r="UWM776" s="219"/>
      <c r="UWP776" s="92"/>
      <c r="UWQ776" s="210"/>
      <c r="UWW776" s="219"/>
      <c r="UWZ776" s="92"/>
      <c r="UXA776" s="210"/>
      <c r="UXG776" s="219"/>
      <c r="UXJ776" s="92"/>
      <c r="UXK776" s="210"/>
      <c r="UXQ776" s="219"/>
      <c r="UXT776" s="92"/>
      <c r="UXU776" s="210"/>
      <c r="UYA776" s="219"/>
      <c r="UYD776" s="92"/>
      <c r="UYE776" s="210"/>
      <c r="UYK776" s="219"/>
      <c r="UYN776" s="92"/>
      <c r="UYO776" s="210"/>
      <c r="UYU776" s="219"/>
      <c r="UYX776" s="92"/>
      <c r="UYY776" s="210"/>
      <c r="UZE776" s="219"/>
      <c r="UZH776" s="92"/>
      <c r="UZI776" s="210"/>
      <c r="UZO776" s="219"/>
      <c r="UZR776" s="92"/>
      <c r="UZS776" s="210"/>
      <c r="UZY776" s="219"/>
      <c r="VAB776" s="92"/>
      <c r="VAC776" s="210"/>
      <c r="VAI776" s="219"/>
      <c r="VAL776" s="92"/>
      <c r="VAM776" s="210"/>
      <c r="VAS776" s="219"/>
      <c r="VAV776" s="92"/>
      <c r="VAW776" s="210"/>
      <c r="VBC776" s="219"/>
      <c r="VBF776" s="92"/>
      <c r="VBG776" s="210"/>
      <c r="VBM776" s="219"/>
      <c r="VBP776" s="92"/>
      <c r="VBQ776" s="210"/>
      <c r="VBW776" s="219"/>
      <c r="VBZ776" s="92"/>
      <c r="VCA776" s="210"/>
      <c r="VCG776" s="219"/>
      <c r="VCJ776" s="92"/>
      <c r="VCK776" s="210"/>
      <c r="VCQ776" s="219"/>
      <c r="VCT776" s="92"/>
      <c r="VCU776" s="210"/>
      <c r="VDA776" s="219"/>
      <c r="VDD776" s="92"/>
      <c r="VDE776" s="210"/>
      <c r="VDK776" s="219"/>
      <c r="VDN776" s="92"/>
      <c r="VDO776" s="210"/>
      <c r="VDU776" s="219"/>
      <c r="VDX776" s="92"/>
      <c r="VDY776" s="210"/>
      <c r="VEE776" s="219"/>
      <c r="VEH776" s="92"/>
      <c r="VEI776" s="210"/>
      <c r="VEO776" s="219"/>
      <c r="VER776" s="92"/>
      <c r="VES776" s="210"/>
      <c r="VEY776" s="219"/>
      <c r="VFB776" s="92"/>
      <c r="VFC776" s="210"/>
      <c r="VFI776" s="219"/>
      <c r="VFL776" s="92"/>
      <c r="VFM776" s="210"/>
      <c r="VFS776" s="219"/>
      <c r="VFV776" s="92"/>
      <c r="VFW776" s="210"/>
      <c r="VGC776" s="219"/>
      <c r="VGF776" s="92"/>
      <c r="VGG776" s="210"/>
      <c r="VGM776" s="219"/>
      <c r="VGP776" s="92"/>
      <c r="VGQ776" s="210"/>
      <c r="VGW776" s="219"/>
      <c r="VGZ776" s="92"/>
      <c r="VHA776" s="210"/>
      <c r="VHG776" s="219"/>
      <c r="VHJ776" s="92"/>
      <c r="VHK776" s="210"/>
      <c r="VHQ776" s="219"/>
      <c r="VHT776" s="92"/>
      <c r="VHU776" s="210"/>
      <c r="VIA776" s="219"/>
      <c r="VID776" s="92"/>
      <c r="VIE776" s="210"/>
      <c r="VIK776" s="219"/>
      <c r="VIN776" s="92"/>
      <c r="VIO776" s="210"/>
      <c r="VIU776" s="219"/>
      <c r="VIX776" s="92"/>
      <c r="VIY776" s="210"/>
      <c r="VJE776" s="219"/>
      <c r="VJH776" s="92"/>
      <c r="VJI776" s="210"/>
      <c r="VJO776" s="219"/>
      <c r="VJR776" s="92"/>
      <c r="VJS776" s="210"/>
      <c r="VJY776" s="219"/>
      <c r="VKB776" s="92"/>
      <c r="VKC776" s="210"/>
      <c r="VKI776" s="219"/>
      <c r="VKL776" s="92"/>
      <c r="VKM776" s="210"/>
      <c r="VKS776" s="219"/>
      <c r="VKV776" s="92"/>
      <c r="VKW776" s="210"/>
      <c r="VLC776" s="219"/>
      <c r="VLF776" s="92"/>
      <c r="VLG776" s="210"/>
      <c r="VLM776" s="219"/>
      <c r="VLP776" s="92"/>
      <c r="VLQ776" s="210"/>
      <c r="VLW776" s="219"/>
      <c r="VLZ776" s="92"/>
      <c r="VMA776" s="210"/>
      <c r="VMG776" s="219"/>
      <c r="VMJ776" s="92"/>
      <c r="VMK776" s="210"/>
      <c r="VMQ776" s="219"/>
      <c r="VMT776" s="92"/>
      <c r="VMU776" s="210"/>
      <c r="VNA776" s="219"/>
      <c r="VND776" s="92"/>
      <c r="VNE776" s="210"/>
      <c r="VNK776" s="219"/>
      <c r="VNN776" s="92"/>
      <c r="VNO776" s="210"/>
      <c r="VNU776" s="219"/>
      <c r="VNX776" s="92"/>
      <c r="VNY776" s="210"/>
      <c r="VOE776" s="219"/>
      <c r="VOH776" s="92"/>
      <c r="VOI776" s="210"/>
      <c r="VOO776" s="219"/>
      <c r="VOR776" s="92"/>
      <c r="VOS776" s="210"/>
      <c r="VOY776" s="219"/>
      <c r="VPB776" s="92"/>
      <c r="VPC776" s="210"/>
      <c r="VPI776" s="219"/>
      <c r="VPL776" s="92"/>
      <c r="VPM776" s="210"/>
      <c r="VPS776" s="219"/>
      <c r="VPV776" s="92"/>
      <c r="VPW776" s="210"/>
      <c r="VQC776" s="219"/>
      <c r="VQF776" s="92"/>
      <c r="VQG776" s="210"/>
      <c r="VQM776" s="219"/>
      <c r="VQP776" s="92"/>
      <c r="VQQ776" s="210"/>
      <c r="VQW776" s="219"/>
      <c r="VQZ776" s="92"/>
      <c r="VRA776" s="210"/>
      <c r="VRG776" s="219"/>
      <c r="VRJ776" s="92"/>
      <c r="VRK776" s="210"/>
      <c r="VRQ776" s="219"/>
      <c r="VRT776" s="92"/>
      <c r="VRU776" s="210"/>
      <c r="VSA776" s="219"/>
      <c r="VSD776" s="92"/>
      <c r="VSE776" s="210"/>
      <c r="VSK776" s="219"/>
      <c r="VSN776" s="92"/>
      <c r="VSO776" s="210"/>
      <c r="VSU776" s="219"/>
      <c r="VSX776" s="92"/>
      <c r="VSY776" s="210"/>
      <c r="VTE776" s="219"/>
      <c r="VTH776" s="92"/>
      <c r="VTI776" s="210"/>
      <c r="VTO776" s="219"/>
      <c r="VTR776" s="92"/>
      <c r="VTS776" s="210"/>
      <c r="VTY776" s="219"/>
      <c r="VUB776" s="92"/>
      <c r="VUC776" s="210"/>
      <c r="VUI776" s="219"/>
      <c r="VUL776" s="92"/>
      <c r="VUM776" s="210"/>
      <c r="VUS776" s="219"/>
      <c r="VUV776" s="92"/>
      <c r="VUW776" s="210"/>
      <c r="VVC776" s="219"/>
      <c r="VVF776" s="92"/>
      <c r="VVG776" s="210"/>
      <c r="VVM776" s="219"/>
      <c r="VVP776" s="92"/>
      <c r="VVQ776" s="210"/>
      <c r="VVW776" s="219"/>
      <c r="VVZ776" s="92"/>
      <c r="VWA776" s="210"/>
      <c r="VWG776" s="219"/>
      <c r="VWJ776" s="92"/>
      <c r="VWK776" s="210"/>
      <c r="VWQ776" s="219"/>
      <c r="VWT776" s="92"/>
      <c r="VWU776" s="210"/>
      <c r="VXA776" s="219"/>
      <c r="VXD776" s="92"/>
      <c r="VXE776" s="210"/>
      <c r="VXK776" s="219"/>
      <c r="VXN776" s="92"/>
      <c r="VXO776" s="210"/>
      <c r="VXU776" s="219"/>
      <c r="VXX776" s="92"/>
      <c r="VXY776" s="210"/>
      <c r="VYE776" s="219"/>
      <c r="VYH776" s="92"/>
      <c r="VYI776" s="210"/>
      <c r="VYO776" s="219"/>
      <c r="VYR776" s="92"/>
      <c r="VYS776" s="210"/>
      <c r="VYY776" s="219"/>
      <c r="VZB776" s="92"/>
      <c r="VZC776" s="210"/>
      <c r="VZI776" s="219"/>
      <c r="VZL776" s="92"/>
      <c r="VZM776" s="210"/>
      <c r="VZS776" s="219"/>
      <c r="VZV776" s="92"/>
      <c r="VZW776" s="210"/>
      <c r="WAC776" s="219"/>
      <c r="WAF776" s="92"/>
      <c r="WAG776" s="210"/>
      <c r="WAM776" s="219"/>
      <c r="WAP776" s="92"/>
      <c r="WAQ776" s="210"/>
      <c r="WAW776" s="219"/>
      <c r="WAZ776" s="92"/>
      <c r="WBA776" s="210"/>
      <c r="WBG776" s="219"/>
      <c r="WBJ776" s="92"/>
      <c r="WBK776" s="210"/>
      <c r="WBQ776" s="219"/>
      <c r="WBT776" s="92"/>
      <c r="WBU776" s="210"/>
      <c r="WCA776" s="219"/>
      <c r="WCD776" s="92"/>
      <c r="WCE776" s="210"/>
      <c r="WCK776" s="219"/>
      <c r="WCN776" s="92"/>
      <c r="WCO776" s="210"/>
      <c r="WCU776" s="219"/>
      <c r="WCX776" s="92"/>
      <c r="WCY776" s="210"/>
      <c r="WDE776" s="219"/>
      <c r="WDH776" s="92"/>
      <c r="WDI776" s="210"/>
      <c r="WDO776" s="219"/>
      <c r="WDR776" s="92"/>
      <c r="WDS776" s="210"/>
      <c r="WDY776" s="219"/>
      <c r="WEB776" s="92"/>
      <c r="WEC776" s="210"/>
      <c r="WEI776" s="219"/>
      <c r="WEL776" s="92"/>
      <c r="WEM776" s="210"/>
      <c r="WES776" s="219"/>
      <c r="WEV776" s="92"/>
      <c r="WEW776" s="210"/>
      <c r="WFC776" s="219"/>
      <c r="WFF776" s="92"/>
      <c r="WFG776" s="210"/>
      <c r="WFM776" s="219"/>
      <c r="WFP776" s="92"/>
      <c r="WFQ776" s="210"/>
      <c r="WFW776" s="219"/>
      <c r="WFZ776" s="92"/>
      <c r="WGA776" s="210"/>
      <c r="WGG776" s="219"/>
      <c r="WGJ776" s="92"/>
      <c r="WGK776" s="210"/>
      <c r="WGQ776" s="219"/>
      <c r="WGT776" s="92"/>
      <c r="WGU776" s="210"/>
      <c r="WHA776" s="219"/>
      <c r="WHD776" s="92"/>
      <c r="WHE776" s="210"/>
      <c r="WHK776" s="219"/>
      <c r="WHN776" s="92"/>
      <c r="WHO776" s="210"/>
      <c r="WHU776" s="219"/>
      <c r="WHX776" s="92"/>
      <c r="WHY776" s="210"/>
      <c r="WIE776" s="219"/>
      <c r="WIH776" s="92"/>
      <c r="WII776" s="210"/>
      <c r="WIO776" s="219"/>
      <c r="WIR776" s="92"/>
      <c r="WIS776" s="210"/>
      <c r="WIY776" s="219"/>
      <c r="WJB776" s="92"/>
      <c r="WJC776" s="210"/>
      <c r="WJI776" s="219"/>
      <c r="WJL776" s="92"/>
      <c r="WJM776" s="210"/>
      <c r="WJS776" s="219"/>
      <c r="WJV776" s="92"/>
      <c r="WJW776" s="210"/>
      <c r="WKC776" s="219"/>
      <c r="WKF776" s="92"/>
      <c r="WKG776" s="210"/>
      <c r="WKM776" s="219"/>
      <c r="WKP776" s="92"/>
      <c r="WKQ776" s="210"/>
      <c r="WKW776" s="219"/>
      <c r="WKZ776" s="92"/>
      <c r="WLA776" s="210"/>
      <c r="WLG776" s="219"/>
      <c r="WLJ776" s="92"/>
      <c r="WLK776" s="210"/>
      <c r="WLQ776" s="219"/>
      <c r="WLT776" s="92"/>
      <c r="WLU776" s="210"/>
      <c r="WMA776" s="219"/>
      <c r="WMD776" s="92"/>
      <c r="WME776" s="210"/>
      <c r="WMK776" s="219"/>
      <c r="WMN776" s="92"/>
      <c r="WMO776" s="210"/>
      <c r="WMU776" s="219"/>
      <c r="WMX776" s="92"/>
      <c r="WMY776" s="210"/>
      <c r="WNE776" s="219"/>
      <c r="WNH776" s="92"/>
      <c r="WNI776" s="210"/>
      <c r="WNO776" s="219"/>
      <c r="WNR776" s="92"/>
      <c r="WNS776" s="210"/>
      <c r="WNY776" s="219"/>
      <c r="WOB776" s="92"/>
      <c r="WOC776" s="210"/>
      <c r="WOI776" s="219"/>
      <c r="WOL776" s="92"/>
      <c r="WOM776" s="210"/>
      <c r="WOS776" s="219"/>
      <c r="WOV776" s="92"/>
      <c r="WOW776" s="210"/>
      <c r="WPC776" s="219"/>
      <c r="WPF776" s="92"/>
      <c r="WPG776" s="210"/>
      <c r="WPM776" s="219"/>
      <c r="WPP776" s="92"/>
      <c r="WPQ776" s="210"/>
      <c r="WPW776" s="219"/>
      <c r="WPZ776" s="92"/>
      <c r="WQA776" s="210"/>
      <c r="WQG776" s="219"/>
      <c r="WQJ776" s="92"/>
      <c r="WQK776" s="210"/>
      <c r="WQQ776" s="219"/>
      <c r="WQT776" s="92"/>
      <c r="WQU776" s="210"/>
      <c r="WRA776" s="219"/>
      <c r="WRD776" s="92"/>
      <c r="WRE776" s="210"/>
      <c r="WRK776" s="219"/>
      <c r="WRN776" s="92"/>
      <c r="WRO776" s="210"/>
      <c r="WRU776" s="219"/>
      <c r="WRX776" s="92"/>
      <c r="WRY776" s="210"/>
      <c r="WSE776" s="219"/>
      <c r="WSH776" s="92"/>
      <c r="WSI776" s="210"/>
      <c r="WSO776" s="219"/>
      <c r="WSR776" s="92"/>
      <c r="WSS776" s="210"/>
      <c r="WSY776" s="219"/>
      <c r="WTB776" s="92"/>
      <c r="WTC776" s="210"/>
      <c r="WTI776" s="219"/>
      <c r="WTL776" s="92"/>
      <c r="WTM776" s="210"/>
      <c r="WTS776" s="219"/>
      <c r="WTV776" s="92"/>
      <c r="WTW776" s="210"/>
      <c r="WUC776" s="219"/>
      <c r="WUF776" s="92"/>
      <c r="WUG776" s="210"/>
      <c r="WUM776" s="219"/>
      <c r="WUP776" s="92"/>
      <c r="WUQ776" s="210"/>
      <c r="WUW776" s="219"/>
      <c r="WUZ776" s="92"/>
      <c r="WVA776" s="210"/>
      <c r="WVG776" s="219"/>
      <c r="WVJ776" s="92"/>
      <c r="WVK776" s="210"/>
      <c r="WVQ776" s="219"/>
      <c r="WVT776" s="92"/>
      <c r="WVU776" s="210"/>
      <c r="WWA776" s="219"/>
      <c r="WWD776" s="92"/>
      <c r="WWE776" s="210"/>
      <c r="WWK776" s="219"/>
      <c r="WWN776" s="92"/>
      <c r="WWO776" s="210"/>
      <c r="WWU776" s="219"/>
      <c r="WWX776" s="92"/>
      <c r="WWY776" s="210"/>
      <c r="WXE776" s="219"/>
      <c r="WXH776" s="92"/>
      <c r="WXI776" s="210"/>
      <c r="WXO776" s="219"/>
      <c r="WXR776" s="92"/>
      <c r="WXS776" s="210"/>
      <c r="WXY776" s="219"/>
      <c r="WYB776" s="92"/>
      <c r="WYC776" s="210"/>
      <c r="WYI776" s="219"/>
      <c r="WYL776" s="92"/>
      <c r="WYM776" s="210"/>
      <c r="WYS776" s="219"/>
      <c r="WYV776" s="92"/>
      <c r="WYW776" s="210"/>
      <c r="WZC776" s="219"/>
      <c r="WZF776" s="92"/>
      <c r="WZG776" s="210"/>
      <c r="WZM776" s="219"/>
      <c r="WZP776" s="92"/>
      <c r="WZQ776" s="210"/>
      <c r="WZW776" s="219"/>
      <c r="WZZ776" s="92"/>
      <c r="XAA776" s="210"/>
      <c r="XAG776" s="219"/>
      <c r="XAJ776" s="92"/>
      <c r="XAK776" s="210"/>
      <c r="XAQ776" s="219"/>
      <c r="XAT776" s="92"/>
      <c r="XAU776" s="210"/>
      <c r="XBA776" s="219"/>
      <c r="XBD776" s="92"/>
      <c r="XBE776" s="210"/>
      <c r="XBK776" s="219"/>
      <c r="XBN776" s="92"/>
      <c r="XBO776" s="210"/>
      <c r="XBU776" s="219"/>
      <c r="XBX776" s="92"/>
      <c r="XBY776" s="210"/>
      <c r="XCE776" s="219"/>
      <c r="XCH776" s="92"/>
      <c r="XCI776" s="210"/>
      <c r="XCO776" s="219"/>
      <c r="XCR776" s="92"/>
      <c r="XCS776" s="210"/>
      <c r="XCY776" s="219"/>
      <c r="XDB776" s="92"/>
      <c r="XDC776" s="210"/>
      <c r="XDI776" s="219"/>
      <c r="XDL776" s="92"/>
      <c r="XDM776" s="210"/>
      <c r="XDS776" s="219"/>
      <c r="XDV776" s="92"/>
      <c r="XDW776" s="210"/>
      <c r="XEC776" s="219"/>
      <c r="XEF776" s="92"/>
      <c r="XEG776" s="210"/>
      <c r="XEM776" s="219"/>
      <c r="XEP776" s="92"/>
      <c r="XEQ776" s="210"/>
      <c r="XEW776" s="219"/>
      <c r="XEZ776" s="92"/>
      <c r="XFA776" s="210"/>
    </row>
    <row r="777" spans="1:1021 1027:2047 2050:3071 3077:4091 4097:6141 6147:7167 7170:8191 8197:9211 9217:11261 11267:12287 12290:13311 13317:14331 14337:16381" s="174" customFormat="1">
      <c r="A777" s="448" t="s">
        <v>651</v>
      </c>
      <c r="B777" s="448" t="s">
        <v>612</v>
      </c>
      <c r="C777" s="448" t="s">
        <v>652</v>
      </c>
      <c r="D777" s="448" t="s">
        <v>653</v>
      </c>
      <c r="E777" s="448" t="s">
        <v>654</v>
      </c>
      <c r="F777" s="448" t="s">
        <v>655</v>
      </c>
      <c r="G777" s="448" t="s">
        <v>656</v>
      </c>
      <c r="H777" s="451">
        <v>-0.22</v>
      </c>
      <c r="I777"/>
      <c r="J777" s="92"/>
      <c r="Q777" s="219"/>
      <c r="T777" s="92"/>
      <c r="U777" s="210"/>
      <c r="AA777" s="219"/>
      <c r="AD777" s="92"/>
      <c r="AE777" s="210"/>
      <c r="AK777" s="219"/>
      <c r="AN777" s="92"/>
      <c r="AO777" s="210"/>
      <c r="AU777" s="219"/>
      <c r="AX777" s="92"/>
      <c r="AY777" s="210"/>
      <c r="BE777" s="219"/>
      <c r="BH777" s="92"/>
      <c r="BI777" s="210"/>
      <c r="BO777" s="219"/>
      <c r="BR777" s="92"/>
      <c r="BS777" s="210"/>
      <c r="BY777" s="219"/>
      <c r="CB777" s="92"/>
      <c r="CC777" s="210"/>
      <c r="CI777" s="219"/>
      <c r="CL777" s="92"/>
      <c r="CM777" s="210"/>
      <c r="CS777" s="219"/>
      <c r="CV777" s="92"/>
      <c r="CW777" s="210"/>
      <c r="DC777" s="219"/>
      <c r="DF777" s="92"/>
      <c r="DG777" s="210"/>
      <c r="DM777" s="219"/>
      <c r="DP777" s="92"/>
      <c r="DQ777" s="210"/>
      <c r="DW777" s="219"/>
      <c r="DZ777" s="92"/>
      <c r="EA777" s="210"/>
      <c r="EG777" s="219"/>
      <c r="EJ777" s="92"/>
      <c r="EK777" s="210"/>
      <c r="EQ777" s="219"/>
      <c r="ET777" s="92"/>
      <c r="EU777" s="210"/>
      <c r="FA777" s="219"/>
      <c r="FD777" s="92"/>
      <c r="FE777" s="210"/>
      <c r="FK777" s="219"/>
      <c r="FN777" s="92"/>
      <c r="FO777" s="210"/>
      <c r="FU777" s="219"/>
      <c r="FX777" s="92"/>
      <c r="FY777" s="210"/>
      <c r="GE777" s="219"/>
      <c r="GH777" s="92"/>
      <c r="GI777" s="210"/>
      <c r="GO777" s="219"/>
      <c r="GR777" s="92"/>
      <c r="GS777" s="210"/>
      <c r="GY777" s="219"/>
      <c r="HB777" s="92"/>
      <c r="HC777" s="210"/>
      <c r="HI777" s="219"/>
      <c r="HL777" s="92"/>
      <c r="HM777" s="210"/>
      <c r="HS777" s="219"/>
      <c r="HV777" s="92"/>
      <c r="HW777" s="210"/>
      <c r="IC777" s="219"/>
      <c r="IF777" s="92"/>
      <c r="IG777" s="210"/>
      <c r="IM777" s="219"/>
      <c r="IP777" s="92"/>
      <c r="IQ777" s="210"/>
      <c r="IW777" s="219"/>
      <c r="IZ777" s="92"/>
      <c r="JA777" s="210"/>
      <c r="JG777" s="219"/>
      <c r="JJ777" s="92"/>
      <c r="JK777" s="210"/>
      <c r="JQ777" s="219"/>
      <c r="JT777" s="92"/>
      <c r="JU777" s="210"/>
      <c r="KA777" s="219"/>
      <c r="KD777" s="92"/>
      <c r="KE777" s="210"/>
      <c r="KK777" s="219"/>
      <c r="KN777" s="92"/>
      <c r="KO777" s="210"/>
      <c r="KU777" s="219"/>
      <c r="KX777" s="92"/>
      <c r="KY777" s="210"/>
      <c r="LE777" s="219"/>
      <c r="LH777" s="92"/>
      <c r="LI777" s="210"/>
      <c r="LO777" s="219"/>
      <c r="LR777" s="92"/>
      <c r="LS777" s="210"/>
      <c r="LY777" s="219"/>
      <c r="MB777" s="92"/>
      <c r="MC777" s="210"/>
      <c r="MI777" s="219"/>
      <c r="ML777" s="92"/>
      <c r="MM777" s="210"/>
      <c r="MS777" s="219"/>
      <c r="MV777" s="92"/>
      <c r="MW777" s="210"/>
      <c r="NC777" s="219"/>
      <c r="NF777" s="92"/>
      <c r="NG777" s="210"/>
      <c r="NM777" s="219"/>
      <c r="NP777" s="92"/>
      <c r="NQ777" s="210"/>
      <c r="NW777" s="219"/>
      <c r="NZ777" s="92"/>
      <c r="OA777" s="210"/>
      <c r="OG777" s="219"/>
      <c r="OJ777" s="92"/>
      <c r="OK777" s="210"/>
      <c r="OQ777" s="219"/>
      <c r="OT777" s="92"/>
      <c r="OU777" s="210"/>
      <c r="PA777" s="219"/>
      <c r="PD777" s="92"/>
      <c r="PE777" s="210"/>
      <c r="PK777" s="219"/>
      <c r="PN777" s="92"/>
      <c r="PO777" s="210"/>
      <c r="PU777" s="219"/>
      <c r="PX777" s="92"/>
      <c r="PY777" s="210"/>
      <c r="QE777" s="219"/>
      <c r="QH777" s="92"/>
      <c r="QI777" s="210"/>
      <c r="QO777" s="219"/>
      <c r="QR777" s="92"/>
      <c r="QS777" s="210"/>
      <c r="QY777" s="219"/>
      <c r="RB777" s="92"/>
      <c r="RC777" s="210"/>
      <c r="RI777" s="219"/>
      <c r="RL777" s="92"/>
      <c r="RM777" s="210"/>
      <c r="RS777" s="219"/>
      <c r="RV777" s="92"/>
      <c r="RW777" s="210"/>
      <c r="SC777" s="219"/>
      <c r="SF777" s="92"/>
      <c r="SG777" s="210"/>
      <c r="SM777" s="219"/>
      <c r="SP777" s="92"/>
      <c r="SQ777" s="210"/>
      <c r="SW777" s="219"/>
      <c r="SZ777" s="92"/>
      <c r="TA777" s="210"/>
      <c r="TG777" s="219"/>
      <c r="TJ777" s="92"/>
      <c r="TK777" s="210"/>
      <c r="TQ777" s="219"/>
      <c r="TT777" s="92"/>
      <c r="TU777" s="210"/>
      <c r="UA777" s="219"/>
      <c r="UD777" s="92"/>
      <c r="UE777" s="210"/>
      <c r="UK777" s="219"/>
      <c r="UN777" s="92"/>
      <c r="UO777" s="210"/>
      <c r="UU777" s="219"/>
      <c r="UX777" s="92"/>
      <c r="UY777" s="210"/>
      <c r="VE777" s="219"/>
      <c r="VH777" s="92"/>
      <c r="VI777" s="210"/>
      <c r="VO777" s="219"/>
      <c r="VR777" s="92"/>
      <c r="VS777" s="210"/>
      <c r="VY777" s="219"/>
      <c r="WB777" s="92"/>
      <c r="WC777" s="210"/>
      <c r="WI777" s="219"/>
      <c r="WL777" s="92"/>
      <c r="WM777" s="210"/>
      <c r="WS777" s="219"/>
      <c r="WV777" s="92"/>
      <c r="WW777" s="210"/>
      <c r="XC777" s="219"/>
      <c r="XF777" s="92"/>
      <c r="XG777" s="210"/>
      <c r="XM777" s="219"/>
      <c r="XP777" s="92"/>
      <c r="XQ777" s="210"/>
      <c r="XW777" s="219"/>
      <c r="XZ777" s="92"/>
      <c r="YA777" s="210"/>
      <c r="YG777" s="219"/>
      <c r="YJ777" s="92"/>
      <c r="YK777" s="210"/>
      <c r="YQ777" s="219"/>
      <c r="YT777" s="92"/>
      <c r="YU777" s="210"/>
      <c r="ZA777" s="219"/>
      <c r="ZD777" s="92"/>
      <c r="ZE777" s="210"/>
      <c r="ZK777" s="219"/>
      <c r="ZN777" s="92"/>
      <c r="ZO777" s="210"/>
      <c r="ZU777" s="219"/>
      <c r="ZX777" s="92"/>
      <c r="ZY777" s="210"/>
      <c r="AAE777" s="219"/>
      <c r="AAH777" s="92"/>
      <c r="AAI777" s="210"/>
      <c r="AAO777" s="219"/>
      <c r="AAR777" s="92"/>
      <c r="AAS777" s="210"/>
      <c r="AAY777" s="219"/>
      <c r="ABB777" s="92"/>
      <c r="ABC777" s="210"/>
      <c r="ABI777" s="219"/>
      <c r="ABL777" s="92"/>
      <c r="ABM777" s="210"/>
      <c r="ABS777" s="219"/>
      <c r="ABV777" s="92"/>
      <c r="ABW777" s="210"/>
      <c r="ACC777" s="219"/>
      <c r="ACF777" s="92"/>
      <c r="ACG777" s="210"/>
      <c r="ACM777" s="219"/>
      <c r="ACP777" s="92"/>
      <c r="ACQ777" s="210"/>
      <c r="ACW777" s="219"/>
      <c r="ACZ777" s="92"/>
      <c r="ADA777" s="210"/>
      <c r="ADG777" s="219"/>
      <c r="ADJ777" s="92"/>
      <c r="ADK777" s="210"/>
      <c r="ADQ777" s="219"/>
      <c r="ADT777" s="92"/>
      <c r="ADU777" s="210"/>
      <c r="AEA777" s="219"/>
      <c r="AED777" s="92"/>
      <c r="AEE777" s="210"/>
      <c r="AEK777" s="219"/>
      <c r="AEN777" s="92"/>
      <c r="AEO777" s="210"/>
      <c r="AEU777" s="219"/>
      <c r="AEX777" s="92"/>
      <c r="AEY777" s="210"/>
      <c r="AFE777" s="219"/>
      <c r="AFH777" s="92"/>
      <c r="AFI777" s="210"/>
      <c r="AFO777" s="219"/>
      <c r="AFR777" s="92"/>
      <c r="AFS777" s="210"/>
      <c r="AFY777" s="219"/>
      <c r="AGB777" s="92"/>
      <c r="AGC777" s="210"/>
      <c r="AGI777" s="219"/>
      <c r="AGL777" s="92"/>
      <c r="AGM777" s="210"/>
      <c r="AGS777" s="219"/>
      <c r="AGV777" s="92"/>
      <c r="AGW777" s="210"/>
      <c r="AHC777" s="219"/>
      <c r="AHF777" s="92"/>
      <c r="AHG777" s="210"/>
      <c r="AHM777" s="219"/>
      <c r="AHP777" s="92"/>
      <c r="AHQ777" s="210"/>
      <c r="AHW777" s="219"/>
      <c r="AHZ777" s="92"/>
      <c r="AIA777" s="210"/>
      <c r="AIG777" s="219"/>
      <c r="AIJ777" s="92"/>
      <c r="AIK777" s="210"/>
      <c r="AIQ777" s="219"/>
      <c r="AIT777" s="92"/>
      <c r="AIU777" s="210"/>
      <c r="AJA777" s="219"/>
      <c r="AJD777" s="92"/>
      <c r="AJE777" s="210"/>
      <c r="AJK777" s="219"/>
      <c r="AJN777" s="92"/>
      <c r="AJO777" s="210"/>
      <c r="AJU777" s="219"/>
      <c r="AJX777" s="92"/>
      <c r="AJY777" s="210"/>
      <c r="AKE777" s="219"/>
      <c r="AKH777" s="92"/>
      <c r="AKI777" s="210"/>
      <c r="AKO777" s="219"/>
      <c r="AKR777" s="92"/>
      <c r="AKS777" s="210"/>
      <c r="AKY777" s="219"/>
      <c r="ALB777" s="92"/>
      <c r="ALC777" s="210"/>
      <c r="ALI777" s="219"/>
      <c r="ALL777" s="92"/>
      <c r="ALM777" s="210"/>
      <c r="ALS777" s="219"/>
      <c r="ALV777" s="92"/>
      <c r="ALW777" s="210"/>
      <c r="AMC777" s="219"/>
      <c r="AMF777" s="92"/>
      <c r="AMG777" s="210"/>
      <c r="AMM777" s="219"/>
      <c r="AMP777" s="92"/>
      <c r="AMQ777" s="210"/>
      <c r="AMW777" s="219"/>
      <c r="AMZ777" s="92"/>
      <c r="ANA777" s="210"/>
      <c r="ANG777" s="219"/>
      <c r="ANJ777" s="92"/>
      <c r="ANK777" s="210"/>
      <c r="ANQ777" s="219"/>
      <c r="ANT777" s="92"/>
      <c r="ANU777" s="210"/>
      <c r="AOA777" s="219"/>
      <c r="AOD777" s="92"/>
      <c r="AOE777" s="210"/>
      <c r="AOK777" s="219"/>
      <c r="AON777" s="92"/>
      <c r="AOO777" s="210"/>
      <c r="AOU777" s="219"/>
      <c r="AOX777" s="92"/>
      <c r="AOY777" s="210"/>
      <c r="APE777" s="219"/>
      <c r="APH777" s="92"/>
      <c r="API777" s="210"/>
      <c r="APO777" s="219"/>
      <c r="APR777" s="92"/>
      <c r="APS777" s="210"/>
      <c r="APY777" s="219"/>
      <c r="AQB777" s="92"/>
      <c r="AQC777" s="210"/>
      <c r="AQI777" s="219"/>
      <c r="AQL777" s="92"/>
      <c r="AQM777" s="210"/>
      <c r="AQS777" s="219"/>
      <c r="AQV777" s="92"/>
      <c r="AQW777" s="210"/>
      <c r="ARC777" s="219"/>
      <c r="ARF777" s="92"/>
      <c r="ARG777" s="210"/>
      <c r="ARM777" s="219"/>
      <c r="ARP777" s="92"/>
      <c r="ARQ777" s="210"/>
      <c r="ARW777" s="219"/>
      <c r="ARZ777" s="92"/>
      <c r="ASA777" s="210"/>
      <c r="ASG777" s="219"/>
      <c r="ASJ777" s="92"/>
      <c r="ASK777" s="210"/>
      <c r="ASQ777" s="219"/>
      <c r="AST777" s="92"/>
      <c r="ASU777" s="210"/>
      <c r="ATA777" s="219"/>
      <c r="ATD777" s="92"/>
      <c r="ATE777" s="210"/>
      <c r="ATK777" s="219"/>
      <c r="ATN777" s="92"/>
      <c r="ATO777" s="210"/>
      <c r="ATU777" s="219"/>
      <c r="ATX777" s="92"/>
      <c r="ATY777" s="210"/>
      <c r="AUE777" s="219"/>
      <c r="AUH777" s="92"/>
      <c r="AUI777" s="210"/>
      <c r="AUO777" s="219"/>
      <c r="AUR777" s="92"/>
      <c r="AUS777" s="210"/>
      <c r="AUY777" s="219"/>
      <c r="AVB777" s="92"/>
      <c r="AVC777" s="210"/>
      <c r="AVI777" s="219"/>
      <c r="AVL777" s="92"/>
      <c r="AVM777" s="210"/>
      <c r="AVS777" s="219"/>
      <c r="AVV777" s="92"/>
      <c r="AVW777" s="210"/>
      <c r="AWC777" s="219"/>
      <c r="AWF777" s="92"/>
      <c r="AWG777" s="210"/>
      <c r="AWM777" s="219"/>
      <c r="AWP777" s="92"/>
      <c r="AWQ777" s="210"/>
      <c r="AWW777" s="219"/>
      <c r="AWZ777" s="92"/>
      <c r="AXA777" s="210"/>
      <c r="AXG777" s="219"/>
      <c r="AXJ777" s="92"/>
      <c r="AXK777" s="210"/>
      <c r="AXQ777" s="219"/>
      <c r="AXT777" s="92"/>
      <c r="AXU777" s="210"/>
      <c r="AYA777" s="219"/>
      <c r="AYD777" s="92"/>
      <c r="AYE777" s="210"/>
      <c r="AYK777" s="219"/>
      <c r="AYN777" s="92"/>
      <c r="AYO777" s="210"/>
      <c r="AYU777" s="219"/>
      <c r="AYX777" s="92"/>
      <c r="AYY777" s="210"/>
      <c r="AZE777" s="219"/>
      <c r="AZH777" s="92"/>
      <c r="AZI777" s="210"/>
      <c r="AZO777" s="219"/>
      <c r="AZR777" s="92"/>
      <c r="AZS777" s="210"/>
      <c r="AZY777" s="219"/>
      <c r="BAB777" s="92"/>
      <c r="BAC777" s="210"/>
      <c r="BAI777" s="219"/>
      <c r="BAL777" s="92"/>
      <c r="BAM777" s="210"/>
      <c r="BAS777" s="219"/>
      <c r="BAV777" s="92"/>
      <c r="BAW777" s="210"/>
      <c r="BBC777" s="219"/>
      <c r="BBF777" s="92"/>
      <c r="BBG777" s="210"/>
      <c r="BBM777" s="219"/>
      <c r="BBP777" s="92"/>
      <c r="BBQ777" s="210"/>
      <c r="BBW777" s="219"/>
      <c r="BBZ777" s="92"/>
      <c r="BCA777" s="210"/>
      <c r="BCG777" s="219"/>
      <c r="BCJ777" s="92"/>
      <c r="BCK777" s="210"/>
      <c r="BCQ777" s="219"/>
      <c r="BCT777" s="92"/>
      <c r="BCU777" s="210"/>
      <c r="BDA777" s="219"/>
      <c r="BDD777" s="92"/>
      <c r="BDE777" s="210"/>
      <c r="BDK777" s="219"/>
      <c r="BDN777" s="92"/>
      <c r="BDO777" s="210"/>
      <c r="BDU777" s="219"/>
      <c r="BDX777" s="92"/>
      <c r="BDY777" s="210"/>
      <c r="BEE777" s="219"/>
      <c r="BEH777" s="92"/>
      <c r="BEI777" s="210"/>
      <c r="BEO777" s="219"/>
      <c r="BER777" s="92"/>
      <c r="BES777" s="210"/>
      <c r="BEY777" s="219"/>
      <c r="BFB777" s="92"/>
      <c r="BFC777" s="210"/>
      <c r="BFI777" s="219"/>
      <c r="BFL777" s="92"/>
      <c r="BFM777" s="210"/>
      <c r="BFS777" s="219"/>
      <c r="BFV777" s="92"/>
      <c r="BFW777" s="210"/>
      <c r="BGC777" s="219"/>
      <c r="BGF777" s="92"/>
      <c r="BGG777" s="210"/>
      <c r="BGM777" s="219"/>
      <c r="BGP777" s="92"/>
      <c r="BGQ777" s="210"/>
      <c r="BGW777" s="219"/>
      <c r="BGZ777" s="92"/>
      <c r="BHA777" s="210"/>
      <c r="BHG777" s="219"/>
      <c r="BHJ777" s="92"/>
      <c r="BHK777" s="210"/>
      <c r="BHQ777" s="219"/>
      <c r="BHT777" s="92"/>
      <c r="BHU777" s="210"/>
      <c r="BIA777" s="219"/>
      <c r="BID777" s="92"/>
      <c r="BIE777" s="210"/>
      <c r="BIK777" s="219"/>
      <c r="BIN777" s="92"/>
      <c r="BIO777" s="210"/>
      <c r="BIU777" s="219"/>
      <c r="BIX777" s="92"/>
      <c r="BIY777" s="210"/>
      <c r="BJE777" s="219"/>
      <c r="BJH777" s="92"/>
      <c r="BJI777" s="210"/>
      <c r="BJO777" s="219"/>
      <c r="BJR777" s="92"/>
      <c r="BJS777" s="210"/>
      <c r="BJY777" s="219"/>
      <c r="BKB777" s="92"/>
      <c r="BKC777" s="210"/>
      <c r="BKI777" s="219"/>
      <c r="BKL777" s="92"/>
      <c r="BKM777" s="210"/>
      <c r="BKS777" s="219"/>
      <c r="BKV777" s="92"/>
      <c r="BKW777" s="210"/>
      <c r="BLC777" s="219"/>
      <c r="BLF777" s="92"/>
      <c r="BLG777" s="210"/>
      <c r="BLM777" s="219"/>
      <c r="BLP777" s="92"/>
      <c r="BLQ777" s="210"/>
      <c r="BLW777" s="219"/>
      <c r="BLZ777" s="92"/>
      <c r="BMA777" s="210"/>
      <c r="BMG777" s="219"/>
      <c r="BMJ777" s="92"/>
      <c r="BMK777" s="210"/>
      <c r="BMQ777" s="219"/>
      <c r="BMT777" s="92"/>
      <c r="BMU777" s="210"/>
      <c r="BNA777" s="219"/>
      <c r="BND777" s="92"/>
      <c r="BNE777" s="210"/>
      <c r="BNK777" s="219"/>
      <c r="BNN777" s="92"/>
      <c r="BNO777" s="210"/>
      <c r="BNU777" s="219"/>
      <c r="BNX777" s="92"/>
      <c r="BNY777" s="210"/>
      <c r="BOE777" s="219"/>
      <c r="BOH777" s="92"/>
      <c r="BOI777" s="210"/>
      <c r="BOO777" s="219"/>
      <c r="BOR777" s="92"/>
      <c r="BOS777" s="210"/>
      <c r="BOY777" s="219"/>
      <c r="BPB777" s="92"/>
      <c r="BPC777" s="210"/>
      <c r="BPI777" s="219"/>
      <c r="BPL777" s="92"/>
      <c r="BPM777" s="210"/>
      <c r="BPS777" s="219"/>
      <c r="BPV777" s="92"/>
      <c r="BPW777" s="210"/>
      <c r="BQC777" s="219"/>
      <c r="BQF777" s="92"/>
      <c r="BQG777" s="210"/>
      <c r="BQM777" s="219"/>
      <c r="BQP777" s="92"/>
      <c r="BQQ777" s="210"/>
      <c r="BQW777" s="219"/>
      <c r="BQZ777" s="92"/>
      <c r="BRA777" s="210"/>
      <c r="BRG777" s="219"/>
      <c r="BRJ777" s="92"/>
      <c r="BRK777" s="210"/>
      <c r="BRQ777" s="219"/>
      <c r="BRT777" s="92"/>
      <c r="BRU777" s="210"/>
      <c r="BSA777" s="219"/>
      <c r="BSD777" s="92"/>
      <c r="BSE777" s="210"/>
      <c r="BSK777" s="219"/>
      <c r="BSN777" s="92"/>
      <c r="BSO777" s="210"/>
      <c r="BSU777" s="219"/>
      <c r="BSX777" s="92"/>
      <c r="BSY777" s="210"/>
      <c r="BTE777" s="219"/>
      <c r="BTH777" s="92"/>
      <c r="BTI777" s="210"/>
      <c r="BTO777" s="219"/>
      <c r="BTR777" s="92"/>
      <c r="BTS777" s="210"/>
      <c r="BTY777" s="219"/>
      <c r="BUB777" s="92"/>
      <c r="BUC777" s="210"/>
      <c r="BUI777" s="219"/>
      <c r="BUL777" s="92"/>
      <c r="BUM777" s="210"/>
      <c r="BUS777" s="219"/>
      <c r="BUV777" s="92"/>
      <c r="BUW777" s="210"/>
      <c r="BVC777" s="219"/>
      <c r="BVF777" s="92"/>
      <c r="BVG777" s="210"/>
      <c r="BVM777" s="219"/>
      <c r="BVP777" s="92"/>
      <c r="BVQ777" s="210"/>
      <c r="BVW777" s="219"/>
      <c r="BVZ777" s="92"/>
      <c r="BWA777" s="210"/>
      <c r="BWG777" s="219"/>
      <c r="BWJ777" s="92"/>
      <c r="BWK777" s="210"/>
      <c r="BWQ777" s="219"/>
      <c r="BWT777" s="92"/>
      <c r="BWU777" s="210"/>
      <c r="BXA777" s="219"/>
      <c r="BXD777" s="92"/>
      <c r="BXE777" s="210"/>
      <c r="BXK777" s="219"/>
      <c r="BXN777" s="92"/>
      <c r="BXO777" s="210"/>
      <c r="BXU777" s="219"/>
      <c r="BXX777" s="92"/>
      <c r="BXY777" s="210"/>
      <c r="BYE777" s="219"/>
      <c r="BYH777" s="92"/>
      <c r="BYI777" s="210"/>
      <c r="BYO777" s="219"/>
      <c r="BYR777" s="92"/>
      <c r="BYS777" s="210"/>
      <c r="BYY777" s="219"/>
      <c r="BZB777" s="92"/>
      <c r="BZC777" s="210"/>
      <c r="BZI777" s="219"/>
      <c r="BZL777" s="92"/>
      <c r="BZM777" s="210"/>
      <c r="BZS777" s="219"/>
      <c r="BZV777" s="92"/>
      <c r="BZW777" s="210"/>
      <c r="CAC777" s="219"/>
      <c r="CAF777" s="92"/>
      <c r="CAG777" s="210"/>
      <c r="CAM777" s="219"/>
      <c r="CAP777" s="92"/>
      <c r="CAQ777" s="210"/>
      <c r="CAW777" s="219"/>
      <c r="CAZ777" s="92"/>
      <c r="CBA777" s="210"/>
      <c r="CBG777" s="219"/>
      <c r="CBJ777" s="92"/>
      <c r="CBK777" s="210"/>
      <c r="CBQ777" s="219"/>
      <c r="CBT777" s="92"/>
      <c r="CBU777" s="210"/>
      <c r="CCA777" s="219"/>
      <c r="CCD777" s="92"/>
      <c r="CCE777" s="210"/>
      <c r="CCK777" s="219"/>
      <c r="CCN777" s="92"/>
      <c r="CCO777" s="210"/>
      <c r="CCU777" s="219"/>
      <c r="CCX777" s="92"/>
      <c r="CCY777" s="210"/>
      <c r="CDE777" s="219"/>
      <c r="CDH777" s="92"/>
      <c r="CDI777" s="210"/>
      <c r="CDO777" s="219"/>
      <c r="CDR777" s="92"/>
      <c r="CDS777" s="210"/>
      <c r="CDY777" s="219"/>
      <c r="CEB777" s="92"/>
      <c r="CEC777" s="210"/>
      <c r="CEI777" s="219"/>
      <c r="CEL777" s="92"/>
      <c r="CEM777" s="210"/>
      <c r="CES777" s="219"/>
      <c r="CEV777" s="92"/>
      <c r="CEW777" s="210"/>
      <c r="CFC777" s="219"/>
      <c r="CFF777" s="92"/>
      <c r="CFG777" s="210"/>
      <c r="CFM777" s="219"/>
      <c r="CFP777" s="92"/>
      <c r="CFQ777" s="210"/>
      <c r="CFW777" s="219"/>
      <c r="CFZ777" s="92"/>
      <c r="CGA777" s="210"/>
      <c r="CGG777" s="219"/>
      <c r="CGJ777" s="92"/>
      <c r="CGK777" s="210"/>
      <c r="CGQ777" s="219"/>
      <c r="CGT777" s="92"/>
      <c r="CGU777" s="210"/>
      <c r="CHA777" s="219"/>
      <c r="CHD777" s="92"/>
      <c r="CHE777" s="210"/>
      <c r="CHK777" s="219"/>
      <c r="CHN777" s="92"/>
      <c r="CHO777" s="210"/>
      <c r="CHU777" s="219"/>
      <c r="CHX777" s="92"/>
      <c r="CHY777" s="210"/>
      <c r="CIE777" s="219"/>
      <c r="CIH777" s="92"/>
      <c r="CII777" s="210"/>
      <c r="CIO777" s="219"/>
      <c r="CIR777" s="92"/>
      <c r="CIS777" s="210"/>
      <c r="CIY777" s="219"/>
      <c r="CJB777" s="92"/>
      <c r="CJC777" s="210"/>
      <c r="CJI777" s="219"/>
      <c r="CJL777" s="92"/>
      <c r="CJM777" s="210"/>
      <c r="CJS777" s="219"/>
      <c r="CJV777" s="92"/>
      <c r="CJW777" s="210"/>
      <c r="CKC777" s="219"/>
      <c r="CKF777" s="92"/>
      <c r="CKG777" s="210"/>
      <c r="CKM777" s="219"/>
      <c r="CKP777" s="92"/>
      <c r="CKQ777" s="210"/>
      <c r="CKW777" s="219"/>
      <c r="CKZ777" s="92"/>
      <c r="CLA777" s="210"/>
      <c r="CLG777" s="219"/>
      <c r="CLJ777" s="92"/>
      <c r="CLK777" s="210"/>
      <c r="CLQ777" s="219"/>
      <c r="CLT777" s="92"/>
      <c r="CLU777" s="210"/>
      <c r="CMA777" s="219"/>
      <c r="CMD777" s="92"/>
      <c r="CME777" s="210"/>
      <c r="CMK777" s="219"/>
      <c r="CMN777" s="92"/>
      <c r="CMO777" s="210"/>
      <c r="CMU777" s="219"/>
      <c r="CMX777" s="92"/>
      <c r="CMY777" s="210"/>
      <c r="CNE777" s="219"/>
      <c r="CNH777" s="92"/>
      <c r="CNI777" s="210"/>
      <c r="CNO777" s="219"/>
      <c r="CNR777" s="92"/>
      <c r="CNS777" s="210"/>
      <c r="CNY777" s="219"/>
      <c r="COB777" s="92"/>
      <c r="COC777" s="210"/>
      <c r="COI777" s="219"/>
      <c r="COL777" s="92"/>
      <c r="COM777" s="210"/>
      <c r="COS777" s="219"/>
      <c r="COV777" s="92"/>
      <c r="COW777" s="210"/>
      <c r="CPC777" s="219"/>
      <c r="CPF777" s="92"/>
      <c r="CPG777" s="210"/>
      <c r="CPM777" s="219"/>
      <c r="CPP777" s="92"/>
      <c r="CPQ777" s="210"/>
      <c r="CPW777" s="219"/>
      <c r="CPZ777" s="92"/>
      <c r="CQA777" s="210"/>
      <c r="CQG777" s="219"/>
      <c r="CQJ777" s="92"/>
      <c r="CQK777" s="210"/>
      <c r="CQQ777" s="219"/>
      <c r="CQT777" s="92"/>
      <c r="CQU777" s="210"/>
      <c r="CRA777" s="219"/>
      <c r="CRD777" s="92"/>
      <c r="CRE777" s="210"/>
      <c r="CRK777" s="219"/>
      <c r="CRN777" s="92"/>
      <c r="CRO777" s="210"/>
      <c r="CRU777" s="219"/>
      <c r="CRX777" s="92"/>
      <c r="CRY777" s="210"/>
      <c r="CSE777" s="219"/>
      <c r="CSH777" s="92"/>
      <c r="CSI777" s="210"/>
      <c r="CSO777" s="219"/>
      <c r="CSR777" s="92"/>
      <c r="CSS777" s="210"/>
      <c r="CSY777" s="219"/>
      <c r="CTB777" s="92"/>
      <c r="CTC777" s="210"/>
      <c r="CTI777" s="219"/>
      <c r="CTL777" s="92"/>
      <c r="CTM777" s="210"/>
      <c r="CTS777" s="219"/>
      <c r="CTV777" s="92"/>
      <c r="CTW777" s="210"/>
      <c r="CUC777" s="219"/>
      <c r="CUF777" s="92"/>
      <c r="CUG777" s="210"/>
      <c r="CUM777" s="219"/>
      <c r="CUP777" s="92"/>
      <c r="CUQ777" s="210"/>
      <c r="CUW777" s="219"/>
      <c r="CUZ777" s="92"/>
      <c r="CVA777" s="210"/>
      <c r="CVG777" s="219"/>
      <c r="CVJ777" s="92"/>
      <c r="CVK777" s="210"/>
      <c r="CVQ777" s="219"/>
      <c r="CVT777" s="92"/>
      <c r="CVU777" s="210"/>
      <c r="CWA777" s="219"/>
      <c r="CWD777" s="92"/>
      <c r="CWE777" s="210"/>
      <c r="CWK777" s="219"/>
      <c r="CWN777" s="92"/>
      <c r="CWO777" s="210"/>
      <c r="CWU777" s="219"/>
      <c r="CWX777" s="92"/>
      <c r="CWY777" s="210"/>
      <c r="CXE777" s="219"/>
      <c r="CXH777" s="92"/>
      <c r="CXI777" s="210"/>
      <c r="CXO777" s="219"/>
      <c r="CXR777" s="92"/>
      <c r="CXS777" s="210"/>
      <c r="CXY777" s="219"/>
      <c r="CYB777" s="92"/>
      <c r="CYC777" s="210"/>
      <c r="CYI777" s="219"/>
      <c r="CYL777" s="92"/>
      <c r="CYM777" s="210"/>
      <c r="CYS777" s="219"/>
      <c r="CYV777" s="92"/>
      <c r="CYW777" s="210"/>
      <c r="CZC777" s="219"/>
      <c r="CZF777" s="92"/>
      <c r="CZG777" s="210"/>
      <c r="CZM777" s="219"/>
      <c r="CZP777" s="92"/>
      <c r="CZQ777" s="210"/>
      <c r="CZW777" s="219"/>
      <c r="CZZ777" s="92"/>
      <c r="DAA777" s="210"/>
      <c r="DAG777" s="219"/>
      <c r="DAJ777" s="92"/>
      <c r="DAK777" s="210"/>
      <c r="DAQ777" s="219"/>
      <c r="DAT777" s="92"/>
      <c r="DAU777" s="210"/>
      <c r="DBA777" s="219"/>
      <c r="DBD777" s="92"/>
      <c r="DBE777" s="210"/>
      <c r="DBK777" s="219"/>
      <c r="DBN777" s="92"/>
      <c r="DBO777" s="210"/>
      <c r="DBU777" s="219"/>
      <c r="DBX777" s="92"/>
      <c r="DBY777" s="210"/>
      <c r="DCE777" s="219"/>
      <c r="DCH777" s="92"/>
      <c r="DCI777" s="210"/>
      <c r="DCO777" s="219"/>
      <c r="DCR777" s="92"/>
      <c r="DCS777" s="210"/>
      <c r="DCY777" s="219"/>
      <c r="DDB777" s="92"/>
      <c r="DDC777" s="210"/>
      <c r="DDI777" s="219"/>
      <c r="DDL777" s="92"/>
      <c r="DDM777" s="210"/>
      <c r="DDS777" s="219"/>
      <c r="DDV777" s="92"/>
      <c r="DDW777" s="210"/>
      <c r="DEC777" s="219"/>
      <c r="DEF777" s="92"/>
      <c r="DEG777" s="210"/>
      <c r="DEM777" s="219"/>
      <c r="DEP777" s="92"/>
      <c r="DEQ777" s="210"/>
      <c r="DEW777" s="219"/>
      <c r="DEZ777" s="92"/>
      <c r="DFA777" s="210"/>
      <c r="DFG777" s="219"/>
      <c r="DFJ777" s="92"/>
      <c r="DFK777" s="210"/>
      <c r="DFQ777" s="219"/>
      <c r="DFT777" s="92"/>
      <c r="DFU777" s="210"/>
      <c r="DGA777" s="219"/>
      <c r="DGD777" s="92"/>
      <c r="DGE777" s="210"/>
      <c r="DGK777" s="219"/>
      <c r="DGN777" s="92"/>
      <c r="DGO777" s="210"/>
      <c r="DGU777" s="219"/>
      <c r="DGX777" s="92"/>
      <c r="DGY777" s="210"/>
      <c r="DHE777" s="219"/>
      <c r="DHH777" s="92"/>
      <c r="DHI777" s="210"/>
      <c r="DHO777" s="219"/>
      <c r="DHR777" s="92"/>
      <c r="DHS777" s="210"/>
      <c r="DHY777" s="219"/>
      <c r="DIB777" s="92"/>
      <c r="DIC777" s="210"/>
      <c r="DII777" s="219"/>
      <c r="DIL777" s="92"/>
      <c r="DIM777" s="210"/>
      <c r="DIS777" s="219"/>
      <c r="DIV777" s="92"/>
      <c r="DIW777" s="210"/>
      <c r="DJC777" s="219"/>
      <c r="DJF777" s="92"/>
      <c r="DJG777" s="210"/>
      <c r="DJM777" s="219"/>
      <c r="DJP777" s="92"/>
      <c r="DJQ777" s="210"/>
      <c r="DJW777" s="219"/>
      <c r="DJZ777" s="92"/>
      <c r="DKA777" s="210"/>
      <c r="DKG777" s="219"/>
      <c r="DKJ777" s="92"/>
      <c r="DKK777" s="210"/>
      <c r="DKQ777" s="219"/>
      <c r="DKT777" s="92"/>
      <c r="DKU777" s="210"/>
      <c r="DLA777" s="219"/>
      <c r="DLD777" s="92"/>
      <c r="DLE777" s="210"/>
      <c r="DLK777" s="219"/>
      <c r="DLN777" s="92"/>
      <c r="DLO777" s="210"/>
      <c r="DLU777" s="219"/>
      <c r="DLX777" s="92"/>
      <c r="DLY777" s="210"/>
      <c r="DME777" s="219"/>
      <c r="DMH777" s="92"/>
      <c r="DMI777" s="210"/>
      <c r="DMO777" s="219"/>
      <c r="DMR777" s="92"/>
      <c r="DMS777" s="210"/>
      <c r="DMY777" s="219"/>
      <c r="DNB777" s="92"/>
      <c r="DNC777" s="210"/>
      <c r="DNI777" s="219"/>
      <c r="DNL777" s="92"/>
      <c r="DNM777" s="210"/>
      <c r="DNS777" s="219"/>
      <c r="DNV777" s="92"/>
      <c r="DNW777" s="210"/>
      <c r="DOC777" s="219"/>
      <c r="DOF777" s="92"/>
      <c r="DOG777" s="210"/>
      <c r="DOM777" s="219"/>
      <c r="DOP777" s="92"/>
      <c r="DOQ777" s="210"/>
      <c r="DOW777" s="219"/>
      <c r="DOZ777" s="92"/>
      <c r="DPA777" s="210"/>
      <c r="DPG777" s="219"/>
      <c r="DPJ777" s="92"/>
      <c r="DPK777" s="210"/>
      <c r="DPQ777" s="219"/>
      <c r="DPT777" s="92"/>
      <c r="DPU777" s="210"/>
      <c r="DQA777" s="219"/>
      <c r="DQD777" s="92"/>
      <c r="DQE777" s="210"/>
      <c r="DQK777" s="219"/>
      <c r="DQN777" s="92"/>
      <c r="DQO777" s="210"/>
      <c r="DQU777" s="219"/>
      <c r="DQX777" s="92"/>
      <c r="DQY777" s="210"/>
      <c r="DRE777" s="219"/>
      <c r="DRH777" s="92"/>
      <c r="DRI777" s="210"/>
      <c r="DRO777" s="219"/>
      <c r="DRR777" s="92"/>
      <c r="DRS777" s="210"/>
      <c r="DRY777" s="219"/>
      <c r="DSB777" s="92"/>
      <c r="DSC777" s="210"/>
      <c r="DSI777" s="219"/>
      <c r="DSL777" s="92"/>
      <c r="DSM777" s="210"/>
      <c r="DSS777" s="219"/>
      <c r="DSV777" s="92"/>
      <c r="DSW777" s="210"/>
      <c r="DTC777" s="219"/>
      <c r="DTF777" s="92"/>
      <c r="DTG777" s="210"/>
      <c r="DTM777" s="219"/>
      <c r="DTP777" s="92"/>
      <c r="DTQ777" s="210"/>
      <c r="DTW777" s="219"/>
      <c r="DTZ777" s="92"/>
      <c r="DUA777" s="210"/>
      <c r="DUG777" s="219"/>
      <c r="DUJ777" s="92"/>
      <c r="DUK777" s="210"/>
      <c r="DUQ777" s="219"/>
      <c r="DUT777" s="92"/>
      <c r="DUU777" s="210"/>
      <c r="DVA777" s="219"/>
      <c r="DVD777" s="92"/>
      <c r="DVE777" s="210"/>
      <c r="DVK777" s="219"/>
      <c r="DVN777" s="92"/>
      <c r="DVO777" s="210"/>
      <c r="DVU777" s="219"/>
      <c r="DVX777" s="92"/>
      <c r="DVY777" s="210"/>
      <c r="DWE777" s="219"/>
      <c r="DWH777" s="92"/>
      <c r="DWI777" s="210"/>
      <c r="DWO777" s="219"/>
      <c r="DWR777" s="92"/>
      <c r="DWS777" s="210"/>
      <c r="DWY777" s="219"/>
      <c r="DXB777" s="92"/>
      <c r="DXC777" s="210"/>
      <c r="DXI777" s="219"/>
      <c r="DXL777" s="92"/>
      <c r="DXM777" s="210"/>
      <c r="DXS777" s="219"/>
      <c r="DXV777" s="92"/>
      <c r="DXW777" s="210"/>
      <c r="DYC777" s="219"/>
      <c r="DYF777" s="92"/>
      <c r="DYG777" s="210"/>
      <c r="DYM777" s="219"/>
      <c r="DYP777" s="92"/>
      <c r="DYQ777" s="210"/>
      <c r="DYW777" s="219"/>
      <c r="DYZ777" s="92"/>
      <c r="DZA777" s="210"/>
      <c r="DZG777" s="219"/>
      <c r="DZJ777" s="92"/>
      <c r="DZK777" s="210"/>
      <c r="DZQ777" s="219"/>
      <c r="DZT777" s="92"/>
      <c r="DZU777" s="210"/>
      <c r="EAA777" s="219"/>
      <c r="EAD777" s="92"/>
      <c r="EAE777" s="210"/>
      <c r="EAK777" s="219"/>
      <c r="EAN777" s="92"/>
      <c r="EAO777" s="210"/>
      <c r="EAU777" s="219"/>
      <c r="EAX777" s="92"/>
      <c r="EAY777" s="210"/>
      <c r="EBE777" s="219"/>
      <c r="EBH777" s="92"/>
      <c r="EBI777" s="210"/>
      <c r="EBO777" s="219"/>
      <c r="EBR777" s="92"/>
      <c r="EBS777" s="210"/>
      <c r="EBY777" s="219"/>
      <c r="ECB777" s="92"/>
      <c r="ECC777" s="210"/>
      <c r="ECI777" s="219"/>
      <c r="ECL777" s="92"/>
      <c r="ECM777" s="210"/>
      <c r="ECS777" s="219"/>
      <c r="ECV777" s="92"/>
      <c r="ECW777" s="210"/>
      <c r="EDC777" s="219"/>
      <c r="EDF777" s="92"/>
      <c r="EDG777" s="210"/>
      <c r="EDM777" s="219"/>
      <c r="EDP777" s="92"/>
      <c r="EDQ777" s="210"/>
      <c r="EDW777" s="219"/>
      <c r="EDZ777" s="92"/>
      <c r="EEA777" s="210"/>
      <c r="EEG777" s="219"/>
      <c r="EEJ777" s="92"/>
      <c r="EEK777" s="210"/>
      <c r="EEQ777" s="219"/>
      <c r="EET777" s="92"/>
      <c r="EEU777" s="210"/>
      <c r="EFA777" s="219"/>
      <c r="EFD777" s="92"/>
      <c r="EFE777" s="210"/>
      <c r="EFK777" s="219"/>
      <c r="EFN777" s="92"/>
      <c r="EFO777" s="210"/>
      <c r="EFU777" s="219"/>
      <c r="EFX777" s="92"/>
      <c r="EFY777" s="210"/>
      <c r="EGE777" s="219"/>
      <c r="EGH777" s="92"/>
      <c r="EGI777" s="210"/>
      <c r="EGO777" s="219"/>
      <c r="EGR777" s="92"/>
      <c r="EGS777" s="210"/>
      <c r="EGY777" s="219"/>
      <c r="EHB777" s="92"/>
      <c r="EHC777" s="210"/>
      <c r="EHI777" s="219"/>
      <c r="EHL777" s="92"/>
      <c r="EHM777" s="210"/>
      <c r="EHS777" s="219"/>
      <c r="EHV777" s="92"/>
      <c r="EHW777" s="210"/>
      <c r="EIC777" s="219"/>
      <c r="EIF777" s="92"/>
      <c r="EIG777" s="210"/>
      <c r="EIM777" s="219"/>
      <c r="EIP777" s="92"/>
      <c r="EIQ777" s="210"/>
      <c r="EIW777" s="219"/>
      <c r="EIZ777" s="92"/>
      <c r="EJA777" s="210"/>
      <c r="EJG777" s="219"/>
      <c r="EJJ777" s="92"/>
      <c r="EJK777" s="210"/>
      <c r="EJQ777" s="219"/>
      <c r="EJT777" s="92"/>
      <c r="EJU777" s="210"/>
      <c r="EKA777" s="219"/>
      <c r="EKD777" s="92"/>
      <c r="EKE777" s="210"/>
      <c r="EKK777" s="219"/>
      <c r="EKN777" s="92"/>
      <c r="EKO777" s="210"/>
      <c r="EKU777" s="219"/>
      <c r="EKX777" s="92"/>
      <c r="EKY777" s="210"/>
      <c r="ELE777" s="219"/>
      <c r="ELH777" s="92"/>
      <c r="ELI777" s="210"/>
      <c r="ELO777" s="219"/>
      <c r="ELR777" s="92"/>
      <c r="ELS777" s="210"/>
      <c r="ELY777" s="219"/>
      <c r="EMB777" s="92"/>
      <c r="EMC777" s="210"/>
      <c r="EMI777" s="219"/>
      <c r="EML777" s="92"/>
      <c r="EMM777" s="210"/>
      <c r="EMS777" s="219"/>
      <c r="EMV777" s="92"/>
      <c r="EMW777" s="210"/>
      <c r="ENC777" s="219"/>
      <c r="ENF777" s="92"/>
      <c r="ENG777" s="210"/>
      <c r="ENM777" s="219"/>
      <c r="ENP777" s="92"/>
      <c r="ENQ777" s="210"/>
      <c r="ENW777" s="219"/>
      <c r="ENZ777" s="92"/>
      <c r="EOA777" s="210"/>
      <c r="EOG777" s="219"/>
      <c r="EOJ777" s="92"/>
      <c r="EOK777" s="210"/>
      <c r="EOQ777" s="219"/>
      <c r="EOT777" s="92"/>
      <c r="EOU777" s="210"/>
      <c r="EPA777" s="219"/>
      <c r="EPD777" s="92"/>
      <c r="EPE777" s="210"/>
      <c r="EPK777" s="219"/>
      <c r="EPN777" s="92"/>
      <c r="EPO777" s="210"/>
      <c r="EPU777" s="219"/>
      <c r="EPX777" s="92"/>
      <c r="EPY777" s="210"/>
      <c r="EQE777" s="219"/>
      <c r="EQH777" s="92"/>
      <c r="EQI777" s="210"/>
      <c r="EQO777" s="219"/>
      <c r="EQR777" s="92"/>
      <c r="EQS777" s="210"/>
      <c r="EQY777" s="219"/>
      <c r="ERB777" s="92"/>
      <c r="ERC777" s="210"/>
      <c r="ERI777" s="219"/>
      <c r="ERL777" s="92"/>
      <c r="ERM777" s="210"/>
      <c r="ERS777" s="219"/>
      <c r="ERV777" s="92"/>
      <c r="ERW777" s="210"/>
      <c r="ESC777" s="219"/>
      <c r="ESF777" s="92"/>
      <c r="ESG777" s="210"/>
      <c r="ESM777" s="219"/>
      <c r="ESP777" s="92"/>
      <c r="ESQ777" s="210"/>
      <c r="ESW777" s="219"/>
      <c r="ESZ777" s="92"/>
      <c r="ETA777" s="210"/>
      <c r="ETG777" s="219"/>
      <c r="ETJ777" s="92"/>
      <c r="ETK777" s="210"/>
      <c r="ETQ777" s="219"/>
      <c r="ETT777" s="92"/>
      <c r="ETU777" s="210"/>
      <c r="EUA777" s="219"/>
      <c r="EUD777" s="92"/>
      <c r="EUE777" s="210"/>
      <c r="EUK777" s="219"/>
      <c r="EUN777" s="92"/>
      <c r="EUO777" s="210"/>
      <c r="EUU777" s="219"/>
      <c r="EUX777" s="92"/>
      <c r="EUY777" s="210"/>
      <c r="EVE777" s="219"/>
      <c r="EVH777" s="92"/>
      <c r="EVI777" s="210"/>
      <c r="EVO777" s="219"/>
      <c r="EVR777" s="92"/>
      <c r="EVS777" s="210"/>
      <c r="EVY777" s="219"/>
      <c r="EWB777" s="92"/>
      <c r="EWC777" s="210"/>
      <c r="EWI777" s="219"/>
      <c r="EWL777" s="92"/>
      <c r="EWM777" s="210"/>
      <c r="EWS777" s="219"/>
      <c r="EWV777" s="92"/>
      <c r="EWW777" s="210"/>
      <c r="EXC777" s="219"/>
      <c r="EXF777" s="92"/>
      <c r="EXG777" s="210"/>
      <c r="EXM777" s="219"/>
      <c r="EXP777" s="92"/>
      <c r="EXQ777" s="210"/>
      <c r="EXW777" s="219"/>
      <c r="EXZ777" s="92"/>
      <c r="EYA777" s="210"/>
      <c r="EYG777" s="219"/>
      <c r="EYJ777" s="92"/>
      <c r="EYK777" s="210"/>
      <c r="EYQ777" s="219"/>
      <c r="EYT777" s="92"/>
      <c r="EYU777" s="210"/>
      <c r="EZA777" s="219"/>
      <c r="EZD777" s="92"/>
      <c r="EZE777" s="210"/>
      <c r="EZK777" s="219"/>
      <c r="EZN777" s="92"/>
      <c r="EZO777" s="210"/>
      <c r="EZU777" s="219"/>
      <c r="EZX777" s="92"/>
      <c r="EZY777" s="210"/>
      <c r="FAE777" s="219"/>
      <c r="FAH777" s="92"/>
      <c r="FAI777" s="210"/>
      <c r="FAO777" s="219"/>
      <c r="FAR777" s="92"/>
      <c r="FAS777" s="210"/>
      <c r="FAY777" s="219"/>
      <c r="FBB777" s="92"/>
      <c r="FBC777" s="210"/>
      <c r="FBI777" s="219"/>
      <c r="FBL777" s="92"/>
      <c r="FBM777" s="210"/>
      <c r="FBS777" s="219"/>
      <c r="FBV777" s="92"/>
      <c r="FBW777" s="210"/>
      <c r="FCC777" s="219"/>
      <c r="FCF777" s="92"/>
      <c r="FCG777" s="210"/>
      <c r="FCM777" s="219"/>
      <c r="FCP777" s="92"/>
      <c r="FCQ777" s="210"/>
      <c r="FCW777" s="219"/>
      <c r="FCZ777" s="92"/>
      <c r="FDA777" s="210"/>
      <c r="FDG777" s="219"/>
      <c r="FDJ777" s="92"/>
      <c r="FDK777" s="210"/>
      <c r="FDQ777" s="219"/>
      <c r="FDT777" s="92"/>
      <c r="FDU777" s="210"/>
      <c r="FEA777" s="219"/>
      <c r="FED777" s="92"/>
      <c r="FEE777" s="210"/>
      <c r="FEK777" s="219"/>
      <c r="FEN777" s="92"/>
      <c r="FEO777" s="210"/>
      <c r="FEU777" s="219"/>
      <c r="FEX777" s="92"/>
      <c r="FEY777" s="210"/>
      <c r="FFE777" s="219"/>
      <c r="FFH777" s="92"/>
      <c r="FFI777" s="210"/>
      <c r="FFO777" s="219"/>
      <c r="FFR777" s="92"/>
      <c r="FFS777" s="210"/>
      <c r="FFY777" s="219"/>
      <c r="FGB777" s="92"/>
      <c r="FGC777" s="210"/>
      <c r="FGI777" s="219"/>
      <c r="FGL777" s="92"/>
      <c r="FGM777" s="210"/>
      <c r="FGS777" s="219"/>
      <c r="FGV777" s="92"/>
      <c r="FGW777" s="210"/>
      <c r="FHC777" s="219"/>
      <c r="FHF777" s="92"/>
      <c r="FHG777" s="210"/>
      <c r="FHM777" s="219"/>
      <c r="FHP777" s="92"/>
      <c r="FHQ777" s="210"/>
      <c r="FHW777" s="219"/>
      <c r="FHZ777" s="92"/>
      <c r="FIA777" s="210"/>
      <c r="FIG777" s="219"/>
      <c r="FIJ777" s="92"/>
      <c r="FIK777" s="210"/>
      <c r="FIQ777" s="219"/>
      <c r="FIT777" s="92"/>
      <c r="FIU777" s="210"/>
      <c r="FJA777" s="219"/>
      <c r="FJD777" s="92"/>
      <c r="FJE777" s="210"/>
      <c r="FJK777" s="219"/>
      <c r="FJN777" s="92"/>
      <c r="FJO777" s="210"/>
      <c r="FJU777" s="219"/>
      <c r="FJX777" s="92"/>
      <c r="FJY777" s="210"/>
      <c r="FKE777" s="219"/>
      <c r="FKH777" s="92"/>
      <c r="FKI777" s="210"/>
      <c r="FKO777" s="219"/>
      <c r="FKR777" s="92"/>
      <c r="FKS777" s="210"/>
      <c r="FKY777" s="219"/>
      <c r="FLB777" s="92"/>
      <c r="FLC777" s="210"/>
      <c r="FLI777" s="219"/>
      <c r="FLL777" s="92"/>
      <c r="FLM777" s="210"/>
      <c r="FLS777" s="219"/>
      <c r="FLV777" s="92"/>
      <c r="FLW777" s="210"/>
      <c r="FMC777" s="219"/>
      <c r="FMF777" s="92"/>
      <c r="FMG777" s="210"/>
      <c r="FMM777" s="219"/>
      <c r="FMP777" s="92"/>
      <c r="FMQ777" s="210"/>
      <c r="FMW777" s="219"/>
      <c r="FMZ777" s="92"/>
      <c r="FNA777" s="210"/>
      <c r="FNG777" s="219"/>
      <c r="FNJ777" s="92"/>
      <c r="FNK777" s="210"/>
      <c r="FNQ777" s="219"/>
      <c r="FNT777" s="92"/>
      <c r="FNU777" s="210"/>
      <c r="FOA777" s="219"/>
      <c r="FOD777" s="92"/>
      <c r="FOE777" s="210"/>
      <c r="FOK777" s="219"/>
      <c r="FON777" s="92"/>
      <c r="FOO777" s="210"/>
      <c r="FOU777" s="219"/>
      <c r="FOX777" s="92"/>
      <c r="FOY777" s="210"/>
      <c r="FPE777" s="219"/>
      <c r="FPH777" s="92"/>
      <c r="FPI777" s="210"/>
      <c r="FPO777" s="219"/>
      <c r="FPR777" s="92"/>
      <c r="FPS777" s="210"/>
      <c r="FPY777" s="219"/>
      <c r="FQB777" s="92"/>
      <c r="FQC777" s="210"/>
      <c r="FQI777" s="219"/>
      <c r="FQL777" s="92"/>
      <c r="FQM777" s="210"/>
      <c r="FQS777" s="219"/>
      <c r="FQV777" s="92"/>
      <c r="FQW777" s="210"/>
      <c r="FRC777" s="219"/>
      <c r="FRF777" s="92"/>
      <c r="FRG777" s="210"/>
      <c r="FRM777" s="219"/>
      <c r="FRP777" s="92"/>
      <c r="FRQ777" s="210"/>
      <c r="FRW777" s="219"/>
      <c r="FRZ777" s="92"/>
      <c r="FSA777" s="210"/>
      <c r="FSG777" s="219"/>
      <c r="FSJ777" s="92"/>
      <c r="FSK777" s="210"/>
      <c r="FSQ777" s="219"/>
      <c r="FST777" s="92"/>
      <c r="FSU777" s="210"/>
      <c r="FTA777" s="219"/>
      <c r="FTD777" s="92"/>
      <c r="FTE777" s="210"/>
      <c r="FTK777" s="219"/>
      <c r="FTN777" s="92"/>
      <c r="FTO777" s="210"/>
      <c r="FTU777" s="219"/>
      <c r="FTX777" s="92"/>
      <c r="FTY777" s="210"/>
      <c r="FUE777" s="219"/>
      <c r="FUH777" s="92"/>
      <c r="FUI777" s="210"/>
      <c r="FUO777" s="219"/>
      <c r="FUR777" s="92"/>
      <c r="FUS777" s="210"/>
      <c r="FUY777" s="219"/>
      <c r="FVB777" s="92"/>
      <c r="FVC777" s="210"/>
      <c r="FVI777" s="219"/>
      <c r="FVL777" s="92"/>
      <c r="FVM777" s="210"/>
      <c r="FVS777" s="219"/>
      <c r="FVV777" s="92"/>
      <c r="FVW777" s="210"/>
      <c r="FWC777" s="219"/>
      <c r="FWF777" s="92"/>
      <c r="FWG777" s="210"/>
      <c r="FWM777" s="219"/>
      <c r="FWP777" s="92"/>
      <c r="FWQ777" s="210"/>
      <c r="FWW777" s="219"/>
      <c r="FWZ777" s="92"/>
      <c r="FXA777" s="210"/>
      <c r="FXG777" s="219"/>
      <c r="FXJ777" s="92"/>
      <c r="FXK777" s="210"/>
      <c r="FXQ777" s="219"/>
      <c r="FXT777" s="92"/>
      <c r="FXU777" s="210"/>
      <c r="FYA777" s="219"/>
      <c r="FYD777" s="92"/>
      <c r="FYE777" s="210"/>
      <c r="FYK777" s="219"/>
      <c r="FYN777" s="92"/>
      <c r="FYO777" s="210"/>
      <c r="FYU777" s="219"/>
      <c r="FYX777" s="92"/>
      <c r="FYY777" s="210"/>
      <c r="FZE777" s="219"/>
      <c r="FZH777" s="92"/>
      <c r="FZI777" s="210"/>
      <c r="FZO777" s="219"/>
      <c r="FZR777" s="92"/>
      <c r="FZS777" s="210"/>
      <c r="FZY777" s="219"/>
      <c r="GAB777" s="92"/>
      <c r="GAC777" s="210"/>
      <c r="GAI777" s="219"/>
      <c r="GAL777" s="92"/>
      <c r="GAM777" s="210"/>
      <c r="GAS777" s="219"/>
      <c r="GAV777" s="92"/>
      <c r="GAW777" s="210"/>
      <c r="GBC777" s="219"/>
      <c r="GBF777" s="92"/>
      <c r="GBG777" s="210"/>
      <c r="GBM777" s="219"/>
      <c r="GBP777" s="92"/>
      <c r="GBQ777" s="210"/>
      <c r="GBW777" s="219"/>
      <c r="GBZ777" s="92"/>
      <c r="GCA777" s="210"/>
      <c r="GCG777" s="219"/>
      <c r="GCJ777" s="92"/>
      <c r="GCK777" s="210"/>
      <c r="GCQ777" s="219"/>
      <c r="GCT777" s="92"/>
      <c r="GCU777" s="210"/>
      <c r="GDA777" s="219"/>
      <c r="GDD777" s="92"/>
      <c r="GDE777" s="210"/>
      <c r="GDK777" s="219"/>
      <c r="GDN777" s="92"/>
      <c r="GDO777" s="210"/>
      <c r="GDU777" s="219"/>
      <c r="GDX777" s="92"/>
      <c r="GDY777" s="210"/>
      <c r="GEE777" s="219"/>
      <c r="GEH777" s="92"/>
      <c r="GEI777" s="210"/>
      <c r="GEO777" s="219"/>
      <c r="GER777" s="92"/>
      <c r="GES777" s="210"/>
      <c r="GEY777" s="219"/>
      <c r="GFB777" s="92"/>
      <c r="GFC777" s="210"/>
      <c r="GFI777" s="219"/>
      <c r="GFL777" s="92"/>
      <c r="GFM777" s="210"/>
      <c r="GFS777" s="219"/>
      <c r="GFV777" s="92"/>
      <c r="GFW777" s="210"/>
      <c r="GGC777" s="219"/>
      <c r="GGF777" s="92"/>
      <c r="GGG777" s="210"/>
      <c r="GGM777" s="219"/>
      <c r="GGP777" s="92"/>
      <c r="GGQ777" s="210"/>
      <c r="GGW777" s="219"/>
      <c r="GGZ777" s="92"/>
      <c r="GHA777" s="210"/>
      <c r="GHG777" s="219"/>
      <c r="GHJ777" s="92"/>
      <c r="GHK777" s="210"/>
      <c r="GHQ777" s="219"/>
      <c r="GHT777" s="92"/>
      <c r="GHU777" s="210"/>
      <c r="GIA777" s="219"/>
      <c r="GID777" s="92"/>
      <c r="GIE777" s="210"/>
      <c r="GIK777" s="219"/>
      <c r="GIN777" s="92"/>
      <c r="GIO777" s="210"/>
      <c r="GIU777" s="219"/>
      <c r="GIX777" s="92"/>
      <c r="GIY777" s="210"/>
      <c r="GJE777" s="219"/>
      <c r="GJH777" s="92"/>
      <c r="GJI777" s="210"/>
      <c r="GJO777" s="219"/>
      <c r="GJR777" s="92"/>
      <c r="GJS777" s="210"/>
      <c r="GJY777" s="219"/>
      <c r="GKB777" s="92"/>
      <c r="GKC777" s="210"/>
      <c r="GKI777" s="219"/>
      <c r="GKL777" s="92"/>
      <c r="GKM777" s="210"/>
      <c r="GKS777" s="219"/>
      <c r="GKV777" s="92"/>
      <c r="GKW777" s="210"/>
      <c r="GLC777" s="219"/>
      <c r="GLF777" s="92"/>
      <c r="GLG777" s="210"/>
      <c r="GLM777" s="219"/>
      <c r="GLP777" s="92"/>
      <c r="GLQ777" s="210"/>
      <c r="GLW777" s="219"/>
      <c r="GLZ777" s="92"/>
      <c r="GMA777" s="210"/>
      <c r="GMG777" s="219"/>
      <c r="GMJ777" s="92"/>
      <c r="GMK777" s="210"/>
      <c r="GMQ777" s="219"/>
      <c r="GMT777" s="92"/>
      <c r="GMU777" s="210"/>
      <c r="GNA777" s="219"/>
      <c r="GND777" s="92"/>
      <c r="GNE777" s="210"/>
      <c r="GNK777" s="219"/>
      <c r="GNN777" s="92"/>
      <c r="GNO777" s="210"/>
      <c r="GNU777" s="219"/>
      <c r="GNX777" s="92"/>
      <c r="GNY777" s="210"/>
      <c r="GOE777" s="219"/>
      <c r="GOH777" s="92"/>
      <c r="GOI777" s="210"/>
      <c r="GOO777" s="219"/>
      <c r="GOR777" s="92"/>
      <c r="GOS777" s="210"/>
      <c r="GOY777" s="219"/>
      <c r="GPB777" s="92"/>
      <c r="GPC777" s="210"/>
      <c r="GPI777" s="219"/>
      <c r="GPL777" s="92"/>
      <c r="GPM777" s="210"/>
      <c r="GPS777" s="219"/>
      <c r="GPV777" s="92"/>
      <c r="GPW777" s="210"/>
      <c r="GQC777" s="219"/>
      <c r="GQF777" s="92"/>
      <c r="GQG777" s="210"/>
      <c r="GQM777" s="219"/>
      <c r="GQP777" s="92"/>
      <c r="GQQ777" s="210"/>
      <c r="GQW777" s="219"/>
      <c r="GQZ777" s="92"/>
      <c r="GRA777" s="210"/>
      <c r="GRG777" s="219"/>
      <c r="GRJ777" s="92"/>
      <c r="GRK777" s="210"/>
      <c r="GRQ777" s="219"/>
      <c r="GRT777" s="92"/>
      <c r="GRU777" s="210"/>
      <c r="GSA777" s="219"/>
      <c r="GSD777" s="92"/>
      <c r="GSE777" s="210"/>
      <c r="GSK777" s="219"/>
      <c r="GSN777" s="92"/>
      <c r="GSO777" s="210"/>
      <c r="GSU777" s="219"/>
      <c r="GSX777" s="92"/>
      <c r="GSY777" s="210"/>
      <c r="GTE777" s="219"/>
      <c r="GTH777" s="92"/>
      <c r="GTI777" s="210"/>
      <c r="GTO777" s="219"/>
      <c r="GTR777" s="92"/>
      <c r="GTS777" s="210"/>
      <c r="GTY777" s="219"/>
      <c r="GUB777" s="92"/>
      <c r="GUC777" s="210"/>
      <c r="GUI777" s="219"/>
      <c r="GUL777" s="92"/>
      <c r="GUM777" s="210"/>
      <c r="GUS777" s="219"/>
      <c r="GUV777" s="92"/>
      <c r="GUW777" s="210"/>
      <c r="GVC777" s="219"/>
      <c r="GVF777" s="92"/>
      <c r="GVG777" s="210"/>
      <c r="GVM777" s="219"/>
      <c r="GVP777" s="92"/>
      <c r="GVQ777" s="210"/>
      <c r="GVW777" s="219"/>
      <c r="GVZ777" s="92"/>
      <c r="GWA777" s="210"/>
      <c r="GWG777" s="219"/>
      <c r="GWJ777" s="92"/>
      <c r="GWK777" s="210"/>
      <c r="GWQ777" s="219"/>
      <c r="GWT777" s="92"/>
      <c r="GWU777" s="210"/>
      <c r="GXA777" s="219"/>
      <c r="GXD777" s="92"/>
      <c r="GXE777" s="210"/>
      <c r="GXK777" s="219"/>
      <c r="GXN777" s="92"/>
      <c r="GXO777" s="210"/>
      <c r="GXU777" s="219"/>
      <c r="GXX777" s="92"/>
      <c r="GXY777" s="210"/>
      <c r="GYE777" s="219"/>
      <c r="GYH777" s="92"/>
      <c r="GYI777" s="210"/>
      <c r="GYO777" s="219"/>
      <c r="GYR777" s="92"/>
      <c r="GYS777" s="210"/>
      <c r="GYY777" s="219"/>
      <c r="GZB777" s="92"/>
      <c r="GZC777" s="210"/>
      <c r="GZI777" s="219"/>
      <c r="GZL777" s="92"/>
      <c r="GZM777" s="210"/>
      <c r="GZS777" s="219"/>
      <c r="GZV777" s="92"/>
      <c r="GZW777" s="210"/>
      <c r="HAC777" s="219"/>
      <c r="HAF777" s="92"/>
      <c r="HAG777" s="210"/>
      <c r="HAM777" s="219"/>
      <c r="HAP777" s="92"/>
      <c r="HAQ777" s="210"/>
      <c r="HAW777" s="219"/>
      <c r="HAZ777" s="92"/>
      <c r="HBA777" s="210"/>
      <c r="HBG777" s="219"/>
      <c r="HBJ777" s="92"/>
      <c r="HBK777" s="210"/>
      <c r="HBQ777" s="219"/>
      <c r="HBT777" s="92"/>
      <c r="HBU777" s="210"/>
      <c r="HCA777" s="219"/>
      <c r="HCD777" s="92"/>
      <c r="HCE777" s="210"/>
      <c r="HCK777" s="219"/>
      <c r="HCN777" s="92"/>
      <c r="HCO777" s="210"/>
      <c r="HCU777" s="219"/>
      <c r="HCX777" s="92"/>
      <c r="HCY777" s="210"/>
      <c r="HDE777" s="219"/>
      <c r="HDH777" s="92"/>
      <c r="HDI777" s="210"/>
      <c r="HDO777" s="219"/>
      <c r="HDR777" s="92"/>
      <c r="HDS777" s="210"/>
      <c r="HDY777" s="219"/>
      <c r="HEB777" s="92"/>
      <c r="HEC777" s="210"/>
      <c r="HEI777" s="219"/>
      <c r="HEL777" s="92"/>
      <c r="HEM777" s="210"/>
      <c r="HES777" s="219"/>
      <c r="HEV777" s="92"/>
      <c r="HEW777" s="210"/>
      <c r="HFC777" s="219"/>
      <c r="HFF777" s="92"/>
      <c r="HFG777" s="210"/>
      <c r="HFM777" s="219"/>
      <c r="HFP777" s="92"/>
      <c r="HFQ777" s="210"/>
      <c r="HFW777" s="219"/>
      <c r="HFZ777" s="92"/>
      <c r="HGA777" s="210"/>
      <c r="HGG777" s="219"/>
      <c r="HGJ777" s="92"/>
      <c r="HGK777" s="210"/>
      <c r="HGQ777" s="219"/>
      <c r="HGT777" s="92"/>
      <c r="HGU777" s="210"/>
      <c r="HHA777" s="219"/>
      <c r="HHD777" s="92"/>
      <c r="HHE777" s="210"/>
      <c r="HHK777" s="219"/>
      <c r="HHN777" s="92"/>
      <c r="HHO777" s="210"/>
      <c r="HHU777" s="219"/>
      <c r="HHX777" s="92"/>
      <c r="HHY777" s="210"/>
      <c r="HIE777" s="219"/>
      <c r="HIH777" s="92"/>
      <c r="HII777" s="210"/>
      <c r="HIO777" s="219"/>
      <c r="HIR777" s="92"/>
      <c r="HIS777" s="210"/>
      <c r="HIY777" s="219"/>
      <c r="HJB777" s="92"/>
      <c r="HJC777" s="210"/>
      <c r="HJI777" s="219"/>
      <c r="HJL777" s="92"/>
      <c r="HJM777" s="210"/>
      <c r="HJS777" s="219"/>
      <c r="HJV777" s="92"/>
      <c r="HJW777" s="210"/>
      <c r="HKC777" s="219"/>
      <c r="HKF777" s="92"/>
      <c r="HKG777" s="210"/>
      <c r="HKM777" s="219"/>
      <c r="HKP777" s="92"/>
      <c r="HKQ777" s="210"/>
      <c r="HKW777" s="219"/>
      <c r="HKZ777" s="92"/>
      <c r="HLA777" s="210"/>
      <c r="HLG777" s="219"/>
      <c r="HLJ777" s="92"/>
      <c r="HLK777" s="210"/>
      <c r="HLQ777" s="219"/>
      <c r="HLT777" s="92"/>
      <c r="HLU777" s="210"/>
      <c r="HMA777" s="219"/>
      <c r="HMD777" s="92"/>
      <c r="HME777" s="210"/>
      <c r="HMK777" s="219"/>
      <c r="HMN777" s="92"/>
      <c r="HMO777" s="210"/>
      <c r="HMU777" s="219"/>
      <c r="HMX777" s="92"/>
      <c r="HMY777" s="210"/>
      <c r="HNE777" s="219"/>
      <c r="HNH777" s="92"/>
      <c r="HNI777" s="210"/>
      <c r="HNO777" s="219"/>
      <c r="HNR777" s="92"/>
      <c r="HNS777" s="210"/>
      <c r="HNY777" s="219"/>
      <c r="HOB777" s="92"/>
      <c r="HOC777" s="210"/>
      <c r="HOI777" s="219"/>
      <c r="HOL777" s="92"/>
      <c r="HOM777" s="210"/>
      <c r="HOS777" s="219"/>
      <c r="HOV777" s="92"/>
      <c r="HOW777" s="210"/>
      <c r="HPC777" s="219"/>
      <c r="HPF777" s="92"/>
      <c r="HPG777" s="210"/>
      <c r="HPM777" s="219"/>
      <c r="HPP777" s="92"/>
      <c r="HPQ777" s="210"/>
      <c r="HPW777" s="219"/>
      <c r="HPZ777" s="92"/>
      <c r="HQA777" s="210"/>
      <c r="HQG777" s="219"/>
      <c r="HQJ777" s="92"/>
      <c r="HQK777" s="210"/>
      <c r="HQQ777" s="219"/>
      <c r="HQT777" s="92"/>
      <c r="HQU777" s="210"/>
      <c r="HRA777" s="219"/>
      <c r="HRD777" s="92"/>
      <c r="HRE777" s="210"/>
      <c r="HRK777" s="219"/>
      <c r="HRN777" s="92"/>
      <c r="HRO777" s="210"/>
      <c r="HRU777" s="219"/>
      <c r="HRX777" s="92"/>
      <c r="HRY777" s="210"/>
      <c r="HSE777" s="219"/>
      <c r="HSH777" s="92"/>
      <c r="HSI777" s="210"/>
      <c r="HSO777" s="219"/>
      <c r="HSR777" s="92"/>
      <c r="HSS777" s="210"/>
      <c r="HSY777" s="219"/>
      <c r="HTB777" s="92"/>
      <c r="HTC777" s="210"/>
      <c r="HTI777" s="219"/>
      <c r="HTL777" s="92"/>
      <c r="HTM777" s="210"/>
      <c r="HTS777" s="219"/>
      <c r="HTV777" s="92"/>
      <c r="HTW777" s="210"/>
      <c r="HUC777" s="219"/>
      <c r="HUF777" s="92"/>
      <c r="HUG777" s="210"/>
      <c r="HUM777" s="219"/>
      <c r="HUP777" s="92"/>
      <c r="HUQ777" s="210"/>
      <c r="HUW777" s="219"/>
      <c r="HUZ777" s="92"/>
      <c r="HVA777" s="210"/>
      <c r="HVG777" s="219"/>
      <c r="HVJ777" s="92"/>
      <c r="HVK777" s="210"/>
      <c r="HVQ777" s="219"/>
      <c r="HVT777" s="92"/>
      <c r="HVU777" s="210"/>
      <c r="HWA777" s="219"/>
      <c r="HWD777" s="92"/>
      <c r="HWE777" s="210"/>
      <c r="HWK777" s="219"/>
      <c r="HWN777" s="92"/>
      <c r="HWO777" s="210"/>
      <c r="HWU777" s="219"/>
      <c r="HWX777" s="92"/>
      <c r="HWY777" s="210"/>
      <c r="HXE777" s="219"/>
      <c r="HXH777" s="92"/>
      <c r="HXI777" s="210"/>
      <c r="HXO777" s="219"/>
      <c r="HXR777" s="92"/>
      <c r="HXS777" s="210"/>
      <c r="HXY777" s="219"/>
      <c r="HYB777" s="92"/>
      <c r="HYC777" s="210"/>
      <c r="HYI777" s="219"/>
      <c r="HYL777" s="92"/>
      <c r="HYM777" s="210"/>
      <c r="HYS777" s="219"/>
      <c r="HYV777" s="92"/>
      <c r="HYW777" s="210"/>
      <c r="HZC777" s="219"/>
      <c r="HZF777" s="92"/>
      <c r="HZG777" s="210"/>
      <c r="HZM777" s="219"/>
      <c r="HZP777" s="92"/>
      <c r="HZQ777" s="210"/>
      <c r="HZW777" s="219"/>
      <c r="HZZ777" s="92"/>
      <c r="IAA777" s="210"/>
      <c r="IAG777" s="219"/>
      <c r="IAJ777" s="92"/>
      <c r="IAK777" s="210"/>
      <c r="IAQ777" s="219"/>
      <c r="IAT777" s="92"/>
      <c r="IAU777" s="210"/>
      <c r="IBA777" s="219"/>
      <c r="IBD777" s="92"/>
      <c r="IBE777" s="210"/>
      <c r="IBK777" s="219"/>
      <c r="IBN777" s="92"/>
      <c r="IBO777" s="210"/>
      <c r="IBU777" s="219"/>
      <c r="IBX777" s="92"/>
      <c r="IBY777" s="210"/>
      <c r="ICE777" s="219"/>
      <c r="ICH777" s="92"/>
      <c r="ICI777" s="210"/>
      <c r="ICO777" s="219"/>
      <c r="ICR777" s="92"/>
      <c r="ICS777" s="210"/>
      <c r="ICY777" s="219"/>
      <c r="IDB777" s="92"/>
      <c r="IDC777" s="210"/>
      <c r="IDI777" s="219"/>
      <c r="IDL777" s="92"/>
      <c r="IDM777" s="210"/>
      <c r="IDS777" s="219"/>
      <c r="IDV777" s="92"/>
      <c r="IDW777" s="210"/>
      <c r="IEC777" s="219"/>
      <c r="IEF777" s="92"/>
      <c r="IEG777" s="210"/>
      <c r="IEM777" s="219"/>
      <c r="IEP777" s="92"/>
      <c r="IEQ777" s="210"/>
      <c r="IEW777" s="219"/>
      <c r="IEZ777" s="92"/>
      <c r="IFA777" s="210"/>
      <c r="IFG777" s="219"/>
      <c r="IFJ777" s="92"/>
      <c r="IFK777" s="210"/>
      <c r="IFQ777" s="219"/>
      <c r="IFT777" s="92"/>
      <c r="IFU777" s="210"/>
      <c r="IGA777" s="219"/>
      <c r="IGD777" s="92"/>
      <c r="IGE777" s="210"/>
      <c r="IGK777" s="219"/>
      <c r="IGN777" s="92"/>
      <c r="IGO777" s="210"/>
      <c r="IGU777" s="219"/>
      <c r="IGX777" s="92"/>
      <c r="IGY777" s="210"/>
      <c r="IHE777" s="219"/>
      <c r="IHH777" s="92"/>
      <c r="IHI777" s="210"/>
      <c r="IHO777" s="219"/>
      <c r="IHR777" s="92"/>
      <c r="IHS777" s="210"/>
      <c r="IHY777" s="219"/>
      <c r="IIB777" s="92"/>
      <c r="IIC777" s="210"/>
      <c r="III777" s="219"/>
      <c r="IIL777" s="92"/>
      <c r="IIM777" s="210"/>
      <c r="IIS777" s="219"/>
      <c r="IIV777" s="92"/>
      <c r="IIW777" s="210"/>
      <c r="IJC777" s="219"/>
      <c r="IJF777" s="92"/>
      <c r="IJG777" s="210"/>
      <c r="IJM777" s="219"/>
      <c r="IJP777" s="92"/>
      <c r="IJQ777" s="210"/>
      <c r="IJW777" s="219"/>
      <c r="IJZ777" s="92"/>
      <c r="IKA777" s="210"/>
      <c r="IKG777" s="219"/>
      <c r="IKJ777" s="92"/>
      <c r="IKK777" s="210"/>
      <c r="IKQ777" s="219"/>
      <c r="IKT777" s="92"/>
      <c r="IKU777" s="210"/>
      <c r="ILA777" s="219"/>
      <c r="ILD777" s="92"/>
      <c r="ILE777" s="210"/>
      <c r="ILK777" s="219"/>
      <c r="ILN777" s="92"/>
      <c r="ILO777" s="210"/>
      <c r="ILU777" s="219"/>
      <c r="ILX777" s="92"/>
      <c r="ILY777" s="210"/>
      <c r="IME777" s="219"/>
      <c r="IMH777" s="92"/>
      <c r="IMI777" s="210"/>
      <c r="IMO777" s="219"/>
      <c r="IMR777" s="92"/>
      <c r="IMS777" s="210"/>
      <c r="IMY777" s="219"/>
      <c r="INB777" s="92"/>
      <c r="INC777" s="210"/>
      <c r="INI777" s="219"/>
      <c r="INL777" s="92"/>
      <c r="INM777" s="210"/>
      <c r="INS777" s="219"/>
      <c r="INV777" s="92"/>
      <c r="INW777" s="210"/>
      <c r="IOC777" s="219"/>
      <c r="IOF777" s="92"/>
      <c r="IOG777" s="210"/>
      <c r="IOM777" s="219"/>
      <c r="IOP777" s="92"/>
      <c r="IOQ777" s="210"/>
      <c r="IOW777" s="219"/>
      <c r="IOZ777" s="92"/>
      <c r="IPA777" s="210"/>
      <c r="IPG777" s="219"/>
      <c r="IPJ777" s="92"/>
      <c r="IPK777" s="210"/>
      <c r="IPQ777" s="219"/>
      <c r="IPT777" s="92"/>
      <c r="IPU777" s="210"/>
      <c r="IQA777" s="219"/>
      <c r="IQD777" s="92"/>
      <c r="IQE777" s="210"/>
      <c r="IQK777" s="219"/>
      <c r="IQN777" s="92"/>
      <c r="IQO777" s="210"/>
      <c r="IQU777" s="219"/>
      <c r="IQX777" s="92"/>
      <c r="IQY777" s="210"/>
      <c r="IRE777" s="219"/>
      <c r="IRH777" s="92"/>
      <c r="IRI777" s="210"/>
      <c r="IRO777" s="219"/>
      <c r="IRR777" s="92"/>
      <c r="IRS777" s="210"/>
      <c r="IRY777" s="219"/>
      <c r="ISB777" s="92"/>
      <c r="ISC777" s="210"/>
      <c r="ISI777" s="219"/>
      <c r="ISL777" s="92"/>
      <c r="ISM777" s="210"/>
      <c r="ISS777" s="219"/>
      <c r="ISV777" s="92"/>
      <c r="ISW777" s="210"/>
      <c r="ITC777" s="219"/>
      <c r="ITF777" s="92"/>
      <c r="ITG777" s="210"/>
      <c r="ITM777" s="219"/>
      <c r="ITP777" s="92"/>
      <c r="ITQ777" s="210"/>
      <c r="ITW777" s="219"/>
      <c r="ITZ777" s="92"/>
      <c r="IUA777" s="210"/>
      <c r="IUG777" s="219"/>
      <c r="IUJ777" s="92"/>
      <c r="IUK777" s="210"/>
      <c r="IUQ777" s="219"/>
      <c r="IUT777" s="92"/>
      <c r="IUU777" s="210"/>
      <c r="IVA777" s="219"/>
      <c r="IVD777" s="92"/>
      <c r="IVE777" s="210"/>
      <c r="IVK777" s="219"/>
      <c r="IVN777" s="92"/>
      <c r="IVO777" s="210"/>
      <c r="IVU777" s="219"/>
      <c r="IVX777" s="92"/>
      <c r="IVY777" s="210"/>
      <c r="IWE777" s="219"/>
      <c r="IWH777" s="92"/>
      <c r="IWI777" s="210"/>
      <c r="IWO777" s="219"/>
      <c r="IWR777" s="92"/>
      <c r="IWS777" s="210"/>
      <c r="IWY777" s="219"/>
      <c r="IXB777" s="92"/>
      <c r="IXC777" s="210"/>
      <c r="IXI777" s="219"/>
      <c r="IXL777" s="92"/>
      <c r="IXM777" s="210"/>
      <c r="IXS777" s="219"/>
      <c r="IXV777" s="92"/>
      <c r="IXW777" s="210"/>
      <c r="IYC777" s="219"/>
      <c r="IYF777" s="92"/>
      <c r="IYG777" s="210"/>
      <c r="IYM777" s="219"/>
      <c r="IYP777" s="92"/>
      <c r="IYQ777" s="210"/>
      <c r="IYW777" s="219"/>
      <c r="IYZ777" s="92"/>
      <c r="IZA777" s="210"/>
      <c r="IZG777" s="219"/>
      <c r="IZJ777" s="92"/>
      <c r="IZK777" s="210"/>
      <c r="IZQ777" s="219"/>
      <c r="IZT777" s="92"/>
      <c r="IZU777" s="210"/>
      <c r="JAA777" s="219"/>
      <c r="JAD777" s="92"/>
      <c r="JAE777" s="210"/>
      <c r="JAK777" s="219"/>
      <c r="JAN777" s="92"/>
      <c r="JAO777" s="210"/>
      <c r="JAU777" s="219"/>
      <c r="JAX777" s="92"/>
      <c r="JAY777" s="210"/>
      <c r="JBE777" s="219"/>
      <c r="JBH777" s="92"/>
      <c r="JBI777" s="210"/>
      <c r="JBO777" s="219"/>
      <c r="JBR777" s="92"/>
      <c r="JBS777" s="210"/>
      <c r="JBY777" s="219"/>
      <c r="JCB777" s="92"/>
      <c r="JCC777" s="210"/>
      <c r="JCI777" s="219"/>
      <c r="JCL777" s="92"/>
      <c r="JCM777" s="210"/>
      <c r="JCS777" s="219"/>
      <c r="JCV777" s="92"/>
      <c r="JCW777" s="210"/>
      <c r="JDC777" s="219"/>
      <c r="JDF777" s="92"/>
      <c r="JDG777" s="210"/>
      <c r="JDM777" s="219"/>
      <c r="JDP777" s="92"/>
      <c r="JDQ777" s="210"/>
      <c r="JDW777" s="219"/>
      <c r="JDZ777" s="92"/>
      <c r="JEA777" s="210"/>
      <c r="JEG777" s="219"/>
      <c r="JEJ777" s="92"/>
      <c r="JEK777" s="210"/>
      <c r="JEQ777" s="219"/>
      <c r="JET777" s="92"/>
      <c r="JEU777" s="210"/>
      <c r="JFA777" s="219"/>
      <c r="JFD777" s="92"/>
      <c r="JFE777" s="210"/>
      <c r="JFK777" s="219"/>
      <c r="JFN777" s="92"/>
      <c r="JFO777" s="210"/>
      <c r="JFU777" s="219"/>
      <c r="JFX777" s="92"/>
      <c r="JFY777" s="210"/>
      <c r="JGE777" s="219"/>
      <c r="JGH777" s="92"/>
      <c r="JGI777" s="210"/>
      <c r="JGO777" s="219"/>
      <c r="JGR777" s="92"/>
      <c r="JGS777" s="210"/>
      <c r="JGY777" s="219"/>
      <c r="JHB777" s="92"/>
      <c r="JHC777" s="210"/>
      <c r="JHI777" s="219"/>
      <c r="JHL777" s="92"/>
      <c r="JHM777" s="210"/>
      <c r="JHS777" s="219"/>
      <c r="JHV777" s="92"/>
      <c r="JHW777" s="210"/>
      <c r="JIC777" s="219"/>
      <c r="JIF777" s="92"/>
      <c r="JIG777" s="210"/>
      <c r="JIM777" s="219"/>
      <c r="JIP777" s="92"/>
      <c r="JIQ777" s="210"/>
      <c r="JIW777" s="219"/>
      <c r="JIZ777" s="92"/>
      <c r="JJA777" s="210"/>
      <c r="JJG777" s="219"/>
      <c r="JJJ777" s="92"/>
      <c r="JJK777" s="210"/>
      <c r="JJQ777" s="219"/>
      <c r="JJT777" s="92"/>
      <c r="JJU777" s="210"/>
      <c r="JKA777" s="219"/>
      <c r="JKD777" s="92"/>
      <c r="JKE777" s="210"/>
      <c r="JKK777" s="219"/>
      <c r="JKN777" s="92"/>
      <c r="JKO777" s="210"/>
      <c r="JKU777" s="219"/>
      <c r="JKX777" s="92"/>
      <c r="JKY777" s="210"/>
      <c r="JLE777" s="219"/>
      <c r="JLH777" s="92"/>
      <c r="JLI777" s="210"/>
      <c r="JLO777" s="219"/>
      <c r="JLR777" s="92"/>
      <c r="JLS777" s="210"/>
      <c r="JLY777" s="219"/>
      <c r="JMB777" s="92"/>
      <c r="JMC777" s="210"/>
      <c r="JMI777" s="219"/>
      <c r="JML777" s="92"/>
      <c r="JMM777" s="210"/>
      <c r="JMS777" s="219"/>
      <c r="JMV777" s="92"/>
      <c r="JMW777" s="210"/>
      <c r="JNC777" s="219"/>
      <c r="JNF777" s="92"/>
      <c r="JNG777" s="210"/>
      <c r="JNM777" s="219"/>
      <c r="JNP777" s="92"/>
      <c r="JNQ777" s="210"/>
      <c r="JNW777" s="219"/>
      <c r="JNZ777" s="92"/>
      <c r="JOA777" s="210"/>
      <c r="JOG777" s="219"/>
      <c r="JOJ777" s="92"/>
      <c r="JOK777" s="210"/>
      <c r="JOQ777" s="219"/>
      <c r="JOT777" s="92"/>
      <c r="JOU777" s="210"/>
      <c r="JPA777" s="219"/>
      <c r="JPD777" s="92"/>
      <c r="JPE777" s="210"/>
      <c r="JPK777" s="219"/>
      <c r="JPN777" s="92"/>
      <c r="JPO777" s="210"/>
      <c r="JPU777" s="219"/>
      <c r="JPX777" s="92"/>
      <c r="JPY777" s="210"/>
      <c r="JQE777" s="219"/>
      <c r="JQH777" s="92"/>
      <c r="JQI777" s="210"/>
      <c r="JQO777" s="219"/>
      <c r="JQR777" s="92"/>
      <c r="JQS777" s="210"/>
      <c r="JQY777" s="219"/>
      <c r="JRB777" s="92"/>
      <c r="JRC777" s="210"/>
      <c r="JRI777" s="219"/>
      <c r="JRL777" s="92"/>
      <c r="JRM777" s="210"/>
      <c r="JRS777" s="219"/>
      <c r="JRV777" s="92"/>
      <c r="JRW777" s="210"/>
      <c r="JSC777" s="219"/>
      <c r="JSF777" s="92"/>
      <c r="JSG777" s="210"/>
      <c r="JSM777" s="219"/>
      <c r="JSP777" s="92"/>
      <c r="JSQ777" s="210"/>
      <c r="JSW777" s="219"/>
      <c r="JSZ777" s="92"/>
      <c r="JTA777" s="210"/>
      <c r="JTG777" s="219"/>
      <c r="JTJ777" s="92"/>
      <c r="JTK777" s="210"/>
      <c r="JTQ777" s="219"/>
      <c r="JTT777" s="92"/>
      <c r="JTU777" s="210"/>
      <c r="JUA777" s="219"/>
      <c r="JUD777" s="92"/>
      <c r="JUE777" s="210"/>
      <c r="JUK777" s="219"/>
      <c r="JUN777" s="92"/>
      <c r="JUO777" s="210"/>
      <c r="JUU777" s="219"/>
      <c r="JUX777" s="92"/>
      <c r="JUY777" s="210"/>
      <c r="JVE777" s="219"/>
      <c r="JVH777" s="92"/>
      <c r="JVI777" s="210"/>
      <c r="JVO777" s="219"/>
      <c r="JVR777" s="92"/>
      <c r="JVS777" s="210"/>
      <c r="JVY777" s="219"/>
      <c r="JWB777" s="92"/>
      <c r="JWC777" s="210"/>
      <c r="JWI777" s="219"/>
      <c r="JWL777" s="92"/>
      <c r="JWM777" s="210"/>
      <c r="JWS777" s="219"/>
      <c r="JWV777" s="92"/>
      <c r="JWW777" s="210"/>
      <c r="JXC777" s="219"/>
      <c r="JXF777" s="92"/>
      <c r="JXG777" s="210"/>
      <c r="JXM777" s="219"/>
      <c r="JXP777" s="92"/>
      <c r="JXQ777" s="210"/>
      <c r="JXW777" s="219"/>
      <c r="JXZ777" s="92"/>
      <c r="JYA777" s="210"/>
      <c r="JYG777" s="219"/>
      <c r="JYJ777" s="92"/>
      <c r="JYK777" s="210"/>
      <c r="JYQ777" s="219"/>
      <c r="JYT777" s="92"/>
      <c r="JYU777" s="210"/>
      <c r="JZA777" s="219"/>
      <c r="JZD777" s="92"/>
      <c r="JZE777" s="210"/>
      <c r="JZK777" s="219"/>
      <c r="JZN777" s="92"/>
      <c r="JZO777" s="210"/>
      <c r="JZU777" s="219"/>
      <c r="JZX777" s="92"/>
      <c r="JZY777" s="210"/>
      <c r="KAE777" s="219"/>
      <c r="KAH777" s="92"/>
      <c r="KAI777" s="210"/>
      <c r="KAO777" s="219"/>
      <c r="KAR777" s="92"/>
      <c r="KAS777" s="210"/>
      <c r="KAY777" s="219"/>
      <c r="KBB777" s="92"/>
      <c r="KBC777" s="210"/>
      <c r="KBI777" s="219"/>
      <c r="KBL777" s="92"/>
      <c r="KBM777" s="210"/>
      <c r="KBS777" s="219"/>
      <c r="KBV777" s="92"/>
      <c r="KBW777" s="210"/>
      <c r="KCC777" s="219"/>
      <c r="KCF777" s="92"/>
      <c r="KCG777" s="210"/>
      <c r="KCM777" s="219"/>
      <c r="KCP777" s="92"/>
      <c r="KCQ777" s="210"/>
      <c r="KCW777" s="219"/>
      <c r="KCZ777" s="92"/>
      <c r="KDA777" s="210"/>
      <c r="KDG777" s="219"/>
      <c r="KDJ777" s="92"/>
      <c r="KDK777" s="210"/>
      <c r="KDQ777" s="219"/>
      <c r="KDT777" s="92"/>
      <c r="KDU777" s="210"/>
      <c r="KEA777" s="219"/>
      <c r="KED777" s="92"/>
      <c r="KEE777" s="210"/>
      <c r="KEK777" s="219"/>
      <c r="KEN777" s="92"/>
      <c r="KEO777" s="210"/>
      <c r="KEU777" s="219"/>
      <c r="KEX777" s="92"/>
      <c r="KEY777" s="210"/>
      <c r="KFE777" s="219"/>
      <c r="KFH777" s="92"/>
      <c r="KFI777" s="210"/>
      <c r="KFO777" s="219"/>
      <c r="KFR777" s="92"/>
      <c r="KFS777" s="210"/>
      <c r="KFY777" s="219"/>
      <c r="KGB777" s="92"/>
      <c r="KGC777" s="210"/>
      <c r="KGI777" s="219"/>
      <c r="KGL777" s="92"/>
      <c r="KGM777" s="210"/>
      <c r="KGS777" s="219"/>
      <c r="KGV777" s="92"/>
      <c r="KGW777" s="210"/>
      <c r="KHC777" s="219"/>
      <c r="KHF777" s="92"/>
      <c r="KHG777" s="210"/>
      <c r="KHM777" s="219"/>
      <c r="KHP777" s="92"/>
      <c r="KHQ777" s="210"/>
      <c r="KHW777" s="219"/>
      <c r="KHZ777" s="92"/>
      <c r="KIA777" s="210"/>
      <c r="KIG777" s="219"/>
      <c r="KIJ777" s="92"/>
      <c r="KIK777" s="210"/>
      <c r="KIQ777" s="219"/>
      <c r="KIT777" s="92"/>
      <c r="KIU777" s="210"/>
      <c r="KJA777" s="219"/>
      <c r="KJD777" s="92"/>
      <c r="KJE777" s="210"/>
      <c r="KJK777" s="219"/>
      <c r="KJN777" s="92"/>
      <c r="KJO777" s="210"/>
      <c r="KJU777" s="219"/>
      <c r="KJX777" s="92"/>
      <c r="KJY777" s="210"/>
      <c r="KKE777" s="219"/>
      <c r="KKH777" s="92"/>
      <c r="KKI777" s="210"/>
      <c r="KKO777" s="219"/>
      <c r="KKR777" s="92"/>
      <c r="KKS777" s="210"/>
      <c r="KKY777" s="219"/>
      <c r="KLB777" s="92"/>
      <c r="KLC777" s="210"/>
      <c r="KLI777" s="219"/>
      <c r="KLL777" s="92"/>
      <c r="KLM777" s="210"/>
      <c r="KLS777" s="219"/>
      <c r="KLV777" s="92"/>
      <c r="KLW777" s="210"/>
      <c r="KMC777" s="219"/>
      <c r="KMF777" s="92"/>
      <c r="KMG777" s="210"/>
      <c r="KMM777" s="219"/>
      <c r="KMP777" s="92"/>
      <c r="KMQ777" s="210"/>
      <c r="KMW777" s="219"/>
      <c r="KMZ777" s="92"/>
      <c r="KNA777" s="210"/>
      <c r="KNG777" s="219"/>
      <c r="KNJ777" s="92"/>
      <c r="KNK777" s="210"/>
      <c r="KNQ777" s="219"/>
      <c r="KNT777" s="92"/>
      <c r="KNU777" s="210"/>
      <c r="KOA777" s="219"/>
      <c r="KOD777" s="92"/>
      <c r="KOE777" s="210"/>
      <c r="KOK777" s="219"/>
      <c r="KON777" s="92"/>
      <c r="KOO777" s="210"/>
      <c r="KOU777" s="219"/>
      <c r="KOX777" s="92"/>
      <c r="KOY777" s="210"/>
      <c r="KPE777" s="219"/>
      <c r="KPH777" s="92"/>
      <c r="KPI777" s="210"/>
      <c r="KPO777" s="219"/>
      <c r="KPR777" s="92"/>
      <c r="KPS777" s="210"/>
      <c r="KPY777" s="219"/>
      <c r="KQB777" s="92"/>
      <c r="KQC777" s="210"/>
      <c r="KQI777" s="219"/>
      <c r="KQL777" s="92"/>
      <c r="KQM777" s="210"/>
      <c r="KQS777" s="219"/>
      <c r="KQV777" s="92"/>
      <c r="KQW777" s="210"/>
      <c r="KRC777" s="219"/>
      <c r="KRF777" s="92"/>
      <c r="KRG777" s="210"/>
      <c r="KRM777" s="219"/>
      <c r="KRP777" s="92"/>
      <c r="KRQ777" s="210"/>
      <c r="KRW777" s="219"/>
      <c r="KRZ777" s="92"/>
      <c r="KSA777" s="210"/>
      <c r="KSG777" s="219"/>
      <c r="KSJ777" s="92"/>
      <c r="KSK777" s="210"/>
      <c r="KSQ777" s="219"/>
      <c r="KST777" s="92"/>
      <c r="KSU777" s="210"/>
      <c r="KTA777" s="219"/>
      <c r="KTD777" s="92"/>
      <c r="KTE777" s="210"/>
      <c r="KTK777" s="219"/>
      <c r="KTN777" s="92"/>
      <c r="KTO777" s="210"/>
      <c r="KTU777" s="219"/>
      <c r="KTX777" s="92"/>
      <c r="KTY777" s="210"/>
      <c r="KUE777" s="219"/>
      <c r="KUH777" s="92"/>
      <c r="KUI777" s="210"/>
      <c r="KUO777" s="219"/>
      <c r="KUR777" s="92"/>
      <c r="KUS777" s="210"/>
      <c r="KUY777" s="219"/>
      <c r="KVB777" s="92"/>
      <c r="KVC777" s="210"/>
      <c r="KVI777" s="219"/>
      <c r="KVL777" s="92"/>
      <c r="KVM777" s="210"/>
      <c r="KVS777" s="219"/>
      <c r="KVV777" s="92"/>
      <c r="KVW777" s="210"/>
      <c r="KWC777" s="219"/>
      <c r="KWF777" s="92"/>
      <c r="KWG777" s="210"/>
      <c r="KWM777" s="219"/>
      <c r="KWP777" s="92"/>
      <c r="KWQ777" s="210"/>
      <c r="KWW777" s="219"/>
      <c r="KWZ777" s="92"/>
      <c r="KXA777" s="210"/>
      <c r="KXG777" s="219"/>
      <c r="KXJ777" s="92"/>
      <c r="KXK777" s="210"/>
      <c r="KXQ777" s="219"/>
      <c r="KXT777" s="92"/>
      <c r="KXU777" s="210"/>
      <c r="KYA777" s="219"/>
      <c r="KYD777" s="92"/>
      <c r="KYE777" s="210"/>
      <c r="KYK777" s="219"/>
      <c r="KYN777" s="92"/>
      <c r="KYO777" s="210"/>
      <c r="KYU777" s="219"/>
      <c r="KYX777" s="92"/>
      <c r="KYY777" s="210"/>
      <c r="KZE777" s="219"/>
      <c r="KZH777" s="92"/>
      <c r="KZI777" s="210"/>
      <c r="KZO777" s="219"/>
      <c r="KZR777" s="92"/>
      <c r="KZS777" s="210"/>
      <c r="KZY777" s="219"/>
      <c r="LAB777" s="92"/>
      <c r="LAC777" s="210"/>
      <c r="LAI777" s="219"/>
      <c r="LAL777" s="92"/>
      <c r="LAM777" s="210"/>
      <c r="LAS777" s="219"/>
      <c r="LAV777" s="92"/>
      <c r="LAW777" s="210"/>
      <c r="LBC777" s="219"/>
      <c r="LBF777" s="92"/>
      <c r="LBG777" s="210"/>
      <c r="LBM777" s="219"/>
      <c r="LBP777" s="92"/>
      <c r="LBQ777" s="210"/>
      <c r="LBW777" s="219"/>
      <c r="LBZ777" s="92"/>
      <c r="LCA777" s="210"/>
      <c r="LCG777" s="219"/>
      <c r="LCJ777" s="92"/>
      <c r="LCK777" s="210"/>
      <c r="LCQ777" s="219"/>
      <c r="LCT777" s="92"/>
      <c r="LCU777" s="210"/>
      <c r="LDA777" s="219"/>
      <c r="LDD777" s="92"/>
      <c r="LDE777" s="210"/>
      <c r="LDK777" s="219"/>
      <c r="LDN777" s="92"/>
      <c r="LDO777" s="210"/>
      <c r="LDU777" s="219"/>
      <c r="LDX777" s="92"/>
      <c r="LDY777" s="210"/>
      <c r="LEE777" s="219"/>
      <c r="LEH777" s="92"/>
      <c r="LEI777" s="210"/>
      <c r="LEO777" s="219"/>
      <c r="LER777" s="92"/>
      <c r="LES777" s="210"/>
      <c r="LEY777" s="219"/>
      <c r="LFB777" s="92"/>
      <c r="LFC777" s="210"/>
      <c r="LFI777" s="219"/>
      <c r="LFL777" s="92"/>
      <c r="LFM777" s="210"/>
      <c r="LFS777" s="219"/>
      <c r="LFV777" s="92"/>
      <c r="LFW777" s="210"/>
      <c r="LGC777" s="219"/>
      <c r="LGF777" s="92"/>
      <c r="LGG777" s="210"/>
      <c r="LGM777" s="219"/>
      <c r="LGP777" s="92"/>
      <c r="LGQ777" s="210"/>
      <c r="LGW777" s="219"/>
      <c r="LGZ777" s="92"/>
      <c r="LHA777" s="210"/>
      <c r="LHG777" s="219"/>
      <c r="LHJ777" s="92"/>
      <c r="LHK777" s="210"/>
      <c r="LHQ777" s="219"/>
      <c r="LHT777" s="92"/>
      <c r="LHU777" s="210"/>
      <c r="LIA777" s="219"/>
      <c r="LID777" s="92"/>
      <c r="LIE777" s="210"/>
      <c r="LIK777" s="219"/>
      <c r="LIN777" s="92"/>
      <c r="LIO777" s="210"/>
      <c r="LIU777" s="219"/>
      <c r="LIX777" s="92"/>
      <c r="LIY777" s="210"/>
      <c r="LJE777" s="219"/>
      <c r="LJH777" s="92"/>
      <c r="LJI777" s="210"/>
      <c r="LJO777" s="219"/>
      <c r="LJR777" s="92"/>
      <c r="LJS777" s="210"/>
      <c r="LJY777" s="219"/>
      <c r="LKB777" s="92"/>
      <c r="LKC777" s="210"/>
      <c r="LKI777" s="219"/>
      <c r="LKL777" s="92"/>
      <c r="LKM777" s="210"/>
      <c r="LKS777" s="219"/>
      <c r="LKV777" s="92"/>
      <c r="LKW777" s="210"/>
      <c r="LLC777" s="219"/>
      <c r="LLF777" s="92"/>
      <c r="LLG777" s="210"/>
      <c r="LLM777" s="219"/>
      <c r="LLP777" s="92"/>
      <c r="LLQ777" s="210"/>
      <c r="LLW777" s="219"/>
      <c r="LLZ777" s="92"/>
      <c r="LMA777" s="210"/>
      <c r="LMG777" s="219"/>
      <c r="LMJ777" s="92"/>
      <c r="LMK777" s="210"/>
      <c r="LMQ777" s="219"/>
      <c r="LMT777" s="92"/>
      <c r="LMU777" s="210"/>
      <c r="LNA777" s="219"/>
      <c r="LND777" s="92"/>
      <c r="LNE777" s="210"/>
      <c r="LNK777" s="219"/>
      <c r="LNN777" s="92"/>
      <c r="LNO777" s="210"/>
      <c r="LNU777" s="219"/>
      <c r="LNX777" s="92"/>
      <c r="LNY777" s="210"/>
      <c r="LOE777" s="219"/>
      <c r="LOH777" s="92"/>
      <c r="LOI777" s="210"/>
      <c r="LOO777" s="219"/>
      <c r="LOR777" s="92"/>
      <c r="LOS777" s="210"/>
      <c r="LOY777" s="219"/>
      <c r="LPB777" s="92"/>
      <c r="LPC777" s="210"/>
      <c r="LPI777" s="219"/>
      <c r="LPL777" s="92"/>
      <c r="LPM777" s="210"/>
      <c r="LPS777" s="219"/>
      <c r="LPV777" s="92"/>
      <c r="LPW777" s="210"/>
      <c r="LQC777" s="219"/>
      <c r="LQF777" s="92"/>
      <c r="LQG777" s="210"/>
      <c r="LQM777" s="219"/>
      <c r="LQP777" s="92"/>
      <c r="LQQ777" s="210"/>
      <c r="LQW777" s="219"/>
      <c r="LQZ777" s="92"/>
      <c r="LRA777" s="210"/>
      <c r="LRG777" s="219"/>
      <c r="LRJ777" s="92"/>
      <c r="LRK777" s="210"/>
      <c r="LRQ777" s="219"/>
      <c r="LRT777" s="92"/>
      <c r="LRU777" s="210"/>
      <c r="LSA777" s="219"/>
      <c r="LSD777" s="92"/>
      <c r="LSE777" s="210"/>
      <c r="LSK777" s="219"/>
      <c r="LSN777" s="92"/>
      <c r="LSO777" s="210"/>
      <c r="LSU777" s="219"/>
      <c r="LSX777" s="92"/>
      <c r="LSY777" s="210"/>
      <c r="LTE777" s="219"/>
      <c r="LTH777" s="92"/>
      <c r="LTI777" s="210"/>
      <c r="LTO777" s="219"/>
      <c r="LTR777" s="92"/>
      <c r="LTS777" s="210"/>
      <c r="LTY777" s="219"/>
      <c r="LUB777" s="92"/>
      <c r="LUC777" s="210"/>
      <c r="LUI777" s="219"/>
      <c r="LUL777" s="92"/>
      <c r="LUM777" s="210"/>
      <c r="LUS777" s="219"/>
      <c r="LUV777" s="92"/>
      <c r="LUW777" s="210"/>
      <c r="LVC777" s="219"/>
      <c r="LVF777" s="92"/>
      <c r="LVG777" s="210"/>
      <c r="LVM777" s="219"/>
      <c r="LVP777" s="92"/>
      <c r="LVQ777" s="210"/>
      <c r="LVW777" s="219"/>
      <c r="LVZ777" s="92"/>
      <c r="LWA777" s="210"/>
      <c r="LWG777" s="219"/>
      <c r="LWJ777" s="92"/>
      <c r="LWK777" s="210"/>
      <c r="LWQ777" s="219"/>
      <c r="LWT777" s="92"/>
      <c r="LWU777" s="210"/>
      <c r="LXA777" s="219"/>
      <c r="LXD777" s="92"/>
      <c r="LXE777" s="210"/>
      <c r="LXK777" s="219"/>
      <c r="LXN777" s="92"/>
      <c r="LXO777" s="210"/>
      <c r="LXU777" s="219"/>
      <c r="LXX777" s="92"/>
      <c r="LXY777" s="210"/>
      <c r="LYE777" s="219"/>
      <c r="LYH777" s="92"/>
      <c r="LYI777" s="210"/>
      <c r="LYO777" s="219"/>
      <c r="LYR777" s="92"/>
      <c r="LYS777" s="210"/>
      <c r="LYY777" s="219"/>
      <c r="LZB777" s="92"/>
      <c r="LZC777" s="210"/>
      <c r="LZI777" s="219"/>
      <c r="LZL777" s="92"/>
      <c r="LZM777" s="210"/>
      <c r="LZS777" s="219"/>
      <c r="LZV777" s="92"/>
      <c r="LZW777" s="210"/>
      <c r="MAC777" s="219"/>
      <c r="MAF777" s="92"/>
      <c r="MAG777" s="210"/>
      <c r="MAM777" s="219"/>
      <c r="MAP777" s="92"/>
      <c r="MAQ777" s="210"/>
      <c r="MAW777" s="219"/>
      <c r="MAZ777" s="92"/>
      <c r="MBA777" s="210"/>
      <c r="MBG777" s="219"/>
      <c r="MBJ777" s="92"/>
      <c r="MBK777" s="210"/>
      <c r="MBQ777" s="219"/>
      <c r="MBT777" s="92"/>
      <c r="MBU777" s="210"/>
      <c r="MCA777" s="219"/>
      <c r="MCD777" s="92"/>
      <c r="MCE777" s="210"/>
      <c r="MCK777" s="219"/>
      <c r="MCN777" s="92"/>
      <c r="MCO777" s="210"/>
      <c r="MCU777" s="219"/>
      <c r="MCX777" s="92"/>
      <c r="MCY777" s="210"/>
      <c r="MDE777" s="219"/>
      <c r="MDH777" s="92"/>
      <c r="MDI777" s="210"/>
      <c r="MDO777" s="219"/>
      <c r="MDR777" s="92"/>
      <c r="MDS777" s="210"/>
      <c r="MDY777" s="219"/>
      <c r="MEB777" s="92"/>
      <c r="MEC777" s="210"/>
      <c r="MEI777" s="219"/>
      <c r="MEL777" s="92"/>
      <c r="MEM777" s="210"/>
      <c r="MES777" s="219"/>
      <c r="MEV777" s="92"/>
      <c r="MEW777" s="210"/>
      <c r="MFC777" s="219"/>
      <c r="MFF777" s="92"/>
      <c r="MFG777" s="210"/>
      <c r="MFM777" s="219"/>
      <c r="MFP777" s="92"/>
      <c r="MFQ777" s="210"/>
      <c r="MFW777" s="219"/>
      <c r="MFZ777" s="92"/>
      <c r="MGA777" s="210"/>
      <c r="MGG777" s="219"/>
      <c r="MGJ777" s="92"/>
      <c r="MGK777" s="210"/>
      <c r="MGQ777" s="219"/>
      <c r="MGT777" s="92"/>
      <c r="MGU777" s="210"/>
      <c r="MHA777" s="219"/>
      <c r="MHD777" s="92"/>
      <c r="MHE777" s="210"/>
      <c r="MHK777" s="219"/>
      <c r="MHN777" s="92"/>
      <c r="MHO777" s="210"/>
      <c r="MHU777" s="219"/>
      <c r="MHX777" s="92"/>
      <c r="MHY777" s="210"/>
      <c r="MIE777" s="219"/>
      <c r="MIH777" s="92"/>
      <c r="MII777" s="210"/>
      <c r="MIO777" s="219"/>
      <c r="MIR777" s="92"/>
      <c r="MIS777" s="210"/>
      <c r="MIY777" s="219"/>
      <c r="MJB777" s="92"/>
      <c r="MJC777" s="210"/>
      <c r="MJI777" s="219"/>
      <c r="MJL777" s="92"/>
      <c r="MJM777" s="210"/>
      <c r="MJS777" s="219"/>
      <c r="MJV777" s="92"/>
      <c r="MJW777" s="210"/>
      <c r="MKC777" s="219"/>
      <c r="MKF777" s="92"/>
      <c r="MKG777" s="210"/>
      <c r="MKM777" s="219"/>
      <c r="MKP777" s="92"/>
      <c r="MKQ777" s="210"/>
      <c r="MKW777" s="219"/>
      <c r="MKZ777" s="92"/>
      <c r="MLA777" s="210"/>
      <c r="MLG777" s="219"/>
      <c r="MLJ777" s="92"/>
      <c r="MLK777" s="210"/>
      <c r="MLQ777" s="219"/>
      <c r="MLT777" s="92"/>
      <c r="MLU777" s="210"/>
      <c r="MMA777" s="219"/>
      <c r="MMD777" s="92"/>
      <c r="MME777" s="210"/>
      <c r="MMK777" s="219"/>
      <c r="MMN777" s="92"/>
      <c r="MMO777" s="210"/>
      <c r="MMU777" s="219"/>
      <c r="MMX777" s="92"/>
      <c r="MMY777" s="210"/>
      <c r="MNE777" s="219"/>
      <c r="MNH777" s="92"/>
      <c r="MNI777" s="210"/>
      <c r="MNO777" s="219"/>
      <c r="MNR777" s="92"/>
      <c r="MNS777" s="210"/>
      <c r="MNY777" s="219"/>
      <c r="MOB777" s="92"/>
      <c r="MOC777" s="210"/>
      <c r="MOI777" s="219"/>
      <c r="MOL777" s="92"/>
      <c r="MOM777" s="210"/>
      <c r="MOS777" s="219"/>
      <c r="MOV777" s="92"/>
      <c r="MOW777" s="210"/>
      <c r="MPC777" s="219"/>
      <c r="MPF777" s="92"/>
      <c r="MPG777" s="210"/>
      <c r="MPM777" s="219"/>
      <c r="MPP777" s="92"/>
      <c r="MPQ777" s="210"/>
      <c r="MPW777" s="219"/>
      <c r="MPZ777" s="92"/>
      <c r="MQA777" s="210"/>
      <c r="MQG777" s="219"/>
      <c r="MQJ777" s="92"/>
      <c r="MQK777" s="210"/>
      <c r="MQQ777" s="219"/>
      <c r="MQT777" s="92"/>
      <c r="MQU777" s="210"/>
      <c r="MRA777" s="219"/>
      <c r="MRD777" s="92"/>
      <c r="MRE777" s="210"/>
      <c r="MRK777" s="219"/>
      <c r="MRN777" s="92"/>
      <c r="MRO777" s="210"/>
      <c r="MRU777" s="219"/>
      <c r="MRX777" s="92"/>
      <c r="MRY777" s="210"/>
      <c r="MSE777" s="219"/>
      <c r="MSH777" s="92"/>
      <c r="MSI777" s="210"/>
      <c r="MSO777" s="219"/>
      <c r="MSR777" s="92"/>
      <c r="MSS777" s="210"/>
      <c r="MSY777" s="219"/>
      <c r="MTB777" s="92"/>
      <c r="MTC777" s="210"/>
      <c r="MTI777" s="219"/>
      <c r="MTL777" s="92"/>
      <c r="MTM777" s="210"/>
      <c r="MTS777" s="219"/>
      <c r="MTV777" s="92"/>
      <c r="MTW777" s="210"/>
      <c r="MUC777" s="219"/>
      <c r="MUF777" s="92"/>
      <c r="MUG777" s="210"/>
      <c r="MUM777" s="219"/>
      <c r="MUP777" s="92"/>
      <c r="MUQ777" s="210"/>
      <c r="MUW777" s="219"/>
      <c r="MUZ777" s="92"/>
      <c r="MVA777" s="210"/>
      <c r="MVG777" s="219"/>
      <c r="MVJ777" s="92"/>
      <c r="MVK777" s="210"/>
      <c r="MVQ777" s="219"/>
      <c r="MVT777" s="92"/>
      <c r="MVU777" s="210"/>
      <c r="MWA777" s="219"/>
      <c r="MWD777" s="92"/>
      <c r="MWE777" s="210"/>
      <c r="MWK777" s="219"/>
      <c r="MWN777" s="92"/>
      <c r="MWO777" s="210"/>
      <c r="MWU777" s="219"/>
      <c r="MWX777" s="92"/>
      <c r="MWY777" s="210"/>
      <c r="MXE777" s="219"/>
      <c r="MXH777" s="92"/>
      <c r="MXI777" s="210"/>
      <c r="MXO777" s="219"/>
      <c r="MXR777" s="92"/>
      <c r="MXS777" s="210"/>
      <c r="MXY777" s="219"/>
      <c r="MYB777" s="92"/>
      <c r="MYC777" s="210"/>
      <c r="MYI777" s="219"/>
      <c r="MYL777" s="92"/>
      <c r="MYM777" s="210"/>
      <c r="MYS777" s="219"/>
      <c r="MYV777" s="92"/>
      <c r="MYW777" s="210"/>
      <c r="MZC777" s="219"/>
      <c r="MZF777" s="92"/>
      <c r="MZG777" s="210"/>
      <c r="MZM777" s="219"/>
      <c r="MZP777" s="92"/>
      <c r="MZQ777" s="210"/>
      <c r="MZW777" s="219"/>
      <c r="MZZ777" s="92"/>
      <c r="NAA777" s="210"/>
      <c r="NAG777" s="219"/>
      <c r="NAJ777" s="92"/>
      <c r="NAK777" s="210"/>
      <c r="NAQ777" s="219"/>
      <c r="NAT777" s="92"/>
      <c r="NAU777" s="210"/>
      <c r="NBA777" s="219"/>
      <c r="NBD777" s="92"/>
      <c r="NBE777" s="210"/>
      <c r="NBK777" s="219"/>
      <c r="NBN777" s="92"/>
      <c r="NBO777" s="210"/>
      <c r="NBU777" s="219"/>
      <c r="NBX777" s="92"/>
      <c r="NBY777" s="210"/>
      <c r="NCE777" s="219"/>
      <c r="NCH777" s="92"/>
      <c r="NCI777" s="210"/>
      <c r="NCO777" s="219"/>
      <c r="NCR777" s="92"/>
      <c r="NCS777" s="210"/>
      <c r="NCY777" s="219"/>
      <c r="NDB777" s="92"/>
      <c r="NDC777" s="210"/>
      <c r="NDI777" s="219"/>
      <c r="NDL777" s="92"/>
      <c r="NDM777" s="210"/>
      <c r="NDS777" s="219"/>
      <c r="NDV777" s="92"/>
      <c r="NDW777" s="210"/>
      <c r="NEC777" s="219"/>
      <c r="NEF777" s="92"/>
      <c r="NEG777" s="210"/>
      <c r="NEM777" s="219"/>
      <c r="NEP777" s="92"/>
      <c r="NEQ777" s="210"/>
      <c r="NEW777" s="219"/>
      <c r="NEZ777" s="92"/>
      <c r="NFA777" s="210"/>
      <c r="NFG777" s="219"/>
      <c r="NFJ777" s="92"/>
      <c r="NFK777" s="210"/>
      <c r="NFQ777" s="219"/>
      <c r="NFT777" s="92"/>
      <c r="NFU777" s="210"/>
      <c r="NGA777" s="219"/>
      <c r="NGD777" s="92"/>
      <c r="NGE777" s="210"/>
      <c r="NGK777" s="219"/>
      <c r="NGN777" s="92"/>
      <c r="NGO777" s="210"/>
      <c r="NGU777" s="219"/>
      <c r="NGX777" s="92"/>
      <c r="NGY777" s="210"/>
      <c r="NHE777" s="219"/>
      <c r="NHH777" s="92"/>
      <c r="NHI777" s="210"/>
      <c r="NHO777" s="219"/>
      <c r="NHR777" s="92"/>
      <c r="NHS777" s="210"/>
      <c r="NHY777" s="219"/>
      <c r="NIB777" s="92"/>
      <c r="NIC777" s="210"/>
      <c r="NII777" s="219"/>
      <c r="NIL777" s="92"/>
      <c r="NIM777" s="210"/>
      <c r="NIS777" s="219"/>
      <c r="NIV777" s="92"/>
      <c r="NIW777" s="210"/>
      <c r="NJC777" s="219"/>
      <c r="NJF777" s="92"/>
      <c r="NJG777" s="210"/>
      <c r="NJM777" s="219"/>
      <c r="NJP777" s="92"/>
      <c r="NJQ777" s="210"/>
      <c r="NJW777" s="219"/>
      <c r="NJZ777" s="92"/>
      <c r="NKA777" s="210"/>
      <c r="NKG777" s="219"/>
      <c r="NKJ777" s="92"/>
      <c r="NKK777" s="210"/>
      <c r="NKQ777" s="219"/>
      <c r="NKT777" s="92"/>
      <c r="NKU777" s="210"/>
      <c r="NLA777" s="219"/>
      <c r="NLD777" s="92"/>
      <c r="NLE777" s="210"/>
      <c r="NLK777" s="219"/>
      <c r="NLN777" s="92"/>
      <c r="NLO777" s="210"/>
      <c r="NLU777" s="219"/>
      <c r="NLX777" s="92"/>
      <c r="NLY777" s="210"/>
      <c r="NME777" s="219"/>
      <c r="NMH777" s="92"/>
      <c r="NMI777" s="210"/>
      <c r="NMO777" s="219"/>
      <c r="NMR777" s="92"/>
      <c r="NMS777" s="210"/>
      <c r="NMY777" s="219"/>
      <c r="NNB777" s="92"/>
      <c r="NNC777" s="210"/>
      <c r="NNI777" s="219"/>
      <c r="NNL777" s="92"/>
      <c r="NNM777" s="210"/>
      <c r="NNS777" s="219"/>
      <c r="NNV777" s="92"/>
      <c r="NNW777" s="210"/>
      <c r="NOC777" s="219"/>
      <c r="NOF777" s="92"/>
      <c r="NOG777" s="210"/>
      <c r="NOM777" s="219"/>
      <c r="NOP777" s="92"/>
      <c r="NOQ777" s="210"/>
      <c r="NOW777" s="219"/>
      <c r="NOZ777" s="92"/>
      <c r="NPA777" s="210"/>
      <c r="NPG777" s="219"/>
      <c r="NPJ777" s="92"/>
      <c r="NPK777" s="210"/>
      <c r="NPQ777" s="219"/>
      <c r="NPT777" s="92"/>
      <c r="NPU777" s="210"/>
      <c r="NQA777" s="219"/>
      <c r="NQD777" s="92"/>
      <c r="NQE777" s="210"/>
      <c r="NQK777" s="219"/>
      <c r="NQN777" s="92"/>
      <c r="NQO777" s="210"/>
      <c r="NQU777" s="219"/>
      <c r="NQX777" s="92"/>
      <c r="NQY777" s="210"/>
      <c r="NRE777" s="219"/>
      <c r="NRH777" s="92"/>
      <c r="NRI777" s="210"/>
      <c r="NRO777" s="219"/>
      <c r="NRR777" s="92"/>
      <c r="NRS777" s="210"/>
      <c r="NRY777" s="219"/>
      <c r="NSB777" s="92"/>
      <c r="NSC777" s="210"/>
      <c r="NSI777" s="219"/>
      <c r="NSL777" s="92"/>
      <c r="NSM777" s="210"/>
      <c r="NSS777" s="219"/>
      <c r="NSV777" s="92"/>
      <c r="NSW777" s="210"/>
      <c r="NTC777" s="219"/>
      <c r="NTF777" s="92"/>
      <c r="NTG777" s="210"/>
      <c r="NTM777" s="219"/>
      <c r="NTP777" s="92"/>
      <c r="NTQ777" s="210"/>
      <c r="NTW777" s="219"/>
      <c r="NTZ777" s="92"/>
      <c r="NUA777" s="210"/>
      <c r="NUG777" s="219"/>
      <c r="NUJ777" s="92"/>
      <c r="NUK777" s="210"/>
      <c r="NUQ777" s="219"/>
      <c r="NUT777" s="92"/>
      <c r="NUU777" s="210"/>
      <c r="NVA777" s="219"/>
      <c r="NVD777" s="92"/>
      <c r="NVE777" s="210"/>
      <c r="NVK777" s="219"/>
      <c r="NVN777" s="92"/>
      <c r="NVO777" s="210"/>
      <c r="NVU777" s="219"/>
      <c r="NVX777" s="92"/>
      <c r="NVY777" s="210"/>
      <c r="NWE777" s="219"/>
      <c r="NWH777" s="92"/>
      <c r="NWI777" s="210"/>
      <c r="NWO777" s="219"/>
      <c r="NWR777" s="92"/>
      <c r="NWS777" s="210"/>
      <c r="NWY777" s="219"/>
      <c r="NXB777" s="92"/>
      <c r="NXC777" s="210"/>
      <c r="NXI777" s="219"/>
      <c r="NXL777" s="92"/>
      <c r="NXM777" s="210"/>
      <c r="NXS777" s="219"/>
      <c r="NXV777" s="92"/>
      <c r="NXW777" s="210"/>
      <c r="NYC777" s="219"/>
      <c r="NYF777" s="92"/>
      <c r="NYG777" s="210"/>
      <c r="NYM777" s="219"/>
      <c r="NYP777" s="92"/>
      <c r="NYQ777" s="210"/>
      <c r="NYW777" s="219"/>
      <c r="NYZ777" s="92"/>
      <c r="NZA777" s="210"/>
      <c r="NZG777" s="219"/>
      <c r="NZJ777" s="92"/>
      <c r="NZK777" s="210"/>
      <c r="NZQ777" s="219"/>
      <c r="NZT777" s="92"/>
      <c r="NZU777" s="210"/>
      <c r="OAA777" s="219"/>
      <c r="OAD777" s="92"/>
      <c r="OAE777" s="210"/>
      <c r="OAK777" s="219"/>
      <c r="OAN777" s="92"/>
      <c r="OAO777" s="210"/>
      <c r="OAU777" s="219"/>
      <c r="OAX777" s="92"/>
      <c r="OAY777" s="210"/>
      <c r="OBE777" s="219"/>
      <c r="OBH777" s="92"/>
      <c r="OBI777" s="210"/>
      <c r="OBO777" s="219"/>
      <c r="OBR777" s="92"/>
      <c r="OBS777" s="210"/>
      <c r="OBY777" s="219"/>
      <c r="OCB777" s="92"/>
      <c r="OCC777" s="210"/>
      <c r="OCI777" s="219"/>
      <c r="OCL777" s="92"/>
      <c r="OCM777" s="210"/>
      <c r="OCS777" s="219"/>
      <c r="OCV777" s="92"/>
      <c r="OCW777" s="210"/>
      <c r="ODC777" s="219"/>
      <c r="ODF777" s="92"/>
      <c r="ODG777" s="210"/>
      <c r="ODM777" s="219"/>
      <c r="ODP777" s="92"/>
      <c r="ODQ777" s="210"/>
      <c r="ODW777" s="219"/>
      <c r="ODZ777" s="92"/>
      <c r="OEA777" s="210"/>
      <c r="OEG777" s="219"/>
      <c r="OEJ777" s="92"/>
      <c r="OEK777" s="210"/>
      <c r="OEQ777" s="219"/>
      <c r="OET777" s="92"/>
      <c r="OEU777" s="210"/>
      <c r="OFA777" s="219"/>
      <c r="OFD777" s="92"/>
      <c r="OFE777" s="210"/>
      <c r="OFK777" s="219"/>
      <c r="OFN777" s="92"/>
      <c r="OFO777" s="210"/>
      <c r="OFU777" s="219"/>
      <c r="OFX777" s="92"/>
      <c r="OFY777" s="210"/>
      <c r="OGE777" s="219"/>
      <c r="OGH777" s="92"/>
      <c r="OGI777" s="210"/>
      <c r="OGO777" s="219"/>
      <c r="OGR777" s="92"/>
      <c r="OGS777" s="210"/>
      <c r="OGY777" s="219"/>
      <c r="OHB777" s="92"/>
      <c r="OHC777" s="210"/>
      <c r="OHI777" s="219"/>
      <c r="OHL777" s="92"/>
      <c r="OHM777" s="210"/>
      <c r="OHS777" s="219"/>
      <c r="OHV777" s="92"/>
      <c r="OHW777" s="210"/>
      <c r="OIC777" s="219"/>
      <c r="OIF777" s="92"/>
      <c r="OIG777" s="210"/>
      <c r="OIM777" s="219"/>
      <c r="OIP777" s="92"/>
      <c r="OIQ777" s="210"/>
      <c r="OIW777" s="219"/>
      <c r="OIZ777" s="92"/>
      <c r="OJA777" s="210"/>
      <c r="OJG777" s="219"/>
      <c r="OJJ777" s="92"/>
      <c r="OJK777" s="210"/>
      <c r="OJQ777" s="219"/>
      <c r="OJT777" s="92"/>
      <c r="OJU777" s="210"/>
      <c r="OKA777" s="219"/>
      <c r="OKD777" s="92"/>
      <c r="OKE777" s="210"/>
      <c r="OKK777" s="219"/>
      <c r="OKN777" s="92"/>
      <c r="OKO777" s="210"/>
      <c r="OKU777" s="219"/>
      <c r="OKX777" s="92"/>
      <c r="OKY777" s="210"/>
      <c r="OLE777" s="219"/>
      <c r="OLH777" s="92"/>
      <c r="OLI777" s="210"/>
      <c r="OLO777" s="219"/>
      <c r="OLR777" s="92"/>
      <c r="OLS777" s="210"/>
      <c r="OLY777" s="219"/>
      <c r="OMB777" s="92"/>
      <c r="OMC777" s="210"/>
      <c r="OMI777" s="219"/>
      <c r="OML777" s="92"/>
      <c r="OMM777" s="210"/>
      <c r="OMS777" s="219"/>
      <c r="OMV777" s="92"/>
      <c r="OMW777" s="210"/>
      <c r="ONC777" s="219"/>
      <c r="ONF777" s="92"/>
      <c r="ONG777" s="210"/>
      <c r="ONM777" s="219"/>
      <c r="ONP777" s="92"/>
      <c r="ONQ777" s="210"/>
      <c r="ONW777" s="219"/>
      <c r="ONZ777" s="92"/>
      <c r="OOA777" s="210"/>
      <c r="OOG777" s="219"/>
      <c r="OOJ777" s="92"/>
      <c r="OOK777" s="210"/>
      <c r="OOQ777" s="219"/>
      <c r="OOT777" s="92"/>
      <c r="OOU777" s="210"/>
      <c r="OPA777" s="219"/>
      <c r="OPD777" s="92"/>
      <c r="OPE777" s="210"/>
      <c r="OPK777" s="219"/>
      <c r="OPN777" s="92"/>
      <c r="OPO777" s="210"/>
      <c r="OPU777" s="219"/>
      <c r="OPX777" s="92"/>
      <c r="OPY777" s="210"/>
      <c r="OQE777" s="219"/>
      <c r="OQH777" s="92"/>
      <c r="OQI777" s="210"/>
      <c r="OQO777" s="219"/>
      <c r="OQR777" s="92"/>
      <c r="OQS777" s="210"/>
      <c r="OQY777" s="219"/>
      <c r="ORB777" s="92"/>
      <c r="ORC777" s="210"/>
      <c r="ORI777" s="219"/>
      <c r="ORL777" s="92"/>
      <c r="ORM777" s="210"/>
      <c r="ORS777" s="219"/>
      <c r="ORV777" s="92"/>
      <c r="ORW777" s="210"/>
      <c r="OSC777" s="219"/>
      <c r="OSF777" s="92"/>
      <c r="OSG777" s="210"/>
      <c r="OSM777" s="219"/>
      <c r="OSP777" s="92"/>
      <c r="OSQ777" s="210"/>
      <c r="OSW777" s="219"/>
      <c r="OSZ777" s="92"/>
      <c r="OTA777" s="210"/>
      <c r="OTG777" s="219"/>
      <c r="OTJ777" s="92"/>
      <c r="OTK777" s="210"/>
      <c r="OTQ777" s="219"/>
      <c r="OTT777" s="92"/>
      <c r="OTU777" s="210"/>
      <c r="OUA777" s="219"/>
      <c r="OUD777" s="92"/>
      <c r="OUE777" s="210"/>
      <c r="OUK777" s="219"/>
      <c r="OUN777" s="92"/>
      <c r="OUO777" s="210"/>
      <c r="OUU777" s="219"/>
      <c r="OUX777" s="92"/>
      <c r="OUY777" s="210"/>
      <c r="OVE777" s="219"/>
      <c r="OVH777" s="92"/>
      <c r="OVI777" s="210"/>
      <c r="OVO777" s="219"/>
      <c r="OVR777" s="92"/>
      <c r="OVS777" s="210"/>
      <c r="OVY777" s="219"/>
      <c r="OWB777" s="92"/>
      <c r="OWC777" s="210"/>
      <c r="OWI777" s="219"/>
      <c r="OWL777" s="92"/>
      <c r="OWM777" s="210"/>
      <c r="OWS777" s="219"/>
      <c r="OWV777" s="92"/>
      <c r="OWW777" s="210"/>
      <c r="OXC777" s="219"/>
      <c r="OXF777" s="92"/>
      <c r="OXG777" s="210"/>
      <c r="OXM777" s="219"/>
      <c r="OXP777" s="92"/>
      <c r="OXQ777" s="210"/>
      <c r="OXW777" s="219"/>
      <c r="OXZ777" s="92"/>
      <c r="OYA777" s="210"/>
      <c r="OYG777" s="219"/>
      <c r="OYJ777" s="92"/>
      <c r="OYK777" s="210"/>
      <c r="OYQ777" s="219"/>
      <c r="OYT777" s="92"/>
      <c r="OYU777" s="210"/>
      <c r="OZA777" s="219"/>
      <c r="OZD777" s="92"/>
      <c r="OZE777" s="210"/>
      <c r="OZK777" s="219"/>
      <c r="OZN777" s="92"/>
      <c r="OZO777" s="210"/>
      <c r="OZU777" s="219"/>
      <c r="OZX777" s="92"/>
      <c r="OZY777" s="210"/>
      <c r="PAE777" s="219"/>
      <c r="PAH777" s="92"/>
      <c r="PAI777" s="210"/>
      <c r="PAO777" s="219"/>
      <c r="PAR777" s="92"/>
      <c r="PAS777" s="210"/>
      <c r="PAY777" s="219"/>
      <c r="PBB777" s="92"/>
      <c r="PBC777" s="210"/>
      <c r="PBI777" s="219"/>
      <c r="PBL777" s="92"/>
      <c r="PBM777" s="210"/>
      <c r="PBS777" s="219"/>
      <c r="PBV777" s="92"/>
      <c r="PBW777" s="210"/>
      <c r="PCC777" s="219"/>
      <c r="PCF777" s="92"/>
      <c r="PCG777" s="210"/>
      <c r="PCM777" s="219"/>
      <c r="PCP777" s="92"/>
      <c r="PCQ777" s="210"/>
      <c r="PCW777" s="219"/>
      <c r="PCZ777" s="92"/>
      <c r="PDA777" s="210"/>
      <c r="PDG777" s="219"/>
      <c r="PDJ777" s="92"/>
      <c r="PDK777" s="210"/>
      <c r="PDQ777" s="219"/>
      <c r="PDT777" s="92"/>
      <c r="PDU777" s="210"/>
      <c r="PEA777" s="219"/>
      <c r="PED777" s="92"/>
      <c r="PEE777" s="210"/>
      <c r="PEK777" s="219"/>
      <c r="PEN777" s="92"/>
      <c r="PEO777" s="210"/>
      <c r="PEU777" s="219"/>
      <c r="PEX777" s="92"/>
      <c r="PEY777" s="210"/>
      <c r="PFE777" s="219"/>
      <c r="PFH777" s="92"/>
      <c r="PFI777" s="210"/>
      <c r="PFO777" s="219"/>
      <c r="PFR777" s="92"/>
      <c r="PFS777" s="210"/>
      <c r="PFY777" s="219"/>
      <c r="PGB777" s="92"/>
      <c r="PGC777" s="210"/>
      <c r="PGI777" s="219"/>
      <c r="PGL777" s="92"/>
      <c r="PGM777" s="210"/>
      <c r="PGS777" s="219"/>
      <c r="PGV777" s="92"/>
      <c r="PGW777" s="210"/>
      <c r="PHC777" s="219"/>
      <c r="PHF777" s="92"/>
      <c r="PHG777" s="210"/>
      <c r="PHM777" s="219"/>
      <c r="PHP777" s="92"/>
      <c r="PHQ777" s="210"/>
      <c r="PHW777" s="219"/>
      <c r="PHZ777" s="92"/>
      <c r="PIA777" s="210"/>
      <c r="PIG777" s="219"/>
      <c r="PIJ777" s="92"/>
      <c r="PIK777" s="210"/>
      <c r="PIQ777" s="219"/>
      <c r="PIT777" s="92"/>
      <c r="PIU777" s="210"/>
      <c r="PJA777" s="219"/>
      <c r="PJD777" s="92"/>
      <c r="PJE777" s="210"/>
      <c r="PJK777" s="219"/>
      <c r="PJN777" s="92"/>
      <c r="PJO777" s="210"/>
      <c r="PJU777" s="219"/>
      <c r="PJX777" s="92"/>
      <c r="PJY777" s="210"/>
      <c r="PKE777" s="219"/>
      <c r="PKH777" s="92"/>
      <c r="PKI777" s="210"/>
      <c r="PKO777" s="219"/>
      <c r="PKR777" s="92"/>
      <c r="PKS777" s="210"/>
      <c r="PKY777" s="219"/>
      <c r="PLB777" s="92"/>
      <c r="PLC777" s="210"/>
      <c r="PLI777" s="219"/>
      <c r="PLL777" s="92"/>
      <c r="PLM777" s="210"/>
      <c r="PLS777" s="219"/>
      <c r="PLV777" s="92"/>
      <c r="PLW777" s="210"/>
      <c r="PMC777" s="219"/>
      <c r="PMF777" s="92"/>
      <c r="PMG777" s="210"/>
      <c r="PMM777" s="219"/>
      <c r="PMP777" s="92"/>
      <c r="PMQ777" s="210"/>
      <c r="PMW777" s="219"/>
      <c r="PMZ777" s="92"/>
      <c r="PNA777" s="210"/>
      <c r="PNG777" s="219"/>
      <c r="PNJ777" s="92"/>
      <c r="PNK777" s="210"/>
      <c r="PNQ777" s="219"/>
      <c r="PNT777" s="92"/>
      <c r="PNU777" s="210"/>
      <c r="POA777" s="219"/>
      <c r="POD777" s="92"/>
      <c r="POE777" s="210"/>
      <c r="POK777" s="219"/>
      <c r="PON777" s="92"/>
      <c r="POO777" s="210"/>
      <c r="POU777" s="219"/>
      <c r="POX777" s="92"/>
      <c r="POY777" s="210"/>
      <c r="PPE777" s="219"/>
      <c r="PPH777" s="92"/>
      <c r="PPI777" s="210"/>
      <c r="PPO777" s="219"/>
      <c r="PPR777" s="92"/>
      <c r="PPS777" s="210"/>
      <c r="PPY777" s="219"/>
      <c r="PQB777" s="92"/>
      <c r="PQC777" s="210"/>
      <c r="PQI777" s="219"/>
      <c r="PQL777" s="92"/>
      <c r="PQM777" s="210"/>
      <c r="PQS777" s="219"/>
      <c r="PQV777" s="92"/>
      <c r="PQW777" s="210"/>
      <c r="PRC777" s="219"/>
      <c r="PRF777" s="92"/>
      <c r="PRG777" s="210"/>
      <c r="PRM777" s="219"/>
      <c r="PRP777" s="92"/>
      <c r="PRQ777" s="210"/>
      <c r="PRW777" s="219"/>
      <c r="PRZ777" s="92"/>
      <c r="PSA777" s="210"/>
      <c r="PSG777" s="219"/>
      <c r="PSJ777" s="92"/>
      <c r="PSK777" s="210"/>
      <c r="PSQ777" s="219"/>
      <c r="PST777" s="92"/>
      <c r="PSU777" s="210"/>
      <c r="PTA777" s="219"/>
      <c r="PTD777" s="92"/>
      <c r="PTE777" s="210"/>
      <c r="PTK777" s="219"/>
      <c r="PTN777" s="92"/>
      <c r="PTO777" s="210"/>
      <c r="PTU777" s="219"/>
      <c r="PTX777" s="92"/>
      <c r="PTY777" s="210"/>
      <c r="PUE777" s="219"/>
      <c r="PUH777" s="92"/>
      <c r="PUI777" s="210"/>
      <c r="PUO777" s="219"/>
      <c r="PUR777" s="92"/>
      <c r="PUS777" s="210"/>
      <c r="PUY777" s="219"/>
      <c r="PVB777" s="92"/>
      <c r="PVC777" s="210"/>
      <c r="PVI777" s="219"/>
      <c r="PVL777" s="92"/>
      <c r="PVM777" s="210"/>
      <c r="PVS777" s="219"/>
      <c r="PVV777" s="92"/>
      <c r="PVW777" s="210"/>
      <c r="PWC777" s="219"/>
      <c r="PWF777" s="92"/>
      <c r="PWG777" s="210"/>
      <c r="PWM777" s="219"/>
      <c r="PWP777" s="92"/>
      <c r="PWQ777" s="210"/>
      <c r="PWW777" s="219"/>
      <c r="PWZ777" s="92"/>
      <c r="PXA777" s="210"/>
      <c r="PXG777" s="219"/>
      <c r="PXJ777" s="92"/>
      <c r="PXK777" s="210"/>
      <c r="PXQ777" s="219"/>
      <c r="PXT777" s="92"/>
      <c r="PXU777" s="210"/>
      <c r="PYA777" s="219"/>
      <c r="PYD777" s="92"/>
      <c r="PYE777" s="210"/>
      <c r="PYK777" s="219"/>
      <c r="PYN777" s="92"/>
      <c r="PYO777" s="210"/>
      <c r="PYU777" s="219"/>
      <c r="PYX777" s="92"/>
      <c r="PYY777" s="210"/>
      <c r="PZE777" s="219"/>
      <c r="PZH777" s="92"/>
      <c r="PZI777" s="210"/>
      <c r="PZO777" s="219"/>
      <c r="PZR777" s="92"/>
      <c r="PZS777" s="210"/>
      <c r="PZY777" s="219"/>
      <c r="QAB777" s="92"/>
      <c r="QAC777" s="210"/>
      <c r="QAI777" s="219"/>
      <c r="QAL777" s="92"/>
      <c r="QAM777" s="210"/>
      <c r="QAS777" s="219"/>
      <c r="QAV777" s="92"/>
      <c r="QAW777" s="210"/>
      <c r="QBC777" s="219"/>
      <c r="QBF777" s="92"/>
      <c r="QBG777" s="210"/>
      <c r="QBM777" s="219"/>
      <c r="QBP777" s="92"/>
      <c r="QBQ777" s="210"/>
      <c r="QBW777" s="219"/>
      <c r="QBZ777" s="92"/>
      <c r="QCA777" s="210"/>
      <c r="QCG777" s="219"/>
      <c r="QCJ777" s="92"/>
      <c r="QCK777" s="210"/>
      <c r="QCQ777" s="219"/>
      <c r="QCT777" s="92"/>
      <c r="QCU777" s="210"/>
      <c r="QDA777" s="219"/>
      <c r="QDD777" s="92"/>
      <c r="QDE777" s="210"/>
      <c r="QDK777" s="219"/>
      <c r="QDN777" s="92"/>
      <c r="QDO777" s="210"/>
      <c r="QDU777" s="219"/>
      <c r="QDX777" s="92"/>
      <c r="QDY777" s="210"/>
      <c r="QEE777" s="219"/>
      <c r="QEH777" s="92"/>
      <c r="QEI777" s="210"/>
      <c r="QEO777" s="219"/>
      <c r="QER777" s="92"/>
      <c r="QES777" s="210"/>
      <c r="QEY777" s="219"/>
      <c r="QFB777" s="92"/>
      <c r="QFC777" s="210"/>
      <c r="QFI777" s="219"/>
      <c r="QFL777" s="92"/>
      <c r="QFM777" s="210"/>
      <c r="QFS777" s="219"/>
      <c r="QFV777" s="92"/>
      <c r="QFW777" s="210"/>
      <c r="QGC777" s="219"/>
      <c r="QGF777" s="92"/>
      <c r="QGG777" s="210"/>
      <c r="QGM777" s="219"/>
      <c r="QGP777" s="92"/>
      <c r="QGQ777" s="210"/>
      <c r="QGW777" s="219"/>
      <c r="QGZ777" s="92"/>
      <c r="QHA777" s="210"/>
      <c r="QHG777" s="219"/>
      <c r="QHJ777" s="92"/>
      <c r="QHK777" s="210"/>
      <c r="QHQ777" s="219"/>
      <c r="QHT777" s="92"/>
      <c r="QHU777" s="210"/>
      <c r="QIA777" s="219"/>
      <c r="QID777" s="92"/>
      <c r="QIE777" s="210"/>
      <c r="QIK777" s="219"/>
      <c r="QIN777" s="92"/>
      <c r="QIO777" s="210"/>
      <c r="QIU777" s="219"/>
      <c r="QIX777" s="92"/>
      <c r="QIY777" s="210"/>
      <c r="QJE777" s="219"/>
      <c r="QJH777" s="92"/>
      <c r="QJI777" s="210"/>
      <c r="QJO777" s="219"/>
      <c r="QJR777" s="92"/>
      <c r="QJS777" s="210"/>
      <c r="QJY777" s="219"/>
      <c r="QKB777" s="92"/>
      <c r="QKC777" s="210"/>
      <c r="QKI777" s="219"/>
      <c r="QKL777" s="92"/>
      <c r="QKM777" s="210"/>
      <c r="QKS777" s="219"/>
      <c r="QKV777" s="92"/>
      <c r="QKW777" s="210"/>
      <c r="QLC777" s="219"/>
      <c r="QLF777" s="92"/>
      <c r="QLG777" s="210"/>
      <c r="QLM777" s="219"/>
      <c r="QLP777" s="92"/>
      <c r="QLQ777" s="210"/>
      <c r="QLW777" s="219"/>
      <c r="QLZ777" s="92"/>
      <c r="QMA777" s="210"/>
      <c r="QMG777" s="219"/>
      <c r="QMJ777" s="92"/>
      <c r="QMK777" s="210"/>
      <c r="QMQ777" s="219"/>
      <c r="QMT777" s="92"/>
      <c r="QMU777" s="210"/>
      <c r="QNA777" s="219"/>
      <c r="QND777" s="92"/>
      <c r="QNE777" s="210"/>
      <c r="QNK777" s="219"/>
      <c r="QNN777" s="92"/>
      <c r="QNO777" s="210"/>
      <c r="QNU777" s="219"/>
      <c r="QNX777" s="92"/>
      <c r="QNY777" s="210"/>
      <c r="QOE777" s="219"/>
      <c r="QOH777" s="92"/>
      <c r="QOI777" s="210"/>
      <c r="QOO777" s="219"/>
      <c r="QOR777" s="92"/>
      <c r="QOS777" s="210"/>
      <c r="QOY777" s="219"/>
      <c r="QPB777" s="92"/>
      <c r="QPC777" s="210"/>
      <c r="QPI777" s="219"/>
      <c r="QPL777" s="92"/>
      <c r="QPM777" s="210"/>
      <c r="QPS777" s="219"/>
      <c r="QPV777" s="92"/>
      <c r="QPW777" s="210"/>
      <c r="QQC777" s="219"/>
      <c r="QQF777" s="92"/>
      <c r="QQG777" s="210"/>
      <c r="QQM777" s="219"/>
      <c r="QQP777" s="92"/>
      <c r="QQQ777" s="210"/>
      <c r="QQW777" s="219"/>
      <c r="QQZ777" s="92"/>
      <c r="QRA777" s="210"/>
      <c r="QRG777" s="219"/>
      <c r="QRJ777" s="92"/>
      <c r="QRK777" s="210"/>
      <c r="QRQ777" s="219"/>
      <c r="QRT777" s="92"/>
      <c r="QRU777" s="210"/>
      <c r="QSA777" s="219"/>
      <c r="QSD777" s="92"/>
      <c r="QSE777" s="210"/>
      <c r="QSK777" s="219"/>
      <c r="QSN777" s="92"/>
      <c r="QSO777" s="210"/>
      <c r="QSU777" s="219"/>
      <c r="QSX777" s="92"/>
      <c r="QSY777" s="210"/>
      <c r="QTE777" s="219"/>
      <c r="QTH777" s="92"/>
      <c r="QTI777" s="210"/>
      <c r="QTO777" s="219"/>
      <c r="QTR777" s="92"/>
      <c r="QTS777" s="210"/>
      <c r="QTY777" s="219"/>
      <c r="QUB777" s="92"/>
      <c r="QUC777" s="210"/>
      <c r="QUI777" s="219"/>
      <c r="QUL777" s="92"/>
      <c r="QUM777" s="210"/>
      <c r="QUS777" s="219"/>
      <c r="QUV777" s="92"/>
      <c r="QUW777" s="210"/>
      <c r="QVC777" s="219"/>
      <c r="QVF777" s="92"/>
      <c r="QVG777" s="210"/>
      <c r="QVM777" s="219"/>
      <c r="QVP777" s="92"/>
      <c r="QVQ777" s="210"/>
      <c r="QVW777" s="219"/>
      <c r="QVZ777" s="92"/>
      <c r="QWA777" s="210"/>
      <c r="QWG777" s="219"/>
      <c r="QWJ777" s="92"/>
      <c r="QWK777" s="210"/>
      <c r="QWQ777" s="219"/>
      <c r="QWT777" s="92"/>
      <c r="QWU777" s="210"/>
      <c r="QXA777" s="219"/>
      <c r="QXD777" s="92"/>
      <c r="QXE777" s="210"/>
      <c r="QXK777" s="219"/>
      <c r="QXN777" s="92"/>
      <c r="QXO777" s="210"/>
      <c r="QXU777" s="219"/>
      <c r="QXX777" s="92"/>
      <c r="QXY777" s="210"/>
      <c r="QYE777" s="219"/>
      <c r="QYH777" s="92"/>
      <c r="QYI777" s="210"/>
      <c r="QYO777" s="219"/>
      <c r="QYR777" s="92"/>
      <c r="QYS777" s="210"/>
      <c r="QYY777" s="219"/>
      <c r="QZB777" s="92"/>
      <c r="QZC777" s="210"/>
      <c r="QZI777" s="219"/>
      <c r="QZL777" s="92"/>
      <c r="QZM777" s="210"/>
      <c r="QZS777" s="219"/>
      <c r="QZV777" s="92"/>
      <c r="QZW777" s="210"/>
      <c r="RAC777" s="219"/>
      <c r="RAF777" s="92"/>
      <c r="RAG777" s="210"/>
      <c r="RAM777" s="219"/>
      <c r="RAP777" s="92"/>
      <c r="RAQ777" s="210"/>
      <c r="RAW777" s="219"/>
      <c r="RAZ777" s="92"/>
      <c r="RBA777" s="210"/>
      <c r="RBG777" s="219"/>
      <c r="RBJ777" s="92"/>
      <c r="RBK777" s="210"/>
      <c r="RBQ777" s="219"/>
      <c r="RBT777" s="92"/>
      <c r="RBU777" s="210"/>
      <c r="RCA777" s="219"/>
      <c r="RCD777" s="92"/>
      <c r="RCE777" s="210"/>
      <c r="RCK777" s="219"/>
      <c r="RCN777" s="92"/>
      <c r="RCO777" s="210"/>
      <c r="RCU777" s="219"/>
      <c r="RCX777" s="92"/>
      <c r="RCY777" s="210"/>
      <c r="RDE777" s="219"/>
      <c r="RDH777" s="92"/>
      <c r="RDI777" s="210"/>
      <c r="RDO777" s="219"/>
      <c r="RDR777" s="92"/>
      <c r="RDS777" s="210"/>
      <c r="RDY777" s="219"/>
      <c r="REB777" s="92"/>
      <c r="REC777" s="210"/>
      <c r="REI777" s="219"/>
      <c r="REL777" s="92"/>
      <c r="REM777" s="210"/>
      <c r="RES777" s="219"/>
      <c r="REV777" s="92"/>
      <c r="REW777" s="210"/>
      <c r="RFC777" s="219"/>
      <c r="RFF777" s="92"/>
      <c r="RFG777" s="210"/>
      <c r="RFM777" s="219"/>
      <c r="RFP777" s="92"/>
      <c r="RFQ777" s="210"/>
      <c r="RFW777" s="219"/>
      <c r="RFZ777" s="92"/>
      <c r="RGA777" s="210"/>
      <c r="RGG777" s="219"/>
      <c r="RGJ777" s="92"/>
      <c r="RGK777" s="210"/>
      <c r="RGQ777" s="219"/>
      <c r="RGT777" s="92"/>
      <c r="RGU777" s="210"/>
      <c r="RHA777" s="219"/>
      <c r="RHD777" s="92"/>
      <c r="RHE777" s="210"/>
      <c r="RHK777" s="219"/>
      <c r="RHN777" s="92"/>
      <c r="RHO777" s="210"/>
      <c r="RHU777" s="219"/>
      <c r="RHX777" s="92"/>
      <c r="RHY777" s="210"/>
      <c r="RIE777" s="219"/>
      <c r="RIH777" s="92"/>
      <c r="RII777" s="210"/>
      <c r="RIO777" s="219"/>
      <c r="RIR777" s="92"/>
      <c r="RIS777" s="210"/>
      <c r="RIY777" s="219"/>
      <c r="RJB777" s="92"/>
      <c r="RJC777" s="210"/>
      <c r="RJI777" s="219"/>
      <c r="RJL777" s="92"/>
      <c r="RJM777" s="210"/>
      <c r="RJS777" s="219"/>
      <c r="RJV777" s="92"/>
      <c r="RJW777" s="210"/>
      <c r="RKC777" s="219"/>
      <c r="RKF777" s="92"/>
      <c r="RKG777" s="210"/>
      <c r="RKM777" s="219"/>
      <c r="RKP777" s="92"/>
      <c r="RKQ777" s="210"/>
      <c r="RKW777" s="219"/>
      <c r="RKZ777" s="92"/>
      <c r="RLA777" s="210"/>
      <c r="RLG777" s="219"/>
      <c r="RLJ777" s="92"/>
      <c r="RLK777" s="210"/>
      <c r="RLQ777" s="219"/>
      <c r="RLT777" s="92"/>
      <c r="RLU777" s="210"/>
      <c r="RMA777" s="219"/>
      <c r="RMD777" s="92"/>
      <c r="RME777" s="210"/>
      <c r="RMK777" s="219"/>
      <c r="RMN777" s="92"/>
      <c r="RMO777" s="210"/>
      <c r="RMU777" s="219"/>
      <c r="RMX777" s="92"/>
      <c r="RMY777" s="210"/>
      <c r="RNE777" s="219"/>
      <c r="RNH777" s="92"/>
      <c r="RNI777" s="210"/>
      <c r="RNO777" s="219"/>
      <c r="RNR777" s="92"/>
      <c r="RNS777" s="210"/>
      <c r="RNY777" s="219"/>
      <c r="ROB777" s="92"/>
      <c r="ROC777" s="210"/>
      <c r="ROI777" s="219"/>
      <c r="ROL777" s="92"/>
      <c r="ROM777" s="210"/>
      <c r="ROS777" s="219"/>
      <c r="ROV777" s="92"/>
      <c r="ROW777" s="210"/>
      <c r="RPC777" s="219"/>
      <c r="RPF777" s="92"/>
      <c r="RPG777" s="210"/>
      <c r="RPM777" s="219"/>
      <c r="RPP777" s="92"/>
      <c r="RPQ777" s="210"/>
      <c r="RPW777" s="219"/>
      <c r="RPZ777" s="92"/>
      <c r="RQA777" s="210"/>
      <c r="RQG777" s="219"/>
      <c r="RQJ777" s="92"/>
      <c r="RQK777" s="210"/>
      <c r="RQQ777" s="219"/>
      <c r="RQT777" s="92"/>
      <c r="RQU777" s="210"/>
      <c r="RRA777" s="219"/>
      <c r="RRD777" s="92"/>
      <c r="RRE777" s="210"/>
      <c r="RRK777" s="219"/>
      <c r="RRN777" s="92"/>
      <c r="RRO777" s="210"/>
      <c r="RRU777" s="219"/>
      <c r="RRX777" s="92"/>
      <c r="RRY777" s="210"/>
      <c r="RSE777" s="219"/>
      <c r="RSH777" s="92"/>
      <c r="RSI777" s="210"/>
      <c r="RSO777" s="219"/>
      <c r="RSR777" s="92"/>
      <c r="RSS777" s="210"/>
      <c r="RSY777" s="219"/>
      <c r="RTB777" s="92"/>
      <c r="RTC777" s="210"/>
      <c r="RTI777" s="219"/>
      <c r="RTL777" s="92"/>
      <c r="RTM777" s="210"/>
      <c r="RTS777" s="219"/>
      <c r="RTV777" s="92"/>
      <c r="RTW777" s="210"/>
      <c r="RUC777" s="219"/>
      <c r="RUF777" s="92"/>
      <c r="RUG777" s="210"/>
      <c r="RUM777" s="219"/>
      <c r="RUP777" s="92"/>
      <c r="RUQ777" s="210"/>
      <c r="RUW777" s="219"/>
      <c r="RUZ777" s="92"/>
      <c r="RVA777" s="210"/>
      <c r="RVG777" s="219"/>
      <c r="RVJ777" s="92"/>
      <c r="RVK777" s="210"/>
      <c r="RVQ777" s="219"/>
      <c r="RVT777" s="92"/>
      <c r="RVU777" s="210"/>
      <c r="RWA777" s="219"/>
      <c r="RWD777" s="92"/>
      <c r="RWE777" s="210"/>
      <c r="RWK777" s="219"/>
      <c r="RWN777" s="92"/>
      <c r="RWO777" s="210"/>
      <c r="RWU777" s="219"/>
      <c r="RWX777" s="92"/>
      <c r="RWY777" s="210"/>
      <c r="RXE777" s="219"/>
      <c r="RXH777" s="92"/>
      <c r="RXI777" s="210"/>
      <c r="RXO777" s="219"/>
      <c r="RXR777" s="92"/>
      <c r="RXS777" s="210"/>
      <c r="RXY777" s="219"/>
      <c r="RYB777" s="92"/>
      <c r="RYC777" s="210"/>
      <c r="RYI777" s="219"/>
      <c r="RYL777" s="92"/>
      <c r="RYM777" s="210"/>
      <c r="RYS777" s="219"/>
      <c r="RYV777" s="92"/>
      <c r="RYW777" s="210"/>
      <c r="RZC777" s="219"/>
      <c r="RZF777" s="92"/>
      <c r="RZG777" s="210"/>
      <c r="RZM777" s="219"/>
      <c r="RZP777" s="92"/>
      <c r="RZQ777" s="210"/>
      <c r="RZW777" s="219"/>
      <c r="RZZ777" s="92"/>
      <c r="SAA777" s="210"/>
      <c r="SAG777" s="219"/>
      <c r="SAJ777" s="92"/>
      <c r="SAK777" s="210"/>
      <c r="SAQ777" s="219"/>
      <c r="SAT777" s="92"/>
      <c r="SAU777" s="210"/>
      <c r="SBA777" s="219"/>
      <c r="SBD777" s="92"/>
      <c r="SBE777" s="210"/>
      <c r="SBK777" s="219"/>
      <c r="SBN777" s="92"/>
      <c r="SBO777" s="210"/>
      <c r="SBU777" s="219"/>
      <c r="SBX777" s="92"/>
      <c r="SBY777" s="210"/>
      <c r="SCE777" s="219"/>
      <c r="SCH777" s="92"/>
      <c r="SCI777" s="210"/>
      <c r="SCO777" s="219"/>
      <c r="SCR777" s="92"/>
      <c r="SCS777" s="210"/>
      <c r="SCY777" s="219"/>
      <c r="SDB777" s="92"/>
      <c r="SDC777" s="210"/>
      <c r="SDI777" s="219"/>
      <c r="SDL777" s="92"/>
      <c r="SDM777" s="210"/>
      <c r="SDS777" s="219"/>
      <c r="SDV777" s="92"/>
      <c r="SDW777" s="210"/>
      <c r="SEC777" s="219"/>
      <c r="SEF777" s="92"/>
      <c r="SEG777" s="210"/>
      <c r="SEM777" s="219"/>
      <c r="SEP777" s="92"/>
      <c r="SEQ777" s="210"/>
      <c r="SEW777" s="219"/>
      <c r="SEZ777" s="92"/>
      <c r="SFA777" s="210"/>
      <c r="SFG777" s="219"/>
      <c r="SFJ777" s="92"/>
      <c r="SFK777" s="210"/>
      <c r="SFQ777" s="219"/>
      <c r="SFT777" s="92"/>
      <c r="SFU777" s="210"/>
      <c r="SGA777" s="219"/>
      <c r="SGD777" s="92"/>
      <c r="SGE777" s="210"/>
      <c r="SGK777" s="219"/>
      <c r="SGN777" s="92"/>
      <c r="SGO777" s="210"/>
      <c r="SGU777" s="219"/>
      <c r="SGX777" s="92"/>
      <c r="SGY777" s="210"/>
      <c r="SHE777" s="219"/>
      <c r="SHH777" s="92"/>
      <c r="SHI777" s="210"/>
      <c r="SHO777" s="219"/>
      <c r="SHR777" s="92"/>
      <c r="SHS777" s="210"/>
      <c r="SHY777" s="219"/>
      <c r="SIB777" s="92"/>
      <c r="SIC777" s="210"/>
      <c r="SII777" s="219"/>
      <c r="SIL777" s="92"/>
      <c r="SIM777" s="210"/>
      <c r="SIS777" s="219"/>
      <c r="SIV777" s="92"/>
      <c r="SIW777" s="210"/>
      <c r="SJC777" s="219"/>
      <c r="SJF777" s="92"/>
      <c r="SJG777" s="210"/>
      <c r="SJM777" s="219"/>
      <c r="SJP777" s="92"/>
      <c r="SJQ777" s="210"/>
      <c r="SJW777" s="219"/>
      <c r="SJZ777" s="92"/>
      <c r="SKA777" s="210"/>
      <c r="SKG777" s="219"/>
      <c r="SKJ777" s="92"/>
      <c r="SKK777" s="210"/>
      <c r="SKQ777" s="219"/>
      <c r="SKT777" s="92"/>
      <c r="SKU777" s="210"/>
      <c r="SLA777" s="219"/>
      <c r="SLD777" s="92"/>
      <c r="SLE777" s="210"/>
      <c r="SLK777" s="219"/>
      <c r="SLN777" s="92"/>
      <c r="SLO777" s="210"/>
      <c r="SLU777" s="219"/>
      <c r="SLX777" s="92"/>
      <c r="SLY777" s="210"/>
      <c r="SME777" s="219"/>
      <c r="SMH777" s="92"/>
      <c r="SMI777" s="210"/>
      <c r="SMO777" s="219"/>
      <c r="SMR777" s="92"/>
      <c r="SMS777" s="210"/>
      <c r="SMY777" s="219"/>
      <c r="SNB777" s="92"/>
      <c r="SNC777" s="210"/>
      <c r="SNI777" s="219"/>
      <c r="SNL777" s="92"/>
      <c r="SNM777" s="210"/>
      <c r="SNS777" s="219"/>
      <c r="SNV777" s="92"/>
      <c r="SNW777" s="210"/>
      <c r="SOC777" s="219"/>
      <c r="SOF777" s="92"/>
      <c r="SOG777" s="210"/>
      <c r="SOM777" s="219"/>
      <c r="SOP777" s="92"/>
      <c r="SOQ777" s="210"/>
      <c r="SOW777" s="219"/>
      <c r="SOZ777" s="92"/>
      <c r="SPA777" s="210"/>
      <c r="SPG777" s="219"/>
      <c r="SPJ777" s="92"/>
      <c r="SPK777" s="210"/>
      <c r="SPQ777" s="219"/>
      <c r="SPT777" s="92"/>
      <c r="SPU777" s="210"/>
      <c r="SQA777" s="219"/>
      <c r="SQD777" s="92"/>
      <c r="SQE777" s="210"/>
      <c r="SQK777" s="219"/>
      <c r="SQN777" s="92"/>
      <c r="SQO777" s="210"/>
      <c r="SQU777" s="219"/>
      <c r="SQX777" s="92"/>
      <c r="SQY777" s="210"/>
      <c r="SRE777" s="219"/>
      <c r="SRH777" s="92"/>
      <c r="SRI777" s="210"/>
      <c r="SRO777" s="219"/>
      <c r="SRR777" s="92"/>
      <c r="SRS777" s="210"/>
      <c r="SRY777" s="219"/>
      <c r="SSB777" s="92"/>
      <c r="SSC777" s="210"/>
      <c r="SSI777" s="219"/>
      <c r="SSL777" s="92"/>
      <c r="SSM777" s="210"/>
      <c r="SSS777" s="219"/>
      <c r="SSV777" s="92"/>
      <c r="SSW777" s="210"/>
      <c r="STC777" s="219"/>
      <c r="STF777" s="92"/>
      <c r="STG777" s="210"/>
      <c r="STM777" s="219"/>
      <c r="STP777" s="92"/>
      <c r="STQ777" s="210"/>
      <c r="STW777" s="219"/>
      <c r="STZ777" s="92"/>
      <c r="SUA777" s="210"/>
      <c r="SUG777" s="219"/>
      <c r="SUJ777" s="92"/>
      <c r="SUK777" s="210"/>
      <c r="SUQ777" s="219"/>
      <c r="SUT777" s="92"/>
      <c r="SUU777" s="210"/>
      <c r="SVA777" s="219"/>
      <c r="SVD777" s="92"/>
      <c r="SVE777" s="210"/>
      <c r="SVK777" s="219"/>
      <c r="SVN777" s="92"/>
      <c r="SVO777" s="210"/>
      <c r="SVU777" s="219"/>
      <c r="SVX777" s="92"/>
      <c r="SVY777" s="210"/>
      <c r="SWE777" s="219"/>
      <c r="SWH777" s="92"/>
      <c r="SWI777" s="210"/>
      <c r="SWO777" s="219"/>
      <c r="SWR777" s="92"/>
      <c r="SWS777" s="210"/>
      <c r="SWY777" s="219"/>
      <c r="SXB777" s="92"/>
      <c r="SXC777" s="210"/>
      <c r="SXI777" s="219"/>
      <c r="SXL777" s="92"/>
      <c r="SXM777" s="210"/>
      <c r="SXS777" s="219"/>
      <c r="SXV777" s="92"/>
      <c r="SXW777" s="210"/>
      <c r="SYC777" s="219"/>
      <c r="SYF777" s="92"/>
      <c r="SYG777" s="210"/>
      <c r="SYM777" s="219"/>
      <c r="SYP777" s="92"/>
      <c r="SYQ777" s="210"/>
      <c r="SYW777" s="219"/>
      <c r="SYZ777" s="92"/>
      <c r="SZA777" s="210"/>
      <c r="SZG777" s="219"/>
      <c r="SZJ777" s="92"/>
      <c r="SZK777" s="210"/>
      <c r="SZQ777" s="219"/>
      <c r="SZT777" s="92"/>
      <c r="SZU777" s="210"/>
      <c r="TAA777" s="219"/>
      <c r="TAD777" s="92"/>
      <c r="TAE777" s="210"/>
      <c r="TAK777" s="219"/>
      <c r="TAN777" s="92"/>
      <c r="TAO777" s="210"/>
      <c r="TAU777" s="219"/>
      <c r="TAX777" s="92"/>
      <c r="TAY777" s="210"/>
      <c r="TBE777" s="219"/>
      <c r="TBH777" s="92"/>
      <c r="TBI777" s="210"/>
      <c r="TBO777" s="219"/>
      <c r="TBR777" s="92"/>
      <c r="TBS777" s="210"/>
      <c r="TBY777" s="219"/>
      <c r="TCB777" s="92"/>
      <c r="TCC777" s="210"/>
      <c r="TCI777" s="219"/>
      <c r="TCL777" s="92"/>
      <c r="TCM777" s="210"/>
      <c r="TCS777" s="219"/>
      <c r="TCV777" s="92"/>
      <c r="TCW777" s="210"/>
      <c r="TDC777" s="219"/>
      <c r="TDF777" s="92"/>
      <c r="TDG777" s="210"/>
      <c r="TDM777" s="219"/>
      <c r="TDP777" s="92"/>
      <c r="TDQ777" s="210"/>
      <c r="TDW777" s="219"/>
      <c r="TDZ777" s="92"/>
      <c r="TEA777" s="210"/>
      <c r="TEG777" s="219"/>
      <c r="TEJ777" s="92"/>
      <c r="TEK777" s="210"/>
      <c r="TEQ777" s="219"/>
      <c r="TET777" s="92"/>
      <c r="TEU777" s="210"/>
      <c r="TFA777" s="219"/>
      <c r="TFD777" s="92"/>
      <c r="TFE777" s="210"/>
      <c r="TFK777" s="219"/>
      <c r="TFN777" s="92"/>
      <c r="TFO777" s="210"/>
      <c r="TFU777" s="219"/>
      <c r="TFX777" s="92"/>
      <c r="TFY777" s="210"/>
      <c r="TGE777" s="219"/>
      <c r="TGH777" s="92"/>
      <c r="TGI777" s="210"/>
      <c r="TGO777" s="219"/>
      <c r="TGR777" s="92"/>
      <c r="TGS777" s="210"/>
      <c r="TGY777" s="219"/>
      <c r="THB777" s="92"/>
      <c r="THC777" s="210"/>
      <c r="THI777" s="219"/>
      <c r="THL777" s="92"/>
      <c r="THM777" s="210"/>
      <c r="THS777" s="219"/>
      <c r="THV777" s="92"/>
      <c r="THW777" s="210"/>
      <c r="TIC777" s="219"/>
      <c r="TIF777" s="92"/>
      <c r="TIG777" s="210"/>
      <c r="TIM777" s="219"/>
      <c r="TIP777" s="92"/>
      <c r="TIQ777" s="210"/>
      <c r="TIW777" s="219"/>
      <c r="TIZ777" s="92"/>
      <c r="TJA777" s="210"/>
      <c r="TJG777" s="219"/>
      <c r="TJJ777" s="92"/>
      <c r="TJK777" s="210"/>
      <c r="TJQ777" s="219"/>
      <c r="TJT777" s="92"/>
      <c r="TJU777" s="210"/>
      <c r="TKA777" s="219"/>
      <c r="TKD777" s="92"/>
      <c r="TKE777" s="210"/>
      <c r="TKK777" s="219"/>
      <c r="TKN777" s="92"/>
      <c r="TKO777" s="210"/>
      <c r="TKU777" s="219"/>
      <c r="TKX777" s="92"/>
      <c r="TKY777" s="210"/>
      <c r="TLE777" s="219"/>
      <c r="TLH777" s="92"/>
      <c r="TLI777" s="210"/>
      <c r="TLO777" s="219"/>
      <c r="TLR777" s="92"/>
      <c r="TLS777" s="210"/>
      <c r="TLY777" s="219"/>
      <c r="TMB777" s="92"/>
      <c r="TMC777" s="210"/>
      <c r="TMI777" s="219"/>
      <c r="TML777" s="92"/>
      <c r="TMM777" s="210"/>
      <c r="TMS777" s="219"/>
      <c r="TMV777" s="92"/>
      <c r="TMW777" s="210"/>
      <c r="TNC777" s="219"/>
      <c r="TNF777" s="92"/>
      <c r="TNG777" s="210"/>
      <c r="TNM777" s="219"/>
      <c r="TNP777" s="92"/>
      <c r="TNQ777" s="210"/>
      <c r="TNW777" s="219"/>
      <c r="TNZ777" s="92"/>
      <c r="TOA777" s="210"/>
      <c r="TOG777" s="219"/>
      <c r="TOJ777" s="92"/>
      <c r="TOK777" s="210"/>
      <c r="TOQ777" s="219"/>
      <c r="TOT777" s="92"/>
      <c r="TOU777" s="210"/>
      <c r="TPA777" s="219"/>
      <c r="TPD777" s="92"/>
      <c r="TPE777" s="210"/>
      <c r="TPK777" s="219"/>
      <c r="TPN777" s="92"/>
      <c r="TPO777" s="210"/>
      <c r="TPU777" s="219"/>
      <c r="TPX777" s="92"/>
      <c r="TPY777" s="210"/>
      <c r="TQE777" s="219"/>
      <c r="TQH777" s="92"/>
      <c r="TQI777" s="210"/>
      <c r="TQO777" s="219"/>
      <c r="TQR777" s="92"/>
      <c r="TQS777" s="210"/>
      <c r="TQY777" s="219"/>
      <c r="TRB777" s="92"/>
      <c r="TRC777" s="210"/>
      <c r="TRI777" s="219"/>
      <c r="TRL777" s="92"/>
      <c r="TRM777" s="210"/>
      <c r="TRS777" s="219"/>
      <c r="TRV777" s="92"/>
      <c r="TRW777" s="210"/>
      <c r="TSC777" s="219"/>
      <c r="TSF777" s="92"/>
      <c r="TSG777" s="210"/>
      <c r="TSM777" s="219"/>
      <c r="TSP777" s="92"/>
      <c r="TSQ777" s="210"/>
      <c r="TSW777" s="219"/>
      <c r="TSZ777" s="92"/>
      <c r="TTA777" s="210"/>
      <c r="TTG777" s="219"/>
      <c r="TTJ777" s="92"/>
      <c r="TTK777" s="210"/>
      <c r="TTQ777" s="219"/>
      <c r="TTT777" s="92"/>
      <c r="TTU777" s="210"/>
      <c r="TUA777" s="219"/>
      <c r="TUD777" s="92"/>
      <c r="TUE777" s="210"/>
      <c r="TUK777" s="219"/>
      <c r="TUN777" s="92"/>
      <c r="TUO777" s="210"/>
      <c r="TUU777" s="219"/>
      <c r="TUX777" s="92"/>
      <c r="TUY777" s="210"/>
      <c r="TVE777" s="219"/>
      <c r="TVH777" s="92"/>
      <c r="TVI777" s="210"/>
      <c r="TVO777" s="219"/>
      <c r="TVR777" s="92"/>
      <c r="TVS777" s="210"/>
      <c r="TVY777" s="219"/>
      <c r="TWB777" s="92"/>
      <c r="TWC777" s="210"/>
      <c r="TWI777" s="219"/>
      <c r="TWL777" s="92"/>
      <c r="TWM777" s="210"/>
      <c r="TWS777" s="219"/>
      <c r="TWV777" s="92"/>
      <c r="TWW777" s="210"/>
      <c r="TXC777" s="219"/>
      <c r="TXF777" s="92"/>
      <c r="TXG777" s="210"/>
      <c r="TXM777" s="219"/>
      <c r="TXP777" s="92"/>
      <c r="TXQ777" s="210"/>
      <c r="TXW777" s="219"/>
      <c r="TXZ777" s="92"/>
      <c r="TYA777" s="210"/>
      <c r="TYG777" s="219"/>
      <c r="TYJ777" s="92"/>
      <c r="TYK777" s="210"/>
      <c r="TYQ777" s="219"/>
      <c r="TYT777" s="92"/>
      <c r="TYU777" s="210"/>
      <c r="TZA777" s="219"/>
      <c r="TZD777" s="92"/>
      <c r="TZE777" s="210"/>
      <c r="TZK777" s="219"/>
      <c r="TZN777" s="92"/>
      <c r="TZO777" s="210"/>
      <c r="TZU777" s="219"/>
      <c r="TZX777" s="92"/>
      <c r="TZY777" s="210"/>
      <c r="UAE777" s="219"/>
      <c r="UAH777" s="92"/>
      <c r="UAI777" s="210"/>
      <c r="UAO777" s="219"/>
      <c r="UAR777" s="92"/>
      <c r="UAS777" s="210"/>
      <c r="UAY777" s="219"/>
      <c r="UBB777" s="92"/>
      <c r="UBC777" s="210"/>
      <c r="UBI777" s="219"/>
      <c r="UBL777" s="92"/>
      <c r="UBM777" s="210"/>
      <c r="UBS777" s="219"/>
      <c r="UBV777" s="92"/>
      <c r="UBW777" s="210"/>
      <c r="UCC777" s="219"/>
      <c r="UCF777" s="92"/>
      <c r="UCG777" s="210"/>
      <c r="UCM777" s="219"/>
      <c r="UCP777" s="92"/>
      <c r="UCQ777" s="210"/>
      <c r="UCW777" s="219"/>
      <c r="UCZ777" s="92"/>
      <c r="UDA777" s="210"/>
      <c r="UDG777" s="219"/>
      <c r="UDJ777" s="92"/>
      <c r="UDK777" s="210"/>
      <c r="UDQ777" s="219"/>
      <c r="UDT777" s="92"/>
      <c r="UDU777" s="210"/>
      <c r="UEA777" s="219"/>
      <c r="UED777" s="92"/>
      <c r="UEE777" s="210"/>
      <c r="UEK777" s="219"/>
      <c r="UEN777" s="92"/>
      <c r="UEO777" s="210"/>
      <c r="UEU777" s="219"/>
      <c r="UEX777" s="92"/>
      <c r="UEY777" s="210"/>
      <c r="UFE777" s="219"/>
      <c r="UFH777" s="92"/>
      <c r="UFI777" s="210"/>
      <c r="UFO777" s="219"/>
      <c r="UFR777" s="92"/>
      <c r="UFS777" s="210"/>
      <c r="UFY777" s="219"/>
      <c r="UGB777" s="92"/>
      <c r="UGC777" s="210"/>
      <c r="UGI777" s="219"/>
      <c r="UGL777" s="92"/>
      <c r="UGM777" s="210"/>
      <c r="UGS777" s="219"/>
      <c r="UGV777" s="92"/>
      <c r="UGW777" s="210"/>
      <c r="UHC777" s="219"/>
      <c r="UHF777" s="92"/>
      <c r="UHG777" s="210"/>
      <c r="UHM777" s="219"/>
      <c r="UHP777" s="92"/>
      <c r="UHQ777" s="210"/>
      <c r="UHW777" s="219"/>
      <c r="UHZ777" s="92"/>
      <c r="UIA777" s="210"/>
      <c r="UIG777" s="219"/>
      <c r="UIJ777" s="92"/>
      <c r="UIK777" s="210"/>
      <c r="UIQ777" s="219"/>
      <c r="UIT777" s="92"/>
      <c r="UIU777" s="210"/>
      <c r="UJA777" s="219"/>
      <c r="UJD777" s="92"/>
      <c r="UJE777" s="210"/>
      <c r="UJK777" s="219"/>
      <c r="UJN777" s="92"/>
      <c r="UJO777" s="210"/>
      <c r="UJU777" s="219"/>
      <c r="UJX777" s="92"/>
      <c r="UJY777" s="210"/>
      <c r="UKE777" s="219"/>
      <c r="UKH777" s="92"/>
      <c r="UKI777" s="210"/>
      <c r="UKO777" s="219"/>
      <c r="UKR777" s="92"/>
      <c r="UKS777" s="210"/>
      <c r="UKY777" s="219"/>
      <c r="ULB777" s="92"/>
      <c r="ULC777" s="210"/>
      <c r="ULI777" s="219"/>
      <c r="ULL777" s="92"/>
      <c r="ULM777" s="210"/>
      <c r="ULS777" s="219"/>
      <c r="ULV777" s="92"/>
      <c r="ULW777" s="210"/>
      <c r="UMC777" s="219"/>
      <c r="UMF777" s="92"/>
      <c r="UMG777" s="210"/>
      <c r="UMM777" s="219"/>
      <c r="UMP777" s="92"/>
      <c r="UMQ777" s="210"/>
      <c r="UMW777" s="219"/>
      <c r="UMZ777" s="92"/>
      <c r="UNA777" s="210"/>
      <c r="UNG777" s="219"/>
      <c r="UNJ777" s="92"/>
      <c r="UNK777" s="210"/>
      <c r="UNQ777" s="219"/>
      <c r="UNT777" s="92"/>
      <c r="UNU777" s="210"/>
      <c r="UOA777" s="219"/>
      <c r="UOD777" s="92"/>
      <c r="UOE777" s="210"/>
      <c r="UOK777" s="219"/>
      <c r="UON777" s="92"/>
      <c r="UOO777" s="210"/>
      <c r="UOU777" s="219"/>
      <c r="UOX777" s="92"/>
      <c r="UOY777" s="210"/>
      <c r="UPE777" s="219"/>
      <c r="UPH777" s="92"/>
      <c r="UPI777" s="210"/>
      <c r="UPO777" s="219"/>
      <c r="UPR777" s="92"/>
      <c r="UPS777" s="210"/>
      <c r="UPY777" s="219"/>
      <c r="UQB777" s="92"/>
      <c r="UQC777" s="210"/>
      <c r="UQI777" s="219"/>
      <c r="UQL777" s="92"/>
      <c r="UQM777" s="210"/>
      <c r="UQS777" s="219"/>
      <c r="UQV777" s="92"/>
      <c r="UQW777" s="210"/>
      <c r="URC777" s="219"/>
      <c r="URF777" s="92"/>
      <c r="URG777" s="210"/>
      <c r="URM777" s="219"/>
      <c r="URP777" s="92"/>
      <c r="URQ777" s="210"/>
      <c r="URW777" s="219"/>
      <c r="URZ777" s="92"/>
      <c r="USA777" s="210"/>
      <c r="USG777" s="219"/>
      <c r="USJ777" s="92"/>
      <c r="USK777" s="210"/>
      <c r="USQ777" s="219"/>
      <c r="UST777" s="92"/>
      <c r="USU777" s="210"/>
      <c r="UTA777" s="219"/>
      <c r="UTD777" s="92"/>
      <c r="UTE777" s="210"/>
      <c r="UTK777" s="219"/>
      <c r="UTN777" s="92"/>
      <c r="UTO777" s="210"/>
      <c r="UTU777" s="219"/>
      <c r="UTX777" s="92"/>
      <c r="UTY777" s="210"/>
      <c r="UUE777" s="219"/>
      <c r="UUH777" s="92"/>
      <c r="UUI777" s="210"/>
      <c r="UUO777" s="219"/>
      <c r="UUR777" s="92"/>
      <c r="UUS777" s="210"/>
      <c r="UUY777" s="219"/>
      <c r="UVB777" s="92"/>
      <c r="UVC777" s="210"/>
      <c r="UVI777" s="219"/>
      <c r="UVL777" s="92"/>
      <c r="UVM777" s="210"/>
      <c r="UVS777" s="219"/>
      <c r="UVV777" s="92"/>
      <c r="UVW777" s="210"/>
      <c r="UWC777" s="219"/>
      <c r="UWF777" s="92"/>
      <c r="UWG777" s="210"/>
      <c r="UWM777" s="219"/>
      <c r="UWP777" s="92"/>
      <c r="UWQ777" s="210"/>
      <c r="UWW777" s="219"/>
      <c r="UWZ777" s="92"/>
      <c r="UXA777" s="210"/>
      <c r="UXG777" s="219"/>
      <c r="UXJ777" s="92"/>
      <c r="UXK777" s="210"/>
      <c r="UXQ777" s="219"/>
      <c r="UXT777" s="92"/>
      <c r="UXU777" s="210"/>
      <c r="UYA777" s="219"/>
      <c r="UYD777" s="92"/>
      <c r="UYE777" s="210"/>
      <c r="UYK777" s="219"/>
      <c r="UYN777" s="92"/>
      <c r="UYO777" s="210"/>
      <c r="UYU777" s="219"/>
      <c r="UYX777" s="92"/>
      <c r="UYY777" s="210"/>
      <c r="UZE777" s="219"/>
      <c r="UZH777" s="92"/>
      <c r="UZI777" s="210"/>
      <c r="UZO777" s="219"/>
      <c r="UZR777" s="92"/>
      <c r="UZS777" s="210"/>
      <c r="UZY777" s="219"/>
      <c r="VAB777" s="92"/>
      <c r="VAC777" s="210"/>
      <c r="VAI777" s="219"/>
      <c r="VAL777" s="92"/>
      <c r="VAM777" s="210"/>
      <c r="VAS777" s="219"/>
      <c r="VAV777" s="92"/>
      <c r="VAW777" s="210"/>
      <c r="VBC777" s="219"/>
      <c r="VBF777" s="92"/>
      <c r="VBG777" s="210"/>
      <c r="VBM777" s="219"/>
      <c r="VBP777" s="92"/>
      <c r="VBQ777" s="210"/>
      <c r="VBW777" s="219"/>
      <c r="VBZ777" s="92"/>
      <c r="VCA777" s="210"/>
      <c r="VCG777" s="219"/>
      <c r="VCJ777" s="92"/>
      <c r="VCK777" s="210"/>
      <c r="VCQ777" s="219"/>
      <c r="VCT777" s="92"/>
      <c r="VCU777" s="210"/>
      <c r="VDA777" s="219"/>
      <c r="VDD777" s="92"/>
      <c r="VDE777" s="210"/>
      <c r="VDK777" s="219"/>
      <c r="VDN777" s="92"/>
      <c r="VDO777" s="210"/>
      <c r="VDU777" s="219"/>
      <c r="VDX777" s="92"/>
      <c r="VDY777" s="210"/>
      <c r="VEE777" s="219"/>
      <c r="VEH777" s="92"/>
      <c r="VEI777" s="210"/>
      <c r="VEO777" s="219"/>
      <c r="VER777" s="92"/>
      <c r="VES777" s="210"/>
      <c r="VEY777" s="219"/>
      <c r="VFB777" s="92"/>
      <c r="VFC777" s="210"/>
      <c r="VFI777" s="219"/>
      <c r="VFL777" s="92"/>
      <c r="VFM777" s="210"/>
      <c r="VFS777" s="219"/>
      <c r="VFV777" s="92"/>
      <c r="VFW777" s="210"/>
      <c r="VGC777" s="219"/>
      <c r="VGF777" s="92"/>
      <c r="VGG777" s="210"/>
      <c r="VGM777" s="219"/>
      <c r="VGP777" s="92"/>
      <c r="VGQ777" s="210"/>
      <c r="VGW777" s="219"/>
      <c r="VGZ777" s="92"/>
      <c r="VHA777" s="210"/>
      <c r="VHG777" s="219"/>
      <c r="VHJ777" s="92"/>
      <c r="VHK777" s="210"/>
      <c r="VHQ777" s="219"/>
      <c r="VHT777" s="92"/>
      <c r="VHU777" s="210"/>
      <c r="VIA777" s="219"/>
      <c r="VID777" s="92"/>
      <c r="VIE777" s="210"/>
      <c r="VIK777" s="219"/>
      <c r="VIN777" s="92"/>
      <c r="VIO777" s="210"/>
      <c r="VIU777" s="219"/>
      <c r="VIX777" s="92"/>
      <c r="VIY777" s="210"/>
      <c r="VJE777" s="219"/>
      <c r="VJH777" s="92"/>
      <c r="VJI777" s="210"/>
      <c r="VJO777" s="219"/>
      <c r="VJR777" s="92"/>
      <c r="VJS777" s="210"/>
      <c r="VJY777" s="219"/>
      <c r="VKB777" s="92"/>
      <c r="VKC777" s="210"/>
      <c r="VKI777" s="219"/>
      <c r="VKL777" s="92"/>
      <c r="VKM777" s="210"/>
      <c r="VKS777" s="219"/>
      <c r="VKV777" s="92"/>
      <c r="VKW777" s="210"/>
      <c r="VLC777" s="219"/>
      <c r="VLF777" s="92"/>
      <c r="VLG777" s="210"/>
      <c r="VLM777" s="219"/>
      <c r="VLP777" s="92"/>
      <c r="VLQ777" s="210"/>
      <c r="VLW777" s="219"/>
      <c r="VLZ777" s="92"/>
      <c r="VMA777" s="210"/>
      <c r="VMG777" s="219"/>
      <c r="VMJ777" s="92"/>
      <c r="VMK777" s="210"/>
      <c r="VMQ777" s="219"/>
      <c r="VMT777" s="92"/>
      <c r="VMU777" s="210"/>
      <c r="VNA777" s="219"/>
      <c r="VND777" s="92"/>
      <c r="VNE777" s="210"/>
      <c r="VNK777" s="219"/>
      <c r="VNN777" s="92"/>
      <c r="VNO777" s="210"/>
      <c r="VNU777" s="219"/>
      <c r="VNX777" s="92"/>
      <c r="VNY777" s="210"/>
      <c r="VOE777" s="219"/>
      <c r="VOH777" s="92"/>
      <c r="VOI777" s="210"/>
      <c r="VOO777" s="219"/>
      <c r="VOR777" s="92"/>
      <c r="VOS777" s="210"/>
      <c r="VOY777" s="219"/>
      <c r="VPB777" s="92"/>
      <c r="VPC777" s="210"/>
      <c r="VPI777" s="219"/>
      <c r="VPL777" s="92"/>
      <c r="VPM777" s="210"/>
      <c r="VPS777" s="219"/>
      <c r="VPV777" s="92"/>
      <c r="VPW777" s="210"/>
      <c r="VQC777" s="219"/>
      <c r="VQF777" s="92"/>
      <c r="VQG777" s="210"/>
      <c r="VQM777" s="219"/>
      <c r="VQP777" s="92"/>
      <c r="VQQ777" s="210"/>
      <c r="VQW777" s="219"/>
      <c r="VQZ777" s="92"/>
      <c r="VRA777" s="210"/>
      <c r="VRG777" s="219"/>
      <c r="VRJ777" s="92"/>
      <c r="VRK777" s="210"/>
      <c r="VRQ777" s="219"/>
      <c r="VRT777" s="92"/>
      <c r="VRU777" s="210"/>
      <c r="VSA777" s="219"/>
      <c r="VSD777" s="92"/>
      <c r="VSE777" s="210"/>
      <c r="VSK777" s="219"/>
      <c r="VSN777" s="92"/>
      <c r="VSO777" s="210"/>
      <c r="VSU777" s="219"/>
      <c r="VSX777" s="92"/>
      <c r="VSY777" s="210"/>
      <c r="VTE777" s="219"/>
      <c r="VTH777" s="92"/>
      <c r="VTI777" s="210"/>
      <c r="VTO777" s="219"/>
      <c r="VTR777" s="92"/>
      <c r="VTS777" s="210"/>
      <c r="VTY777" s="219"/>
      <c r="VUB777" s="92"/>
      <c r="VUC777" s="210"/>
      <c r="VUI777" s="219"/>
      <c r="VUL777" s="92"/>
      <c r="VUM777" s="210"/>
      <c r="VUS777" s="219"/>
      <c r="VUV777" s="92"/>
      <c r="VUW777" s="210"/>
      <c r="VVC777" s="219"/>
      <c r="VVF777" s="92"/>
      <c r="VVG777" s="210"/>
      <c r="VVM777" s="219"/>
      <c r="VVP777" s="92"/>
      <c r="VVQ777" s="210"/>
      <c r="VVW777" s="219"/>
      <c r="VVZ777" s="92"/>
      <c r="VWA777" s="210"/>
      <c r="VWG777" s="219"/>
      <c r="VWJ777" s="92"/>
      <c r="VWK777" s="210"/>
      <c r="VWQ777" s="219"/>
      <c r="VWT777" s="92"/>
      <c r="VWU777" s="210"/>
      <c r="VXA777" s="219"/>
      <c r="VXD777" s="92"/>
      <c r="VXE777" s="210"/>
      <c r="VXK777" s="219"/>
      <c r="VXN777" s="92"/>
      <c r="VXO777" s="210"/>
      <c r="VXU777" s="219"/>
      <c r="VXX777" s="92"/>
      <c r="VXY777" s="210"/>
      <c r="VYE777" s="219"/>
      <c r="VYH777" s="92"/>
      <c r="VYI777" s="210"/>
      <c r="VYO777" s="219"/>
      <c r="VYR777" s="92"/>
      <c r="VYS777" s="210"/>
      <c r="VYY777" s="219"/>
      <c r="VZB777" s="92"/>
      <c r="VZC777" s="210"/>
      <c r="VZI777" s="219"/>
      <c r="VZL777" s="92"/>
      <c r="VZM777" s="210"/>
      <c r="VZS777" s="219"/>
      <c r="VZV777" s="92"/>
      <c r="VZW777" s="210"/>
      <c r="WAC777" s="219"/>
      <c r="WAF777" s="92"/>
      <c r="WAG777" s="210"/>
      <c r="WAM777" s="219"/>
      <c r="WAP777" s="92"/>
      <c r="WAQ777" s="210"/>
      <c r="WAW777" s="219"/>
      <c r="WAZ777" s="92"/>
      <c r="WBA777" s="210"/>
      <c r="WBG777" s="219"/>
      <c r="WBJ777" s="92"/>
      <c r="WBK777" s="210"/>
      <c r="WBQ777" s="219"/>
      <c r="WBT777" s="92"/>
      <c r="WBU777" s="210"/>
      <c r="WCA777" s="219"/>
      <c r="WCD777" s="92"/>
      <c r="WCE777" s="210"/>
      <c r="WCK777" s="219"/>
      <c r="WCN777" s="92"/>
      <c r="WCO777" s="210"/>
      <c r="WCU777" s="219"/>
      <c r="WCX777" s="92"/>
      <c r="WCY777" s="210"/>
      <c r="WDE777" s="219"/>
      <c r="WDH777" s="92"/>
      <c r="WDI777" s="210"/>
      <c r="WDO777" s="219"/>
      <c r="WDR777" s="92"/>
      <c r="WDS777" s="210"/>
      <c r="WDY777" s="219"/>
      <c r="WEB777" s="92"/>
      <c r="WEC777" s="210"/>
      <c r="WEI777" s="219"/>
      <c r="WEL777" s="92"/>
      <c r="WEM777" s="210"/>
      <c r="WES777" s="219"/>
      <c r="WEV777" s="92"/>
      <c r="WEW777" s="210"/>
      <c r="WFC777" s="219"/>
      <c r="WFF777" s="92"/>
      <c r="WFG777" s="210"/>
      <c r="WFM777" s="219"/>
      <c r="WFP777" s="92"/>
      <c r="WFQ777" s="210"/>
      <c r="WFW777" s="219"/>
      <c r="WFZ777" s="92"/>
      <c r="WGA777" s="210"/>
      <c r="WGG777" s="219"/>
      <c r="WGJ777" s="92"/>
      <c r="WGK777" s="210"/>
      <c r="WGQ777" s="219"/>
      <c r="WGT777" s="92"/>
      <c r="WGU777" s="210"/>
      <c r="WHA777" s="219"/>
      <c r="WHD777" s="92"/>
      <c r="WHE777" s="210"/>
      <c r="WHK777" s="219"/>
      <c r="WHN777" s="92"/>
      <c r="WHO777" s="210"/>
      <c r="WHU777" s="219"/>
      <c r="WHX777" s="92"/>
      <c r="WHY777" s="210"/>
      <c r="WIE777" s="219"/>
      <c r="WIH777" s="92"/>
      <c r="WII777" s="210"/>
      <c r="WIO777" s="219"/>
      <c r="WIR777" s="92"/>
      <c r="WIS777" s="210"/>
      <c r="WIY777" s="219"/>
      <c r="WJB777" s="92"/>
      <c r="WJC777" s="210"/>
      <c r="WJI777" s="219"/>
      <c r="WJL777" s="92"/>
      <c r="WJM777" s="210"/>
      <c r="WJS777" s="219"/>
      <c r="WJV777" s="92"/>
      <c r="WJW777" s="210"/>
      <c r="WKC777" s="219"/>
      <c r="WKF777" s="92"/>
      <c r="WKG777" s="210"/>
      <c r="WKM777" s="219"/>
      <c r="WKP777" s="92"/>
      <c r="WKQ777" s="210"/>
      <c r="WKW777" s="219"/>
      <c r="WKZ777" s="92"/>
      <c r="WLA777" s="210"/>
      <c r="WLG777" s="219"/>
      <c r="WLJ777" s="92"/>
      <c r="WLK777" s="210"/>
      <c r="WLQ777" s="219"/>
      <c r="WLT777" s="92"/>
      <c r="WLU777" s="210"/>
      <c r="WMA777" s="219"/>
      <c r="WMD777" s="92"/>
      <c r="WME777" s="210"/>
      <c r="WMK777" s="219"/>
      <c r="WMN777" s="92"/>
      <c r="WMO777" s="210"/>
      <c r="WMU777" s="219"/>
      <c r="WMX777" s="92"/>
      <c r="WMY777" s="210"/>
      <c r="WNE777" s="219"/>
      <c r="WNH777" s="92"/>
      <c r="WNI777" s="210"/>
      <c r="WNO777" s="219"/>
      <c r="WNR777" s="92"/>
      <c r="WNS777" s="210"/>
      <c r="WNY777" s="219"/>
      <c r="WOB777" s="92"/>
      <c r="WOC777" s="210"/>
      <c r="WOI777" s="219"/>
      <c r="WOL777" s="92"/>
      <c r="WOM777" s="210"/>
      <c r="WOS777" s="219"/>
      <c r="WOV777" s="92"/>
      <c r="WOW777" s="210"/>
      <c r="WPC777" s="219"/>
      <c r="WPF777" s="92"/>
      <c r="WPG777" s="210"/>
      <c r="WPM777" s="219"/>
      <c r="WPP777" s="92"/>
      <c r="WPQ777" s="210"/>
      <c r="WPW777" s="219"/>
      <c r="WPZ777" s="92"/>
      <c r="WQA777" s="210"/>
      <c r="WQG777" s="219"/>
      <c r="WQJ777" s="92"/>
      <c r="WQK777" s="210"/>
      <c r="WQQ777" s="219"/>
      <c r="WQT777" s="92"/>
      <c r="WQU777" s="210"/>
      <c r="WRA777" s="219"/>
      <c r="WRD777" s="92"/>
      <c r="WRE777" s="210"/>
      <c r="WRK777" s="219"/>
      <c r="WRN777" s="92"/>
      <c r="WRO777" s="210"/>
      <c r="WRU777" s="219"/>
      <c r="WRX777" s="92"/>
      <c r="WRY777" s="210"/>
      <c r="WSE777" s="219"/>
      <c r="WSH777" s="92"/>
      <c r="WSI777" s="210"/>
      <c r="WSO777" s="219"/>
      <c r="WSR777" s="92"/>
      <c r="WSS777" s="210"/>
      <c r="WSY777" s="219"/>
      <c r="WTB777" s="92"/>
      <c r="WTC777" s="210"/>
      <c r="WTI777" s="219"/>
      <c r="WTL777" s="92"/>
      <c r="WTM777" s="210"/>
      <c r="WTS777" s="219"/>
      <c r="WTV777" s="92"/>
      <c r="WTW777" s="210"/>
      <c r="WUC777" s="219"/>
      <c r="WUF777" s="92"/>
      <c r="WUG777" s="210"/>
      <c r="WUM777" s="219"/>
      <c r="WUP777" s="92"/>
      <c r="WUQ777" s="210"/>
      <c r="WUW777" s="219"/>
      <c r="WUZ777" s="92"/>
      <c r="WVA777" s="210"/>
      <c r="WVG777" s="219"/>
      <c r="WVJ777" s="92"/>
      <c r="WVK777" s="210"/>
      <c r="WVQ777" s="219"/>
      <c r="WVT777" s="92"/>
      <c r="WVU777" s="210"/>
      <c r="WWA777" s="219"/>
      <c r="WWD777" s="92"/>
      <c r="WWE777" s="210"/>
      <c r="WWK777" s="219"/>
      <c r="WWN777" s="92"/>
      <c r="WWO777" s="210"/>
      <c r="WWU777" s="219"/>
      <c r="WWX777" s="92"/>
      <c r="WWY777" s="210"/>
      <c r="WXE777" s="219"/>
      <c r="WXH777" s="92"/>
      <c r="WXI777" s="210"/>
      <c r="WXO777" s="219"/>
      <c r="WXR777" s="92"/>
      <c r="WXS777" s="210"/>
      <c r="WXY777" s="219"/>
      <c r="WYB777" s="92"/>
      <c r="WYC777" s="210"/>
      <c r="WYI777" s="219"/>
      <c r="WYL777" s="92"/>
      <c r="WYM777" s="210"/>
      <c r="WYS777" s="219"/>
      <c r="WYV777" s="92"/>
      <c r="WYW777" s="210"/>
      <c r="WZC777" s="219"/>
      <c r="WZF777" s="92"/>
      <c r="WZG777" s="210"/>
      <c r="WZM777" s="219"/>
      <c r="WZP777" s="92"/>
      <c r="WZQ777" s="210"/>
      <c r="WZW777" s="219"/>
      <c r="WZZ777" s="92"/>
      <c r="XAA777" s="210"/>
      <c r="XAG777" s="219"/>
      <c r="XAJ777" s="92"/>
      <c r="XAK777" s="210"/>
      <c r="XAQ777" s="219"/>
      <c r="XAT777" s="92"/>
      <c r="XAU777" s="210"/>
      <c r="XBA777" s="219"/>
      <c r="XBD777" s="92"/>
      <c r="XBE777" s="210"/>
      <c r="XBK777" s="219"/>
      <c r="XBN777" s="92"/>
      <c r="XBO777" s="210"/>
      <c r="XBU777" s="219"/>
      <c r="XBX777" s="92"/>
      <c r="XBY777" s="210"/>
      <c r="XCE777" s="219"/>
      <c r="XCH777" s="92"/>
      <c r="XCI777" s="210"/>
      <c r="XCO777" s="219"/>
      <c r="XCR777" s="92"/>
      <c r="XCS777" s="210"/>
      <c r="XCY777" s="219"/>
      <c r="XDB777" s="92"/>
      <c r="XDC777" s="210"/>
      <c r="XDI777" s="219"/>
      <c r="XDL777" s="92"/>
      <c r="XDM777" s="210"/>
      <c r="XDS777" s="219"/>
      <c r="XDV777" s="92"/>
      <c r="XDW777" s="210"/>
      <c r="XEC777" s="219"/>
      <c r="XEF777" s="92"/>
      <c r="XEG777" s="210"/>
      <c r="XEM777" s="219"/>
      <c r="XEP777" s="92"/>
      <c r="XEQ777" s="210"/>
      <c r="XEW777" s="219"/>
      <c r="XEZ777" s="92"/>
      <c r="XFA777" s="210"/>
    </row>
    <row r="778" spans="1:1021 1027:2047 2050:3071 3077:4091 4097:6141 6147:7167 7170:8191 8197:9211 9217:11261 11267:12287 12290:13311 13317:14331 14337:16381">
      <c r="A778" s="448" t="s">
        <v>657</v>
      </c>
      <c r="B778" s="448" t="s">
        <v>658</v>
      </c>
      <c r="C778" s="448" t="s">
        <v>659</v>
      </c>
      <c r="D778" s="448" t="s">
        <v>660</v>
      </c>
      <c r="E778" s="448" t="s">
        <v>661</v>
      </c>
      <c r="F778" s="448" t="s">
        <v>662</v>
      </c>
      <c r="G778" s="448" t="s">
        <v>663</v>
      </c>
      <c r="H778" s="451">
        <v>0</v>
      </c>
      <c r="J778" s="92"/>
    </row>
    <row r="779" spans="1:1021 1027:2047 2050:3071 3077:4091 4097:6141 6147:7167 7170:8191 8197:9211 9217:11261 11267:12287 12290:13311 13317:14331 14337:16381">
      <c r="A779" s="448" t="s">
        <v>664</v>
      </c>
      <c r="B779" s="448" t="s">
        <v>665</v>
      </c>
      <c r="C779" s="448" t="s">
        <v>666</v>
      </c>
      <c r="D779" s="448" t="s">
        <v>667</v>
      </c>
      <c r="E779" s="448" t="s">
        <v>668</v>
      </c>
      <c r="F779" s="448" t="s">
        <v>669</v>
      </c>
      <c r="G779" s="448" t="s">
        <v>670</v>
      </c>
      <c r="H779" s="451">
        <v>0</v>
      </c>
      <c r="J779" s="92"/>
    </row>
    <row r="780" spans="1:1021 1027:2047 2050:3071 3077:4091 4097:6141 6147:7167 7170:8191 8197:9211 9217:11261 11267:12287 12290:13311 13317:14331 14337:16381">
      <c r="A780" s="448" t="s">
        <v>671</v>
      </c>
      <c r="B780" s="448" t="s">
        <v>672</v>
      </c>
      <c r="C780" s="448" t="s">
        <v>673</v>
      </c>
      <c r="D780" s="448" t="s">
        <v>674</v>
      </c>
      <c r="E780" s="448" t="s">
        <v>670</v>
      </c>
      <c r="F780" s="448" t="s">
        <v>675</v>
      </c>
      <c r="G780" s="448" t="s">
        <v>676</v>
      </c>
      <c r="H780" s="451">
        <v>0.06</v>
      </c>
      <c r="J780" s="92"/>
    </row>
    <row r="781" spans="1:1021 1027:2047 2050:3071 3077:4091 4097:6141 6147:7167 7170:8191 8197:9211 9217:11261 11267:12287 12290:13311 13317:14331 14337:16381">
      <c r="J781" s="92"/>
    </row>
    <row r="782" spans="1:1021 1027:2047 2050:3071 3077:4091 4097:6141 6147:7167 7170:8191 8197:9211 9217:11261 11267:12287 12290:13311 13317:14331 14337:16381">
      <c r="A782" s="449" t="s">
        <v>614</v>
      </c>
      <c r="B782" s="449" t="s">
        <v>617</v>
      </c>
      <c r="C782" s="449" t="s">
        <v>618</v>
      </c>
      <c r="D782" s="449" t="s">
        <v>619</v>
      </c>
      <c r="E782" s="449" t="s">
        <v>620</v>
      </c>
      <c r="F782" s="449" t="s">
        <v>621</v>
      </c>
      <c r="G782" s="449" t="s">
        <v>622</v>
      </c>
      <c r="J782" s="92"/>
    </row>
    <row r="783" spans="1:1021 1027:2047 2050:3071 3077:4091 4097:6141 6147:7167 7170:8191 8197:9211 9217:11261 11267:12287 12290:13311 13317:14331 14337:16381">
      <c r="A783" s="450" t="s">
        <v>677</v>
      </c>
      <c r="B783" s="450" t="s">
        <v>665</v>
      </c>
      <c r="C783" s="450" t="s">
        <v>647</v>
      </c>
      <c r="D783" s="450" t="s">
        <v>674</v>
      </c>
      <c r="E783" s="450" t="s">
        <v>661</v>
      </c>
      <c r="F783" s="450" t="s">
        <v>636</v>
      </c>
      <c r="G783" s="450" t="s">
        <v>637</v>
      </c>
      <c r="J783" s="92"/>
    </row>
    <row r="784" spans="1:1021 1027:2047 2050:3071 3077:4091 4097:6141 6147:7167 7170:8191 8197:9211 9217:11261 11267:12287 12290:13311 13317:14331 14337:16381">
      <c r="A784" s="450" t="s">
        <v>678</v>
      </c>
      <c r="B784" s="450" t="s">
        <v>679</v>
      </c>
      <c r="C784" s="450" t="s">
        <v>680</v>
      </c>
      <c r="D784" s="450" t="s">
        <v>681</v>
      </c>
      <c r="E784" s="450" t="s">
        <v>682</v>
      </c>
      <c r="F784" s="450" t="s">
        <v>683</v>
      </c>
      <c r="G784" s="450" t="s">
        <v>684</v>
      </c>
      <c r="J784" s="92"/>
    </row>
    <row r="785" spans="1:10">
      <c r="J785" s="92"/>
    </row>
    <row r="786" spans="1:10">
      <c r="J786" s="92"/>
    </row>
    <row r="787" spans="1:10">
      <c r="J787" s="92"/>
    </row>
    <row r="788" spans="1:10">
      <c r="J788" s="92"/>
    </row>
    <row r="789" spans="1:10">
      <c r="J789" s="92"/>
    </row>
    <row r="790" spans="1:10">
      <c r="J790" s="92"/>
    </row>
    <row r="791" spans="1:10">
      <c r="J791" s="92"/>
    </row>
    <row r="792" spans="1:10">
      <c r="J792" s="92"/>
    </row>
    <row r="793" spans="1:10">
      <c r="A793" s="92"/>
      <c r="B793" s="92"/>
      <c r="C793" s="92"/>
      <c r="D793" s="92"/>
      <c r="E793" s="92"/>
      <c r="F793" s="92"/>
      <c r="G793" s="92"/>
      <c r="H793" s="92"/>
      <c r="I793" s="92"/>
      <c r="J793" s="92"/>
    </row>
    <row r="794" spans="1:10">
      <c r="A794" s="92"/>
      <c r="B794" s="92"/>
      <c r="C794" s="92"/>
      <c r="D794" s="92"/>
      <c r="E794" s="92"/>
      <c r="F794" s="92"/>
      <c r="G794" s="92"/>
      <c r="H794" s="92"/>
      <c r="I794" s="92"/>
      <c r="J794" s="92"/>
    </row>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sheetData>
  <mergeCells count="14">
    <mergeCell ref="A729:E729"/>
    <mergeCell ref="A760:D760"/>
    <mergeCell ref="A607:F607"/>
    <mergeCell ref="A614:C614"/>
    <mergeCell ref="A628:C628"/>
    <mergeCell ref="B651:C651"/>
    <mergeCell ref="F653:G653"/>
    <mergeCell ref="A124:D124"/>
    <mergeCell ref="A127:D127"/>
    <mergeCell ref="A126:D126"/>
    <mergeCell ref="A125:D125"/>
    <mergeCell ref="A48:D48"/>
    <mergeCell ref="A49:D49"/>
    <mergeCell ref="A123:D123"/>
  </mergeCells>
  <pageMargins left="0.7" right="0.7" top="0.75" bottom="0.75" header="0.3" footer="0.3"/>
  <pageSetup orientation="portrait" horizontalDpi="0" verticalDpi="0"/>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Cover letter</vt:lpstr>
      <vt:lpstr>Summary Results Table</vt:lpstr>
      <vt:lpstr>Assumption table</vt:lpstr>
      <vt:lpstr>Model</vt:lpstr>
      <vt:lpstr>Scenarios Table</vt:lpstr>
      <vt:lpstr>WACC Model</vt:lpstr>
      <vt:lpstr>DCF</vt:lpstr>
      <vt:lpstr>Multiples Valuation</vt:lpstr>
      <vt:lpstr>Data 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Safna Sahibo</dc:creator>
  <cp:keywords/>
  <dc:description/>
  <cp:lastModifiedBy>Shobitha Mahadesh Sajjehundi</cp:lastModifiedBy>
  <cp:revision/>
  <dcterms:created xsi:type="dcterms:W3CDTF">2026-04-23T14:26:27Z</dcterms:created>
  <dcterms:modified xsi:type="dcterms:W3CDTF">2026-10-06T23:36:45Z</dcterms:modified>
  <cp:category/>
  <cp:contentStatus/>
</cp:coreProperties>
</file>